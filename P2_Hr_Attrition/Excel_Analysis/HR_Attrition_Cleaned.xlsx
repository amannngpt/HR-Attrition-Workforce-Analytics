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anl\Downloads\Data Analysis Projects\P2_Hr_Attrition\Data\Cleaned\"/>
    </mc:Choice>
  </mc:AlternateContent>
  <xr:revisionPtr revIDLastSave="0" documentId="13_ncr:1_{D8B9A478-D723-40C8-A673-7CC3A60E1706}" xr6:coauthVersionLast="47" xr6:coauthVersionMax="47" xr10:uidLastSave="{00000000-0000-0000-0000-000000000000}"/>
  <bookViews>
    <workbookView xWindow="-108" yWindow="-108" windowWidth="23256" windowHeight="12456" firstSheet="1" activeTab="2" xr2:uid="{C0C0E0CC-2A33-400D-9287-FCAF61792EC2}"/>
  </bookViews>
  <sheets>
    <sheet name="Raw_Data" sheetId="1" r:id="rId1"/>
    <sheet name="Data_Dictionary" sheetId="2" r:id="rId2"/>
    <sheet name="Cleaned_Data" sheetId="3" r:id="rId3"/>
    <sheet name="PT1_Attrition_Overview" sheetId="4" r:id="rId4"/>
    <sheet name="PT2_Risk_Profile" sheetId="5" r:id="rId5"/>
    <sheet name="PT3_Compensation" sheetId="6" r:id="rId6"/>
    <sheet name="PT4_Satisfaction" sheetId="8" r:id="rId7"/>
    <sheet name="PT5_Cost_Analysis" sheetId="9" r:id="rId8"/>
  </sheets>
  <definedNames>
    <definedName name="_xlnm._FilterDatabase" localSheetId="2" hidden="1">Cleaned_Data!$A$1:$AR$1471</definedName>
    <definedName name="_xlnm._FilterDatabase" localSheetId="4" hidden="1">PT2_Risk_Profile!$H$5:$L$10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9" l="1"/>
  <c r="F20" i="9"/>
  <c r="F21" i="9"/>
  <c r="F22" i="9"/>
  <c r="F23" i="9"/>
  <c r="F24" i="9"/>
  <c r="F25" i="9"/>
  <c r="F26" i="9"/>
  <c r="F18" i="9"/>
  <c r="F9" i="9"/>
  <c r="F10" i="9"/>
  <c r="F8" i="9"/>
  <c r="G27" i="8"/>
  <c r="G26" i="8"/>
  <c r="G25" i="8"/>
  <c r="G24" i="8"/>
  <c r="M18" i="8"/>
  <c r="M17" i="8"/>
  <c r="M16" i="8"/>
  <c r="M15" i="8"/>
  <c r="G18" i="8"/>
  <c r="G17" i="8"/>
  <c r="G16" i="8"/>
  <c r="G15" i="8"/>
  <c r="M9" i="8"/>
  <c r="M8" i="8"/>
  <c r="M7" i="8"/>
  <c r="M6" i="8"/>
  <c r="G6" i="8"/>
  <c r="G7" i="8"/>
  <c r="G8" i="8"/>
  <c r="G9" i="8"/>
  <c r="L23" i="6"/>
  <c r="L24" i="6"/>
  <c r="L25" i="6"/>
  <c r="L26" i="6"/>
  <c r="L22" i="6"/>
  <c r="F23" i="6"/>
  <c r="F24" i="6"/>
  <c r="F25" i="6"/>
  <c r="F26" i="6"/>
  <c r="F27" i="6"/>
  <c r="F22" i="6"/>
  <c r="L16" i="6"/>
  <c r="L15" i="6"/>
  <c r="F16" i="6"/>
  <c r="F17" i="6"/>
  <c r="F15" i="6"/>
  <c r="L8" i="6"/>
  <c r="L7" i="6"/>
  <c r="L9" i="6"/>
  <c r="L6" i="6"/>
  <c r="F7" i="6"/>
  <c r="F8" i="6"/>
  <c r="F9" i="6"/>
  <c r="F10" i="6"/>
  <c r="F6" i="6"/>
  <c r="L34" i="5"/>
  <c r="L38" i="5"/>
  <c r="L37" i="5"/>
  <c r="L36" i="5"/>
  <c r="L35" i="5"/>
  <c r="F35" i="5"/>
  <c r="F36" i="5"/>
  <c r="F37" i="5"/>
  <c r="F38" i="5"/>
  <c r="F39" i="5"/>
  <c r="F34" i="5"/>
  <c r="L28" i="5"/>
  <c r="L24" i="5"/>
  <c r="L25" i="5"/>
  <c r="L27" i="5"/>
  <c r="L26" i="5"/>
  <c r="F25" i="5"/>
  <c r="F26" i="5"/>
  <c r="F27" i="5"/>
  <c r="F28" i="5"/>
  <c r="F29" i="5"/>
  <c r="F24" i="5"/>
  <c r="L17" i="5"/>
  <c r="L16" i="5"/>
  <c r="L18" i="5"/>
  <c r="F17" i="5"/>
  <c r="F18" i="5"/>
  <c r="F19" i="5"/>
  <c r="F16" i="5"/>
  <c r="L8" i="5"/>
  <c r="L9" i="5"/>
  <c r="L10" i="5"/>
  <c r="L6" i="5"/>
  <c r="L7" i="5"/>
  <c r="F7" i="5"/>
  <c r="F8" i="5"/>
  <c r="F9" i="5"/>
  <c r="F10" i="5"/>
  <c r="F11" i="5"/>
  <c r="F6" i="5"/>
  <c r="L27" i="4"/>
  <c r="L26" i="4"/>
  <c r="L14" i="4"/>
  <c r="L15" i="4"/>
  <c r="L16" i="4"/>
  <c r="L17" i="4"/>
  <c r="L18" i="4"/>
  <c r="L19" i="4"/>
  <c r="L20" i="4"/>
  <c r="L21" i="4"/>
  <c r="L13" i="4"/>
  <c r="L7" i="4"/>
  <c r="L8" i="4"/>
  <c r="L6" i="4"/>
  <c r="F27" i="4"/>
  <c r="F28" i="4"/>
  <c r="F26" i="4"/>
  <c r="F14" i="4"/>
  <c r="F15" i="4"/>
  <c r="F16" i="4"/>
  <c r="F17" i="4"/>
  <c r="F18" i="4"/>
  <c r="F19" i="4"/>
  <c r="F20" i="4"/>
  <c r="F21" i="4"/>
  <c r="F22" i="4"/>
  <c r="F13" i="4"/>
  <c r="F7" i="4"/>
  <c r="F8" i="4"/>
  <c r="F9" i="4"/>
  <c r="F6" i="4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770" i="3"/>
  <c r="AR771" i="3"/>
  <c r="AR772" i="3"/>
  <c r="AR773" i="3"/>
  <c r="AR774" i="3"/>
  <c r="AR775" i="3"/>
  <c r="AR776" i="3"/>
  <c r="AR777" i="3"/>
  <c r="AR778" i="3"/>
  <c r="AR779" i="3"/>
  <c r="AR780" i="3"/>
  <c r="AR781" i="3"/>
  <c r="AR782" i="3"/>
  <c r="AR783" i="3"/>
  <c r="AR784" i="3"/>
  <c r="AR785" i="3"/>
  <c r="AR786" i="3"/>
  <c r="AR787" i="3"/>
  <c r="AR788" i="3"/>
  <c r="AR789" i="3"/>
  <c r="AR790" i="3"/>
  <c r="AR791" i="3"/>
  <c r="AR792" i="3"/>
  <c r="AR793" i="3"/>
  <c r="AR794" i="3"/>
  <c r="AR795" i="3"/>
  <c r="AR796" i="3"/>
  <c r="AR797" i="3"/>
  <c r="AR798" i="3"/>
  <c r="AR799" i="3"/>
  <c r="AR800" i="3"/>
  <c r="AR801" i="3"/>
  <c r="AR802" i="3"/>
  <c r="AR803" i="3"/>
  <c r="AR804" i="3"/>
  <c r="AR805" i="3"/>
  <c r="AR806" i="3"/>
  <c r="AR807" i="3"/>
  <c r="AR808" i="3"/>
  <c r="AR809" i="3"/>
  <c r="AR810" i="3"/>
  <c r="AR811" i="3"/>
  <c r="AR812" i="3"/>
  <c r="AR813" i="3"/>
  <c r="AR814" i="3"/>
  <c r="AR815" i="3"/>
  <c r="AR816" i="3"/>
  <c r="AR817" i="3"/>
  <c r="AR818" i="3"/>
  <c r="AR819" i="3"/>
  <c r="AR820" i="3"/>
  <c r="AR821" i="3"/>
  <c r="AR822" i="3"/>
  <c r="AR823" i="3"/>
  <c r="AR824" i="3"/>
  <c r="AR825" i="3"/>
  <c r="AR826" i="3"/>
  <c r="AR827" i="3"/>
  <c r="AR828" i="3"/>
  <c r="AR829" i="3"/>
  <c r="AR830" i="3"/>
  <c r="AR831" i="3"/>
  <c r="AR832" i="3"/>
  <c r="AR833" i="3"/>
  <c r="AR834" i="3"/>
  <c r="AR835" i="3"/>
  <c r="AR836" i="3"/>
  <c r="AR837" i="3"/>
  <c r="AR838" i="3"/>
  <c r="AR839" i="3"/>
  <c r="AR840" i="3"/>
  <c r="AR841" i="3"/>
  <c r="AR842" i="3"/>
  <c r="AR843" i="3"/>
  <c r="AR844" i="3"/>
  <c r="AR845" i="3"/>
  <c r="AR846" i="3"/>
  <c r="AR847" i="3"/>
  <c r="AR848" i="3"/>
  <c r="AR849" i="3"/>
  <c r="AR850" i="3"/>
  <c r="AR851" i="3"/>
  <c r="AR852" i="3"/>
  <c r="AR853" i="3"/>
  <c r="AR854" i="3"/>
  <c r="AR855" i="3"/>
  <c r="AR856" i="3"/>
  <c r="AR857" i="3"/>
  <c r="AR858" i="3"/>
  <c r="AR859" i="3"/>
  <c r="AR860" i="3"/>
  <c r="AR861" i="3"/>
  <c r="AR862" i="3"/>
  <c r="AR863" i="3"/>
  <c r="AR864" i="3"/>
  <c r="AR865" i="3"/>
  <c r="AR866" i="3"/>
  <c r="AR867" i="3"/>
  <c r="AR868" i="3"/>
  <c r="AR869" i="3"/>
  <c r="AR870" i="3"/>
  <c r="AR871" i="3"/>
  <c r="AR872" i="3"/>
  <c r="AR873" i="3"/>
  <c r="AR874" i="3"/>
  <c r="AR875" i="3"/>
  <c r="AR876" i="3"/>
  <c r="AR877" i="3"/>
  <c r="AR878" i="3"/>
  <c r="AR879" i="3"/>
  <c r="AR880" i="3"/>
  <c r="AR881" i="3"/>
  <c r="AR882" i="3"/>
  <c r="AR883" i="3"/>
  <c r="AR884" i="3"/>
  <c r="AR885" i="3"/>
  <c r="AR886" i="3"/>
  <c r="AR887" i="3"/>
  <c r="AR888" i="3"/>
  <c r="AR889" i="3"/>
  <c r="AR890" i="3"/>
  <c r="AR891" i="3"/>
  <c r="AR892" i="3"/>
  <c r="AR893" i="3"/>
  <c r="AR894" i="3"/>
  <c r="AR895" i="3"/>
  <c r="AR896" i="3"/>
  <c r="AR897" i="3"/>
  <c r="AR898" i="3"/>
  <c r="AR899" i="3"/>
  <c r="AR900" i="3"/>
  <c r="AR901" i="3"/>
  <c r="AR902" i="3"/>
  <c r="AR903" i="3"/>
  <c r="AR904" i="3"/>
  <c r="AR905" i="3"/>
  <c r="AR906" i="3"/>
  <c r="AR907" i="3"/>
  <c r="AR908" i="3"/>
  <c r="AR909" i="3"/>
  <c r="AR910" i="3"/>
  <c r="AR911" i="3"/>
  <c r="AR912" i="3"/>
  <c r="AR913" i="3"/>
  <c r="AR914" i="3"/>
  <c r="AR915" i="3"/>
  <c r="AR916" i="3"/>
  <c r="AR917" i="3"/>
  <c r="AR918" i="3"/>
  <c r="AR919" i="3"/>
  <c r="AR920" i="3"/>
  <c r="AR921" i="3"/>
  <c r="AR922" i="3"/>
  <c r="AR923" i="3"/>
  <c r="AR924" i="3"/>
  <c r="AR925" i="3"/>
  <c r="AR926" i="3"/>
  <c r="AR927" i="3"/>
  <c r="AR928" i="3"/>
  <c r="AR929" i="3"/>
  <c r="AR930" i="3"/>
  <c r="AR931" i="3"/>
  <c r="AR932" i="3"/>
  <c r="AR933" i="3"/>
  <c r="AR934" i="3"/>
  <c r="AR935" i="3"/>
  <c r="AR936" i="3"/>
  <c r="AR937" i="3"/>
  <c r="AR938" i="3"/>
  <c r="AR939" i="3"/>
  <c r="AR940" i="3"/>
  <c r="AR941" i="3"/>
  <c r="AR942" i="3"/>
  <c r="AR943" i="3"/>
  <c r="AR944" i="3"/>
  <c r="AR945" i="3"/>
  <c r="AR946" i="3"/>
  <c r="AR947" i="3"/>
  <c r="AR948" i="3"/>
  <c r="AR949" i="3"/>
  <c r="AR950" i="3"/>
  <c r="AR951" i="3"/>
  <c r="AR952" i="3"/>
  <c r="AR953" i="3"/>
  <c r="AR954" i="3"/>
  <c r="AR955" i="3"/>
  <c r="AR956" i="3"/>
  <c r="AR957" i="3"/>
  <c r="AR958" i="3"/>
  <c r="AR959" i="3"/>
  <c r="AR960" i="3"/>
  <c r="AR961" i="3"/>
  <c r="AR962" i="3"/>
  <c r="AR963" i="3"/>
  <c r="AR964" i="3"/>
  <c r="AR965" i="3"/>
  <c r="AR966" i="3"/>
  <c r="AR967" i="3"/>
  <c r="AR968" i="3"/>
  <c r="AR969" i="3"/>
  <c r="AR970" i="3"/>
  <c r="AR971" i="3"/>
  <c r="AR972" i="3"/>
  <c r="AR973" i="3"/>
  <c r="AR974" i="3"/>
  <c r="AR975" i="3"/>
  <c r="AR976" i="3"/>
  <c r="AR977" i="3"/>
  <c r="AR978" i="3"/>
  <c r="AR979" i="3"/>
  <c r="AR980" i="3"/>
  <c r="AR981" i="3"/>
  <c r="AR982" i="3"/>
  <c r="AR983" i="3"/>
  <c r="AR984" i="3"/>
  <c r="AR985" i="3"/>
  <c r="AR986" i="3"/>
  <c r="AR987" i="3"/>
  <c r="AR988" i="3"/>
  <c r="AR989" i="3"/>
  <c r="AR990" i="3"/>
  <c r="AR991" i="3"/>
  <c r="AR992" i="3"/>
  <c r="AR993" i="3"/>
  <c r="AR994" i="3"/>
  <c r="AR995" i="3"/>
  <c r="AR996" i="3"/>
  <c r="AR997" i="3"/>
  <c r="AR998" i="3"/>
  <c r="AR999" i="3"/>
  <c r="AR1000" i="3"/>
  <c r="AR1001" i="3"/>
  <c r="AR1002" i="3"/>
  <c r="AR1003" i="3"/>
  <c r="AR1004" i="3"/>
  <c r="AR1005" i="3"/>
  <c r="AR1006" i="3"/>
  <c r="AR1007" i="3"/>
  <c r="AR1008" i="3"/>
  <c r="AR1009" i="3"/>
  <c r="AR1010" i="3"/>
  <c r="AR1011" i="3"/>
  <c r="AR1012" i="3"/>
  <c r="AR1013" i="3"/>
  <c r="AR1014" i="3"/>
  <c r="AR1015" i="3"/>
  <c r="AR1016" i="3"/>
  <c r="AR1017" i="3"/>
  <c r="AR1018" i="3"/>
  <c r="AR1019" i="3"/>
  <c r="AR1020" i="3"/>
  <c r="AR1021" i="3"/>
  <c r="AR1022" i="3"/>
  <c r="AR1023" i="3"/>
  <c r="AR1024" i="3"/>
  <c r="AR1025" i="3"/>
  <c r="AR1026" i="3"/>
  <c r="AR1027" i="3"/>
  <c r="AR1028" i="3"/>
  <c r="AR1029" i="3"/>
  <c r="AR1030" i="3"/>
  <c r="AR1031" i="3"/>
  <c r="AR1032" i="3"/>
  <c r="AR1033" i="3"/>
  <c r="AR1034" i="3"/>
  <c r="AR1035" i="3"/>
  <c r="AR1036" i="3"/>
  <c r="AR1037" i="3"/>
  <c r="AR1038" i="3"/>
  <c r="AR1039" i="3"/>
  <c r="AR1040" i="3"/>
  <c r="AR1041" i="3"/>
  <c r="AR1042" i="3"/>
  <c r="AR1043" i="3"/>
  <c r="AR1044" i="3"/>
  <c r="AR1045" i="3"/>
  <c r="AR1046" i="3"/>
  <c r="AR1047" i="3"/>
  <c r="AR1048" i="3"/>
  <c r="AR1049" i="3"/>
  <c r="AR1050" i="3"/>
  <c r="AR1051" i="3"/>
  <c r="AR1052" i="3"/>
  <c r="AR1053" i="3"/>
  <c r="AR1054" i="3"/>
  <c r="AR1055" i="3"/>
  <c r="AR1056" i="3"/>
  <c r="AR1057" i="3"/>
  <c r="AR1058" i="3"/>
  <c r="AR1059" i="3"/>
  <c r="AR1060" i="3"/>
  <c r="AR1061" i="3"/>
  <c r="AR1062" i="3"/>
  <c r="AR1063" i="3"/>
  <c r="AR1064" i="3"/>
  <c r="AR1065" i="3"/>
  <c r="AR1066" i="3"/>
  <c r="AR1067" i="3"/>
  <c r="AR1068" i="3"/>
  <c r="AR1069" i="3"/>
  <c r="AR1070" i="3"/>
  <c r="AR1071" i="3"/>
  <c r="AR1072" i="3"/>
  <c r="AR1073" i="3"/>
  <c r="AR1074" i="3"/>
  <c r="AR1075" i="3"/>
  <c r="AR1076" i="3"/>
  <c r="AR1077" i="3"/>
  <c r="AR1078" i="3"/>
  <c r="AR1079" i="3"/>
  <c r="AR1080" i="3"/>
  <c r="AR1081" i="3"/>
  <c r="AR1082" i="3"/>
  <c r="AR1083" i="3"/>
  <c r="AR1084" i="3"/>
  <c r="AR1085" i="3"/>
  <c r="AR1086" i="3"/>
  <c r="AR1087" i="3"/>
  <c r="AR1088" i="3"/>
  <c r="AR1089" i="3"/>
  <c r="AR1090" i="3"/>
  <c r="AR1091" i="3"/>
  <c r="AR1092" i="3"/>
  <c r="AR1093" i="3"/>
  <c r="AR1094" i="3"/>
  <c r="AR1095" i="3"/>
  <c r="AR1096" i="3"/>
  <c r="AR1097" i="3"/>
  <c r="AR1098" i="3"/>
  <c r="AR1099" i="3"/>
  <c r="AR1100" i="3"/>
  <c r="AR1101" i="3"/>
  <c r="AR1102" i="3"/>
  <c r="AR1103" i="3"/>
  <c r="AR1104" i="3"/>
  <c r="AR1105" i="3"/>
  <c r="AR1106" i="3"/>
  <c r="AR1107" i="3"/>
  <c r="AR1108" i="3"/>
  <c r="AR1109" i="3"/>
  <c r="AR1110" i="3"/>
  <c r="AR1111" i="3"/>
  <c r="AR1112" i="3"/>
  <c r="AR1113" i="3"/>
  <c r="AR1114" i="3"/>
  <c r="AR1115" i="3"/>
  <c r="AR1116" i="3"/>
  <c r="AR1117" i="3"/>
  <c r="AR1118" i="3"/>
  <c r="AR1119" i="3"/>
  <c r="AR1120" i="3"/>
  <c r="AR1121" i="3"/>
  <c r="AR1122" i="3"/>
  <c r="AR1123" i="3"/>
  <c r="AR1124" i="3"/>
  <c r="AR1125" i="3"/>
  <c r="AR1126" i="3"/>
  <c r="AR1127" i="3"/>
  <c r="AR1128" i="3"/>
  <c r="AR1129" i="3"/>
  <c r="AR1130" i="3"/>
  <c r="AR1131" i="3"/>
  <c r="AR1132" i="3"/>
  <c r="AR1133" i="3"/>
  <c r="AR1134" i="3"/>
  <c r="AR1135" i="3"/>
  <c r="AR1136" i="3"/>
  <c r="AR1137" i="3"/>
  <c r="AR1138" i="3"/>
  <c r="AR1139" i="3"/>
  <c r="AR1140" i="3"/>
  <c r="AR1141" i="3"/>
  <c r="AR1142" i="3"/>
  <c r="AR1143" i="3"/>
  <c r="AR1144" i="3"/>
  <c r="AR1145" i="3"/>
  <c r="AR1146" i="3"/>
  <c r="AR1147" i="3"/>
  <c r="AR1148" i="3"/>
  <c r="AR1149" i="3"/>
  <c r="AR1150" i="3"/>
  <c r="AR1151" i="3"/>
  <c r="AR1152" i="3"/>
  <c r="AR1153" i="3"/>
  <c r="AR1154" i="3"/>
  <c r="AR1155" i="3"/>
  <c r="AR1156" i="3"/>
  <c r="AR1157" i="3"/>
  <c r="AR1158" i="3"/>
  <c r="AR1159" i="3"/>
  <c r="AR1160" i="3"/>
  <c r="AR1161" i="3"/>
  <c r="AR1162" i="3"/>
  <c r="AR1163" i="3"/>
  <c r="AR1164" i="3"/>
  <c r="AR1165" i="3"/>
  <c r="AR1166" i="3"/>
  <c r="AR1167" i="3"/>
  <c r="AR1168" i="3"/>
  <c r="AR1169" i="3"/>
  <c r="AR1170" i="3"/>
  <c r="AR1171" i="3"/>
  <c r="AR1172" i="3"/>
  <c r="AR1173" i="3"/>
  <c r="AR1174" i="3"/>
  <c r="AR1175" i="3"/>
  <c r="AR1176" i="3"/>
  <c r="AR1177" i="3"/>
  <c r="AR1178" i="3"/>
  <c r="AR1179" i="3"/>
  <c r="AR1180" i="3"/>
  <c r="AR1181" i="3"/>
  <c r="AR1182" i="3"/>
  <c r="AR1183" i="3"/>
  <c r="AR1184" i="3"/>
  <c r="AR1185" i="3"/>
  <c r="AR1186" i="3"/>
  <c r="AR1187" i="3"/>
  <c r="AR1188" i="3"/>
  <c r="AR1189" i="3"/>
  <c r="AR1190" i="3"/>
  <c r="AR1191" i="3"/>
  <c r="AR1192" i="3"/>
  <c r="AR1193" i="3"/>
  <c r="AR1194" i="3"/>
  <c r="AR1195" i="3"/>
  <c r="AR1196" i="3"/>
  <c r="AR1197" i="3"/>
  <c r="AR1198" i="3"/>
  <c r="AR1199" i="3"/>
  <c r="AR1200" i="3"/>
  <c r="AR1201" i="3"/>
  <c r="AR1202" i="3"/>
  <c r="AR1203" i="3"/>
  <c r="AR1204" i="3"/>
  <c r="AR1205" i="3"/>
  <c r="AR1206" i="3"/>
  <c r="AR1207" i="3"/>
  <c r="AR1208" i="3"/>
  <c r="AR1209" i="3"/>
  <c r="AR1210" i="3"/>
  <c r="AR1211" i="3"/>
  <c r="AR1212" i="3"/>
  <c r="AR1213" i="3"/>
  <c r="AR1214" i="3"/>
  <c r="AR1215" i="3"/>
  <c r="AR1216" i="3"/>
  <c r="AR1217" i="3"/>
  <c r="AR1218" i="3"/>
  <c r="AR1219" i="3"/>
  <c r="AR1220" i="3"/>
  <c r="AR1221" i="3"/>
  <c r="AR1222" i="3"/>
  <c r="AR1223" i="3"/>
  <c r="AR1224" i="3"/>
  <c r="AR1225" i="3"/>
  <c r="AR1226" i="3"/>
  <c r="AR1227" i="3"/>
  <c r="AR1228" i="3"/>
  <c r="AR1229" i="3"/>
  <c r="AR1230" i="3"/>
  <c r="AR1231" i="3"/>
  <c r="AR1232" i="3"/>
  <c r="AR1233" i="3"/>
  <c r="AR1234" i="3"/>
  <c r="AR1235" i="3"/>
  <c r="AR1236" i="3"/>
  <c r="AR1237" i="3"/>
  <c r="AR1238" i="3"/>
  <c r="AR1239" i="3"/>
  <c r="AR1240" i="3"/>
  <c r="AR1241" i="3"/>
  <c r="AR1242" i="3"/>
  <c r="AR1243" i="3"/>
  <c r="AR1244" i="3"/>
  <c r="AR1245" i="3"/>
  <c r="AR1246" i="3"/>
  <c r="AR1247" i="3"/>
  <c r="AR1248" i="3"/>
  <c r="AR1249" i="3"/>
  <c r="AR1250" i="3"/>
  <c r="AR1251" i="3"/>
  <c r="AR1252" i="3"/>
  <c r="AR1253" i="3"/>
  <c r="AR1254" i="3"/>
  <c r="AR1255" i="3"/>
  <c r="AR1256" i="3"/>
  <c r="AR1257" i="3"/>
  <c r="AR1258" i="3"/>
  <c r="AR1259" i="3"/>
  <c r="AR1260" i="3"/>
  <c r="AR1261" i="3"/>
  <c r="AR1262" i="3"/>
  <c r="AR1263" i="3"/>
  <c r="AR1264" i="3"/>
  <c r="AR1265" i="3"/>
  <c r="AR1266" i="3"/>
  <c r="AR1267" i="3"/>
  <c r="AR1268" i="3"/>
  <c r="AR1269" i="3"/>
  <c r="AR1270" i="3"/>
  <c r="AR1271" i="3"/>
  <c r="AR1272" i="3"/>
  <c r="AR1273" i="3"/>
  <c r="AR1274" i="3"/>
  <c r="AR1275" i="3"/>
  <c r="AR1276" i="3"/>
  <c r="AR1277" i="3"/>
  <c r="AR1278" i="3"/>
  <c r="AR1279" i="3"/>
  <c r="AR1280" i="3"/>
  <c r="AR1281" i="3"/>
  <c r="AR1282" i="3"/>
  <c r="AR1283" i="3"/>
  <c r="AR1284" i="3"/>
  <c r="AR1285" i="3"/>
  <c r="AR1286" i="3"/>
  <c r="AR1287" i="3"/>
  <c r="AR1288" i="3"/>
  <c r="AR1289" i="3"/>
  <c r="AR1290" i="3"/>
  <c r="AR1291" i="3"/>
  <c r="AR1292" i="3"/>
  <c r="AR1293" i="3"/>
  <c r="AR1294" i="3"/>
  <c r="AR1295" i="3"/>
  <c r="AR1296" i="3"/>
  <c r="AR1297" i="3"/>
  <c r="AR1298" i="3"/>
  <c r="AR1299" i="3"/>
  <c r="AR1300" i="3"/>
  <c r="AR1301" i="3"/>
  <c r="AR1302" i="3"/>
  <c r="AR1303" i="3"/>
  <c r="AR1304" i="3"/>
  <c r="AR1305" i="3"/>
  <c r="AR1306" i="3"/>
  <c r="AR1307" i="3"/>
  <c r="AR1308" i="3"/>
  <c r="AR1309" i="3"/>
  <c r="AR1310" i="3"/>
  <c r="AR1311" i="3"/>
  <c r="AR1312" i="3"/>
  <c r="AR1313" i="3"/>
  <c r="AR1314" i="3"/>
  <c r="AR1315" i="3"/>
  <c r="AR1316" i="3"/>
  <c r="AR1317" i="3"/>
  <c r="AR1318" i="3"/>
  <c r="AR1319" i="3"/>
  <c r="AR1320" i="3"/>
  <c r="AR1321" i="3"/>
  <c r="AR1322" i="3"/>
  <c r="AR1323" i="3"/>
  <c r="AR1324" i="3"/>
  <c r="AR1325" i="3"/>
  <c r="AR1326" i="3"/>
  <c r="AR1327" i="3"/>
  <c r="AR1328" i="3"/>
  <c r="AR1329" i="3"/>
  <c r="AR1330" i="3"/>
  <c r="AR1331" i="3"/>
  <c r="AR1332" i="3"/>
  <c r="AR1333" i="3"/>
  <c r="AR1334" i="3"/>
  <c r="AR1335" i="3"/>
  <c r="AR1336" i="3"/>
  <c r="AR1337" i="3"/>
  <c r="AR1338" i="3"/>
  <c r="AR1339" i="3"/>
  <c r="AR1340" i="3"/>
  <c r="AR1341" i="3"/>
  <c r="AR1342" i="3"/>
  <c r="AR1343" i="3"/>
  <c r="AR1344" i="3"/>
  <c r="AR1345" i="3"/>
  <c r="AR1346" i="3"/>
  <c r="AR1347" i="3"/>
  <c r="AR1348" i="3"/>
  <c r="AR1349" i="3"/>
  <c r="AR1350" i="3"/>
  <c r="AR1351" i="3"/>
  <c r="AR1352" i="3"/>
  <c r="AR1353" i="3"/>
  <c r="AR1354" i="3"/>
  <c r="AR1355" i="3"/>
  <c r="AR1356" i="3"/>
  <c r="AR1357" i="3"/>
  <c r="AR1358" i="3"/>
  <c r="AR1359" i="3"/>
  <c r="AR1360" i="3"/>
  <c r="AR1361" i="3"/>
  <c r="AR1362" i="3"/>
  <c r="AR1363" i="3"/>
  <c r="AR1364" i="3"/>
  <c r="AR1365" i="3"/>
  <c r="AR1366" i="3"/>
  <c r="AR1367" i="3"/>
  <c r="AR1368" i="3"/>
  <c r="AR1369" i="3"/>
  <c r="AR1370" i="3"/>
  <c r="AR1371" i="3"/>
  <c r="AR1372" i="3"/>
  <c r="AR1373" i="3"/>
  <c r="AR1374" i="3"/>
  <c r="AR1375" i="3"/>
  <c r="AR1376" i="3"/>
  <c r="AR1377" i="3"/>
  <c r="AR1378" i="3"/>
  <c r="AR1379" i="3"/>
  <c r="AR1380" i="3"/>
  <c r="AR1381" i="3"/>
  <c r="AR1382" i="3"/>
  <c r="AR1383" i="3"/>
  <c r="AR1384" i="3"/>
  <c r="AR1385" i="3"/>
  <c r="AR1386" i="3"/>
  <c r="AR1387" i="3"/>
  <c r="AR1388" i="3"/>
  <c r="AR1389" i="3"/>
  <c r="AR1390" i="3"/>
  <c r="AR1391" i="3"/>
  <c r="AR1392" i="3"/>
  <c r="AR1393" i="3"/>
  <c r="AR1394" i="3"/>
  <c r="AR1395" i="3"/>
  <c r="AR1396" i="3"/>
  <c r="AR1397" i="3"/>
  <c r="AR1398" i="3"/>
  <c r="AR1399" i="3"/>
  <c r="AR1400" i="3"/>
  <c r="AR1401" i="3"/>
  <c r="AR1402" i="3"/>
  <c r="AR1403" i="3"/>
  <c r="AR1404" i="3"/>
  <c r="AR1405" i="3"/>
  <c r="AR1406" i="3"/>
  <c r="AR1407" i="3"/>
  <c r="AR1408" i="3"/>
  <c r="AR1409" i="3"/>
  <c r="AR1410" i="3"/>
  <c r="AR1411" i="3"/>
  <c r="AR1412" i="3"/>
  <c r="AR1413" i="3"/>
  <c r="AR1414" i="3"/>
  <c r="AR1415" i="3"/>
  <c r="AR1416" i="3"/>
  <c r="AR1417" i="3"/>
  <c r="AR1418" i="3"/>
  <c r="AR1419" i="3"/>
  <c r="AR1420" i="3"/>
  <c r="AR1421" i="3"/>
  <c r="AR1422" i="3"/>
  <c r="AR1423" i="3"/>
  <c r="AR1424" i="3"/>
  <c r="AR1425" i="3"/>
  <c r="AR1426" i="3"/>
  <c r="AR1427" i="3"/>
  <c r="AR1428" i="3"/>
  <c r="AR1429" i="3"/>
  <c r="AR1430" i="3"/>
  <c r="AR1431" i="3"/>
  <c r="AR1432" i="3"/>
  <c r="AR1433" i="3"/>
  <c r="AR1434" i="3"/>
  <c r="AR1435" i="3"/>
  <c r="AR1436" i="3"/>
  <c r="AR1437" i="3"/>
  <c r="AR1438" i="3"/>
  <c r="AR1439" i="3"/>
  <c r="AR1440" i="3"/>
  <c r="AR1441" i="3"/>
  <c r="AR1442" i="3"/>
  <c r="AR1443" i="3"/>
  <c r="AR1444" i="3"/>
  <c r="AR1445" i="3"/>
  <c r="AR1446" i="3"/>
  <c r="AR1447" i="3"/>
  <c r="AR1448" i="3"/>
  <c r="AR1449" i="3"/>
  <c r="AR1450" i="3"/>
  <c r="AR1451" i="3"/>
  <c r="AR1452" i="3"/>
  <c r="AR1453" i="3"/>
  <c r="AR1454" i="3"/>
  <c r="AR1455" i="3"/>
  <c r="AR1456" i="3"/>
  <c r="AR1457" i="3"/>
  <c r="AR1458" i="3"/>
  <c r="AR1459" i="3"/>
  <c r="AR1460" i="3"/>
  <c r="AR1461" i="3"/>
  <c r="AR1462" i="3"/>
  <c r="AR1463" i="3"/>
  <c r="AR1464" i="3"/>
  <c r="AR1465" i="3"/>
  <c r="AR1466" i="3"/>
  <c r="AR1467" i="3"/>
  <c r="AR1468" i="3"/>
  <c r="AR1469" i="3"/>
  <c r="AR1470" i="3"/>
  <c r="AR1471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Q722" i="3"/>
  <c r="AQ723" i="3"/>
  <c r="AQ724" i="3"/>
  <c r="AQ725" i="3"/>
  <c r="AQ726" i="3"/>
  <c r="AQ727" i="3"/>
  <c r="AQ728" i="3"/>
  <c r="AQ729" i="3"/>
  <c r="AQ730" i="3"/>
  <c r="AQ731" i="3"/>
  <c r="AQ732" i="3"/>
  <c r="AQ733" i="3"/>
  <c r="AQ734" i="3"/>
  <c r="AQ735" i="3"/>
  <c r="AQ736" i="3"/>
  <c r="AQ737" i="3"/>
  <c r="AQ738" i="3"/>
  <c r="AQ739" i="3"/>
  <c r="AQ740" i="3"/>
  <c r="AQ741" i="3"/>
  <c r="AQ742" i="3"/>
  <c r="AQ743" i="3"/>
  <c r="AQ744" i="3"/>
  <c r="AQ745" i="3"/>
  <c r="AQ746" i="3"/>
  <c r="AQ747" i="3"/>
  <c r="AQ748" i="3"/>
  <c r="AQ749" i="3"/>
  <c r="AQ750" i="3"/>
  <c r="AQ751" i="3"/>
  <c r="AQ752" i="3"/>
  <c r="AQ753" i="3"/>
  <c r="AQ754" i="3"/>
  <c r="AQ755" i="3"/>
  <c r="AQ756" i="3"/>
  <c r="AQ757" i="3"/>
  <c r="AQ758" i="3"/>
  <c r="AQ759" i="3"/>
  <c r="AQ760" i="3"/>
  <c r="AQ761" i="3"/>
  <c r="AQ762" i="3"/>
  <c r="AQ763" i="3"/>
  <c r="AQ764" i="3"/>
  <c r="AQ765" i="3"/>
  <c r="AQ766" i="3"/>
  <c r="AQ767" i="3"/>
  <c r="AQ768" i="3"/>
  <c r="AQ769" i="3"/>
  <c r="AQ770" i="3"/>
  <c r="AQ771" i="3"/>
  <c r="AQ772" i="3"/>
  <c r="AQ773" i="3"/>
  <c r="AQ774" i="3"/>
  <c r="AQ775" i="3"/>
  <c r="AQ776" i="3"/>
  <c r="AQ777" i="3"/>
  <c r="AQ778" i="3"/>
  <c r="AQ779" i="3"/>
  <c r="AQ780" i="3"/>
  <c r="AQ781" i="3"/>
  <c r="AQ782" i="3"/>
  <c r="AQ783" i="3"/>
  <c r="AQ784" i="3"/>
  <c r="AQ785" i="3"/>
  <c r="AQ786" i="3"/>
  <c r="AQ787" i="3"/>
  <c r="AQ788" i="3"/>
  <c r="AQ789" i="3"/>
  <c r="AQ790" i="3"/>
  <c r="AQ791" i="3"/>
  <c r="AQ792" i="3"/>
  <c r="AQ793" i="3"/>
  <c r="AQ794" i="3"/>
  <c r="AQ795" i="3"/>
  <c r="AQ796" i="3"/>
  <c r="AQ797" i="3"/>
  <c r="AQ798" i="3"/>
  <c r="AQ799" i="3"/>
  <c r="AQ800" i="3"/>
  <c r="AQ801" i="3"/>
  <c r="AQ802" i="3"/>
  <c r="AQ803" i="3"/>
  <c r="AQ804" i="3"/>
  <c r="AQ805" i="3"/>
  <c r="AQ806" i="3"/>
  <c r="AQ807" i="3"/>
  <c r="AQ808" i="3"/>
  <c r="AQ809" i="3"/>
  <c r="AQ810" i="3"/>
  <c r="AQ811" i="3"/>
  <c r="AQ812" i="3"/>
  <c r="AQ813" i="3"/>
  <c r="AQ814" i="3"/>
  <c r="AQ815" i="3"/>
  <c r="AQ816" i="3"/>
  <c r="AQ817" i="3"/>
  <c r="AQ818" i="3"/>
  <c r="AQ819" i="3"/>
  <c r="AQ820" i="3"/>
  <c r="AQ821" i="3"/>
  <c r="AQ822" i="3"/>
  <c r="AQ823" i="3"/>
  <c r="AQ824" i="3"/>
  <c r="AQ825" i="3"/>
  <c r="AQ826" i="3"/>
  <c r="AQ827" i="3"/>
  <c r="AQ828" i="3"/>
  <c r="AQ829" i="3"/>
  <c r="AQ830" i="3"/>
  <c r="AQ831" i="3"/>
  <c r="AQ832" i="3"/>
  <c r="AQ833" i="3"/>
  <c r="AQ834" i="3"/>
  <c r="AQ835" i="3"/>
  <c r="AQ836" i="3"/>
  <c r="AQ837" i="3"/>
  <c r="AQ838" i="3"/>
  <c r="AQ839" i="3"/>
  <c r="AQ840" i="3"/>
  <c r="AQ841" i="3"/>
  <c r="AQ842" i="3"/>
  <c r="AQ843" i="3"/>
  <c r="AQ844" i="3"/>
  <c r="AQ845" i="3"/>
  <c r="AQ846" i="3"/>
  <c r="AQ847" i="3"/>
  <c r="AQ848" i="3"/>
  <c r="AQ849" i="3"/>
  <c r="AQ850" i="3"/>
  <c r="AQ851" i="3"/>
  <c r="AQ852" i="3"/>
  <c r="AQ853" i="3"/>
  <c r="AQ854" i="3"/>
  <c r="AQ855" i="3"/>
  <c r="AQ856" i="3"/>
  <c r="AQ857" i="3"/>
  <c r="AQ858" i="3"/>
  <c r="AQ859" i="3"/>
  <c r="AQ860" i="3"/>
  <c r="AQ861" i="3"/>
  <c r="AQ862" i="3"/>
  <c r="AQ863" i="3"/>
  <c r="AQ864" i="3"/>
  <c r="AQ865" i="3"/>
  <c r="AQ866" i="3"/>
  <c r="AQ867" i="3"/>
  <c r="AQ868" i="3"/>
  <c r="AQ869" i="3"/>
  <c r="AQ870" i="3"/>
  <c r="AQ871" i="3"/>
  <c r="AQ872" i="3"/>
  <c r="AQ873" i="3"/>
  <c r="AQ874" i="3"/>
  <c r="AQ875" i="3"/>
  <c r="AQ876" i="3"/>
  <c r="AQ877" i="3"/>
  <c r="AQ878" i="3"/>
  <c r="AQ879" i="3"/>
  <c r="AQ880" i="3"/>
  <c r="AQ881" i="3"/>
  <c r="AQ882" i="3"/>
  <c r="AQ883" i="3"/>
  <c r="AQ884" i="3"/>
  <c r="AQ885" i="3"/>
  <c r="AQ886" i="3"/>
  <c r="AQ887" i="3"/>
  <c r="AQ888" i="3"/>
  <c r="AQ889" i="3"/>
  <c r="AQ890" i="3"/>
  <c r="AQ891" i="3"/>
  <c r="AQ892" i="3"/>
  <c r="AQ893" i="3"/>
  <c r="AQ894" i="3"/>
  <c r="AQ895" i="3"/>
  <c r="AQ896" i="3"/>
  <c r="AQ897" i="3"/>
  <c r="AQ898" i="3"/>
  <c r="AQ899" i="3"/>
  <c r="AQ900" i="3"/>
  <c r="AQ901" i="3"/>
  <c r="AQ902" i="3"/>
  <c r="AQ903" i="3"/>
  <c r="AQ904" i="3"/>
  <c r="AQ905" i="3"/>
  <c r="AQ906" i="3"/>
  <c r="AQ907" i="3"/>
  <c r="AQ908" i="3"/>
  <c r="AQ909" i="3"/>
  <c r="AQ910" i="3"/>
  <c r="AQ911" i="3"/>
  <c r="AQ912" i="3"/>
  <c r="AQ913" i="3"/>
  <c r="AQ914" i="3"/>
  <c r="AQ915" i="3"/>
  <c r="AQ916" i="3"/>
  <c r="AQ917" i="3"/>
  <c r="AQ918" i="3"/>
  <c r="AQ919" i="3"/>
  <c r="AQ920" i="3"/>
  <c r="AQ921" i="3"/>
  <c r="AQ922" i="3"/>
  <c r="AQ923" i="3"/>
  <c r="AQ924" i="3"/>
  <c r="AQ925" i="3"/>
  <c r="AQ926" i="3"/>
  <c r="AQ927" i="3"/>
  <c r="AQ928" i="3"/>
  <c r="AQ929" i="3"/>
  <c r="AQ930" i="3"/>
  <c r="AQ931" i="3"/>
  <c r="AQ932" i="3"/>
  <c r="AQ933" i="3"/>
  <c r="AQ934" i="3"/>
  <c r="AQ935" i="3"/>
  <c r="AQ936" i="3"/>
  <c r="AQ937" i="3"/>
  <c r="AQ938" i="3"/>
  <c r="AQ939" i="3"/>
  <c r="AQ940" i="3"/>
  <c r="AQ941" i="3"/>
  <c r="AQ942" i="3"/>
  <c r="AQ943" i="3"/>
  <c r="AQ944" i="3"/>
  <c r="AQ945" i="3"/>
  <c r="AQ946" i="3"/>
  <c r="AQ947" i="3"/>
  <c r="AQ948" i="3"/>
  <c r="AQ949" i="3"/>
  <c r="AQ950" i="3"/>
  <c r="AQ951" i="3"/>
  <c r="AQ952" i="3"/>
  <c r="AQ953" i="3"/>
  <c r="AQ954" i="3"/>
  <c r="AQ955" i="3"/>
  <c r="AQ956" i="3"/>
  <c r="AQ957" i="3"/>
  <c r="AQ958" i="3"/>
  <c r="AQ959" i="3"/>
  <c r="AQ960" i="3"/>
  <c r="AQ961" i="3"/>
  <c r="AQ962" i="3"/>
  <c r="AQ963" i="3"/>
  <c r="AQ964" i="3"/>
  <c r="AQ965" i="3"/>
  <c r="AQ966" i="3"/>
  <c r="AQ967" i="3"/>
  <c r="AQ968" i="3"/>
  <c r="AQ969" i="3"/>
  <c r="AQ970" i="3"/>
  <c r="AQ971" i="3"/>
  <c r="AQ972" i="3"/>
  <c r="AQ973" i="3"/>
  <c r="AQ974" i="3"/>
  <c r="AQ975" i="3"/>
  <c r="AQ976" i="3"/>
  <c r="AQ977" i="3"/>
  <c r="AQ978" i="3"/>
  <c r="AQ979" i="3"/>
  <c r="AQ980" i="3"/>
  <c r="AQ981" i="3"/>
  <c r="AQ982" i="3"/>
  <c r="AQ983" i="3"/>
  <c r="AQ984" i="3"/>
  <c r="AQ985" i="3"/>
  <c r="AQ986" i="3"/>
  <c r="AQ987" i="3"/>
  <c r="AQ988" i="3"/>
  <c r="AQ989" i="3"/>
  <c r="AQ990" i="3"/>
  <c r="AQ991" i="3"/>
  <c r="AQ992" i="3"/>
  <c r="AQ993" i="3"/>
  <c r="AQ994" i="3"/>
  <c r="AQ995" i="3"/>
  <c r="AQ996" i="3"/>
  <c r="AQ997" i="3"/>
  <c r="AQ998" i="3"/>
  <c r="AQ999" i="3"/>
  <c r="AQ1000" i="3"/>
  <c r="AQ1001" i="3"/>
  <c r="AQ1002" i="3"/>
  <c r="AQ1003" i="3"/>
  <c r="AQ1004" i="3"/>
  <c r="AQ1005" i="3"/>
  <c r="AQ1006" i="3"/>
  <c r="AQ1007" i="3"/>
  <c r="AQ1008" i="3"/>
  <c r="AQ1009" i="3"/>
  <c r="AQ1010" i="3"/>
  <c r="AQ1011" i="3"/>
  <c r="AQ1012" i="3"/>
  <c r="AQ1013" i="3"/>
  <c r="AQ1014" i="3"/>
  <c r="AQ1015" i="3"/>
  <c r="AQ1016" i="3"/>
  <c r="AQ1017" i="3"/>
  <c r="AQ1018" i="3"/>
  <c r="AQ1019" i="3"/>
  <c r="AQ1020" i="3"/>
  <c r="AQ1021" i="3"/>
  <c r="AQ1022" i="3"/>
  <c r="AQ1023" i="3"/>
  <c r="AQ1024" i="3"/>
  <c r="AQ1025" i="3"/>
  <c r="AQ1026" i="3"/>
  <c r="AQ1027" i="3"/>
  <c r="AQ1028" i="3"/>
  <c r="AQ1029" i="3"/>
  <c r="AQ1030" i="3"/>
  <c r="AQ1031" i="3"/>
  <c r="AQ1032" i="3"/>
  <c r="AQ1033" i="3"/>
  <c r="AQ1034" i="3"/>
  <c r="AQ1035" i="3"/>
  <c r="AQ1036" i="3"/>
  <c r="AQ1037" i="3"/>
  <c r="AQ1038" i="3"/>
  <c r="AQ1039" i="3"/>
  <c r="AQ1040" i="3"/>
  <c r="AQ1041" i="3"/>
  <c r="AQ1042" i="3"/>
  <c r="AQ1043" i="3"/>
  <c r="AQ1044" i="3"/>
  <c r="AQ1045" i="3"/>
  <c r="AQ1046" i="3"/>
  <c r="AQ1047" i="3"/>
  <c r="AQ1048" i="3"/>
  <c r="AQ1049" i="3"/>
  <c r="AQ1050" i="3"/>
  <c r="AQ1051" i="3"/>
  <c r="AQ1052" i="3"/>
  <c r="AQ1053" i="3"/>
  <c r="AQ1054" i="3"/>
  <c r="AQ1055" i="3"/>
  <c r="AQ1056" i="3"/>
  <c r="AQ1057" i="3"/>
  <c r="AQ1058" i="3"/>
  <c r="AQ1059" i="3"/>
  <c r="AQ1060" i="3"/>
  <c r="AQ1061" i="3"/>
  <c r="AQ1062" i="3"/>
  <c r="AQ1063" i="3"/>
  <c r="AQ1064" i="3"/>
  <c r="AQ1065" i="3"/>
  <c r="AQ1066" i="3"/>
  <c r="AQ1067" i="3"/>
  <c r="AQ1068" i="3"/>
  <c r="AQ1069" i="3"/>
  <c r="AQ1070" i="3"/>
  <c r="AQ1071" i="3"/>
  <c r="AQ1072" i="3"/>
  <c r="AQ1073" i="3"/>
  <c r="AQ1074" i="3"/>
  <c r="AQ1075" i="3"/>
  <c r="AQ1076" i="3"/>
  <c r="AQ1077" i="3"/>
  <c r="AQ1078" i="3"/>
  <c r="AQ1079" i="3"/>
  <c r="AQ1080" i="3"/>
  <c r="AQ1081" i="3"/>
  <c r="AQ1082" i="3"/>
  <c r="AQ1083" i="3"/>
  <c r="AQ1084" i="3"/>
  <c r="AQ1085" i="3"/>
  <c r="AQ1086" i="3"/>
  <c r="AQ1087" i="3"/>
  <c r="AQ1088" i="3"/>
  <c r="AQ1089" i="3"/>
  <c r="AQ1090" i="3"/>
  <c r="AQ1091" i="3"/>
  <c r="AQ1092" i="3"/>
  <c r="AQ1093" i="3"/>
  <c r="AQ1094" i="3"/>
  <c r="AQ1095" i="3"/>
  <c r="AQ1096" i="3"/>
  <c r="AQ1097" i="3"/>
  <c r="AQ1098" i="3"/>
  <c r="AQ1099" i="3"/>
  <c r="AQ1100" i="3"/>
  <c r="AQ1101" i="3"/>
  <c r="AQ1102" i="3"/>
  <c r="AQ1103" i="3"/>
  <c r="AQ1104" i="3"/>
  <c r="AQ1105" i="3"/>
  <c r="AQ1106" i="3"/>
  <c r="AQ1107" i="3"/>
  <c r="AQ1108" i="3"/>
  <c r="AQ1109" i="3"/>
  <c r="AQ1110" i="3"/>
  <c r="AQ1111" i="3"/>
  <c r="AQ1112" i="3"/>
  <c r="AQ1113" i="3"/>
  <c r="AQ1114" i="3"/>
  <c r="AQ1115" i="3"/>
  <c r="AQ1116" i="3"/>
  <c r="AQ1117" i="3"/>
  <c r="AQ1118" i="3"/>
  <c r="AQ1119" i="3"/>
  <c r="AQ1120" i="3"/>
  <c r="AQ1121" i="3"/>
  <c r="AQ1122" i="3"/>
  <c r="AQ1123" i="3"/>
  <c r="AQ1124" i="3"/>
  <c r="AQ1125" i="3"/>
  <c r="AQ1126" i="3"/>
  <c r="AQ1127" i="3"/>
  <c r="AQ1128" i="3"/>
  <c r="AQ1129" i="3"/>
  <c r="AQ1130" i="3"/>
  <c r="AQ1131" i="3"/>
  <c r="AQ1132" i="3"/>
  <c r="AQ1133" i="3"/>
  <c r="AQ1134" i="3"/>
  <c r="AQ1135" i="3"/>
  <c r="AQ1136" i="3"/>
  <c r="AQ1137" i="3"/>
  <c r="AQ1138" i="3"/>
  <c r="AQ1139" i="3"/>
  <c r="AQ1140" i="3"/>
  <c r="AQ1141" i="3"/>
  <c r="AQ1142" i="3"/>
  <c r="AQ1143" i="3"/>
  <c r="AQ1144" i="3"/>
  <c r="AQ1145" i="3"/>
  <c r="AQ1146" i="3"/>
  <c r="AQ1147" i="3"/>
  <c r="AQ1148" i="3"/>
  <c r="AQ1149" i="3"/>
  <c r="AQ1150" i="3"/>
  <c r="AQ1151" i="3"/>
  <c r="AQ1152" i="3"/>
  <c r="AQ1153" i="3"/>
  <c r="AQ1154" i="3"/>
  <c r="AQ1155" i="3"/>
  <c r="AQ1156" i="3"/>
  <c r="AQ1157" i="3"/>
  <c r="AQ1158" i="3"/>
  <c r="AQ1159" i="3"/>
  <c r="AQ1160" i="3"/>
  <c r="AQ1161" i="3"/>
  <c r="AQ1162" i="3"/>
  <c r="AQ1163" i="3"/>
  <c r="AQ1164" i="3"/>
  <c r="AQ1165" i="3"/>
  <c r="AQ1166" i="3"/>
  <c r="AQ1167" i="3"/>
  <c r="AQ1168" i="3"/>
  <c r="AQ1169" i="3"/>
  <c r="AQ1170" i="3"/>
  <c r="AQ1171" i="3"/>
  <c r="AQ1172" i="3"/>
  <c r="AQ1173" i="3"/>
  <c r="AQ1174" i="3"/>
  <c r="AQ1175" i="3"/>
  <c r="AQ1176" i="3"/>
  <c r="AQ1177" i="3"/>
  <c r="AQ1178" i="3"/>
  <c r="AQ1179" i="3"/>
  <c r="AQ1180" i="3"/>
  <c r="AQ1181" i="3"/>
  <c r="AQ1182" i="3"/>
  <c r="AQ1183" i="3"/>
  <c r="AQ1184" i="3"/>
  <c r="AQ1185" i="3"/>
  <c r="AQ1186" i="3"/>
  <c r="AQ1187" i="3"/>
  <c r="AQ1188" i="3"/>
  <c r="AQ1189" i="3"/>
  <c r="AQ1190" i="3"/>
  <c r="AQ1191" i="3"/>
  <c r="AQ1192" i="3"/>
  <c r="AQ1193" i="3"/>
  <c r="AQ1194" i="3"/>
  <c r="AQ1195" i="3"/>
  <c r="AQ1196" i="3"/>
  <c r="AQ1197" i="3"/>
  <c r="AQ1198" i="3"/>
  <c r="AQ1199" i="3"/>
  <c r="AQ1200" i="3"/>
  <c r="AQ1201" i="3"/>
  <c r="AQ1202" i="3"/>
  <c r="AQ1203" i="3"/>
  <c r="AQ1204" i="3"/>
  <c r="AQ1205" i="3"/>
  <c r="AQ1206" i="3"/>
  <c r="AQ1207" i="3"/>
  <c r="AQ1208" i="3"/>
  <c r="AQ1209" i="3"/>
  <c r="AQ1210" i="3"/>
  <c r="AQ1211" i="3"/>
  <c r="AQ1212" i="3"/>
  <c r="AQ1213" i="3"/>
  <c r="AQ1214" i="3"/>
  <c r="AQ1215" i="3"/>
  <c r="AQ1216" i="3"/>
  <c r="AQ1217" i="3"/>
  <c r="AQ1218" i="3"/>
  <c r="AQ1219" i="3"/>
  <c r="AQ1220" i="3"/>
  <c r="AQ1221" i="3"/>
  <c r="AQ1222" i="3"/>
  <c r="AQ1223" i="3"/>
  <c r="AQ1224" i="3"/>
  <c r="AQ1225" i="3"/>
  <c r="AQ1226" i="3"/>
  <c r="AQ1227" i="3"/>
  <c r="AQ1228" i="3"/>
  <c r="AQ1229" i="3"/>
  <c r="AQ1230" i="3"/>
  <c r="AQ1231" i="3"/>
  <c r="AQ1232" i="3"/>
  <c r="AQ1233" i="3"/>
  <c r="AQ1234" i="3"/>
  <c r="AQ1235" i="3"/>
  <c r="AQ1236" i="3"/>
  <c r="AQ1237" i="3"/>
  <c r="AQ1238" i="3"/>
  <c r="AQ1239" i="3"/>
  <c r="AQ1240" i="3"/>
  <c r="AQ1241" i="3"/>
  <c r="AQ1242" i="3"/>
  <c r="AQ1243" i="3"/>
  <c r="AQ1244" i="3"/>
  <c r="AQ1245" i="3"/>
  <c r="AQ1246" i="3"/>
  <c r="AQ1247" i="3"/>
  <c r="AQ1248" i="3"/>
  <c r="AQ1249" i="3"/>
  <c r="AQ1250" i="3"/>
  <c r="AQ1251" i="3"/>
  <c r="AQ1252" i="3"/>
  <c r="AQ1253" i="3"/>
  <c r="AQ1254" i="3"/>
  <c r="AQ1255" i="3"/>
  <c r="AQ1256" i="3"/>
  <c r="AQ1257" i="3"/>
  <c r="AQ1258" i="3"/>
  <c r="AQ1259" i="3"/>
  <c r="AQ1260" i="3"/>
  <c r="AQ1261" i="3"/>
  <c r="AQ1262" i="3"/>
  <c r="AQ1263" i="3"/>
  <c r="AQ1264" i="3"/>
  <c r="AQ1265" i="3"/>
  <c r="AQ1266" i="3"/>
  <c r="AQ1267" i="3"/>
  <c r="AQ1268" i="3"/>
  <c r="AQ1269" i="3"/>
  <c r="AQ1270" i="3"/>
  <c r="AQ1271" i="3"/>
  <c r="AQ1272" i="3"/>
  <c r="AQ1273" i="3"/>
  <c r="AQ1274" i="3"/>
  <c r="AQ1275" i="3"/>
  <c r="AQ1276" i="3"/>
  <c r="AQ1277" i="3"/>
  <c r="AQ1278" i="3"/>
  <c r="AQ1279" i="3"/>
  <c r="AQ1280" i="3"/>
  <c r="AQ1281" i="3"/>
  <c r="AQ1282" i="3"/>
  <c r="AQ1283" i="3"/>
  <c r="AQ1284" i="3"/>
  <c r="AQ1285" i="3"/>
  <c r="AQ1286" i="3"/>
  <c r="AQ1287" i="3"/>
  <c r="AQ1288" i="3"/>
  <c r="AQ1289" i="3"/>
  <c r="AQ1290" i="3"/>
  <c r="AQ1291" i="3"/>
  <c r="AQ1292" i="3"/>
  <c r="AQ1293" i="3"/>
  <c r="AQ1294" i="3"/>
  <c r="AQ1295" i="3"/>
  <c r="AQ1296" i="3"/>
  <c r="AQ1297" i="3"/>
  <c r="AQ1298" i="3"/>
  <c r="AQ1299" i="3"/>
  <c r="AQ1300" i="3"/>
  <c r="AQ1301" i="3"/>
  <c r="AQ1302" i="3"/>
  <c r="AQ1303" i="3"/>
  <c r="AQ1304" i="3"/>
  <c r="AQ1305" i="3"/>
  <c r="AQ1306" i="3"/>
  <c r="AQ1307" i="3"/>
  <c r="AQ1308" i="3"/>
  <c r="AQ1309" i="3"/>
  <c r="AQ1310" i="3"/>
  <c r="AQ1311" i="3"/>
  <c r="AQ1312" i="3"/>
  <c r="AQ1313" i="3"/>
  <c r="AQ1314" i="3"/>
  <c r="AQ1315" i="3"/>
  <c r="AQ1316" i="3"/>
  <c r="AQ1317" i="3"/>
  <c r="AQ1318" i="3"/>
  <c r="AQ1319" i="3"/>
  <c r="AQ1320" i="3"/>
  <c r="AQ1321" i="3"/>
  <c r="AQ1322" i="3"/>
  <c r="AQ1323" i="3"/>
  <c r="AQ1324" i="3"/>
  <c r="AQ1325" i="3"/>
  <c r="AQ1326" i="3"/>
  <c r="AQ1327" i="3"/>
  <c r="AQ1328" i="3"/>
  <c r="AQ1329" i="3"/>
  <c r="AQ1330" i="3"/>
  <c r="AQ1331" i="3"/>
  <c r="AQ1332" i="3"/>
  <c r="AQ1333" i="3"/>
  <c r="AQ1334" i="3"/>
  <c r="AQ1335" i="3"/>
  <c r="AQ1336" i="3"/>
  <c r="AQ1337" i="3"/>
  <c r="AQ1338" i="3"/>
  <c r="AQ1339" i="3"/>
  <c r="AQ1340" i="3"/>
  <c r="AQ1341" i="3"/>
  <c r="AQ1342" i="3"/>
  <c r="AQ1343" i="3"/>
  <c r="AQ1344" i="3"/>
  <c r="AQ1345" i="3"/>
  <c r="AQ1346" i="3"/>
  <c r="AQ1347" i="3"/>
  <c r="AQ1348" i="3"/>
  <c r="AQ1349" i="3"/>
  <c r="AQ1350" i="3"/>
  <c r="AQ1351" i="3"/>
  <c r="AQ1352" i="3"/>
  <c r="AQ1353" i="3"/>
  <c r="AQ1354" i="3"/>
  <c r="AQ1355" i="3"/>
  <c r="AQ1356" i="3"/>
  <c r="AQ1357" i="3"/>
  <c r="AQ1358" i="3"/>
  <c r="AQ1359" i="3"/>
  <c r="AQ1360" i="3"/>
  <c r="AQ1361" i="3"/>
  <c r="AQ1362" i="3"/>
  <c r="AQ1363" i="3"/>
  <c r="AQ1364" i="3"/>
  <c r="AQ1365" i="3"/>
  <c r="AQ1366" i="3"/>
  <c r="AQ1367" i="3"/>
  <c r="AQ1368" i="3"/>
  <c r="AQ1369" i="3"/>
  <c r="AQ1370" i="3"/>
  <c r="AQ1371" i="3"/>
  <c r="AQ1372" i="3"/>
  <c r="AQ1373" i="3"/>
  <c r="AQ1374" i="3"/>
  <c r="AQ1375" i="3"/>
  <c r="AQ1376" i="3"/>
  <c r="AQ1377" i="3"/>
  <c r="AQ1378" i="3"/>
  <c r="AQ1379" i="3"/>
  <c r="AQ1380" i="3"/>
  <c r="AQ1381" i="3"/>
  <c r="AQ1382" i="3"/>
  <c r="AQ1383" i="3"/>
  <c r="AQ1384" i="3"/>
  <c r="AQ1385" i="3"/>
  <c r="AQ1386" i="3"/>
  <c r="AQ1387" i="3"/>
  <c r="AQ1388" i="3"/>
  <c r="AQ1389" i="3"/>
  <c r="AQ1390" i="3"/>
  <c r="AQ1391" i="3"/>
  <c r="AQ1392" i="3"/>
  <c r="AQ1393" i="3"/>
  <c r="AQ1394" i="3"/>
  <c r="AQ1395" i="3"/>
  <c r="AQ1396" i="3"/>
  <c r="AQ1397" i="3"/>
  <c r="AQ1398" i="3"/>
  <c r="AQ1399" i="3"/>
  <c r="AQ1400" i="3"/>
  <c r="AQ1401" i="3"/>
  <c r="AQ1402" i="3"/>
  <c r="AQ1403" i="3"/>
  <c r="AQ1404" i="3"/>
  <c r="AQ1405" i="3"/>
  <c r="AQ1406" i="3"/>
  <c r="AQ1407" i="3"/>
  <c r="AQ1408" i="3"/>
  <c r="AQ1409" i="3"/>
  <c r="AQ1410" i="3"/>
  <c r="AQ1411" i="3"/>
  <c r="AQ1412" i="3"/>
  <c r="AQ1413" i="3"/>
  <c r="AQ1414" i="3"/>
  <c r="AQ1415" i="3"/>
  <c r="AQ1416" i="3"/>
  <c r="AQ1417" i="3"/>
  <c r="AQ1418" i="3"/>
  <c r="AQ1419" i="3"/>
  <c r="AQ1420" i="3"/>
  <c r="AQ1421" i="3"/>
  <c r="AQ1422" i="3"/>
  <c r="AQ1423" i="3"/>
  <c r="AQ1424" i="3"/>
  <c r="AQ1425" i="3"/>
  <c r="AQ1426" i="3"/>
  <c r="AQ1427" i="3"/>
  <c r="AQ1428" i="3"/>
  <c r="AQ1429" i="3"/>
  <c r="AQ1430" i="3"/>
  <c r="AQ1431" i="3"/>
  <c r="AQ1432" i="3"/>
  <c r="AQ1433" i="3"/>
  <c r="AQ1434" i="3"/>
  <c r="AQ1435" i="3"/>
  <c r="AQ1436" i="3"/>
  <c r="AQ1437" i="3"/>
  <c r="AQ1438" i="3"/>
  <c r="AQ1439" i="3"/>
  <c r="AQ1440" i="3"/>
  <c r="AQ1441" i="3"/>
  <c r="AQ1442" i="3"/>
  <c r="AQ1443" i="3"/>
  <c r="AQ1444" i="3"/>
  <c r="AQ1445" i="3"/>
  <c r="AQ1446" i="3"/>
  <c r="AQ1447" i="3"/>
  <c r="AQ1448" i="3"/>
  <c r="AQ1449" i="3"/>
  <c r="AQ1450" i="3"/>
  <c r="AQ1451" i="3"/>
  <c r="AQ1452" i="3"/>
  <c r="AQ1453" i="3"/>
  <c r="AQ1454" i="3"/>
  <c r="AQ1455" i="3"/>
  <c r="AQ1456" i="3"/>
  <c r="AQ1457" i="3"/>
  <c r="AQ1458" i="3"/>
  <c r="AQ1459" i="3"/>
  <c r="AQ1460" i="3"/>
  <c r="AQ1461" i="3"/>
  <c r="AQ1462" i="3"/>
  <c r="AQ1463" i="3"/>
  <c r="AQ1464" i="3"/>
  <c r="AQ1465" i="3"/>
  <c r="AQ1466" i="3"/>
  <c r="AQ1467" i="3"/>
  <c r="AQ1468" i="3"/>
  <c r="AQ1469" i="3"/>
  <c r="AQ1470" i="3"/>
  <c r="AQ1471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AP683" i="3"/>
  <c r="AP684" i="3"/>
  <c r="AP685" i="3"/>
  <c r="AP686" i="3"/>
  <c r="AP687" i="3"/>
  <c r="AP688" i="3"/>
  <c r="AP689" i="3"/>
  <c r="AP690" i="3"/>
  <c r="AP691" i="3"/>
  <c r="AP692" i="3"/>
  <c r="AP693" i="3"/>
  <c r="AP694" i="3"/>
  <c r="AP695" i="3"/>
  <c r="AP696" i="3"/>
  <c r="AP697" i="3"/>
  <c r="AP698" i="3"/>
  <c r="AP699" i="3"/>
  <c r="AP700" i="3"/>
  <c r="AP701" i="3"/>
  <c r="AP702" i="3"/>
  <c r="AP703" i="3"/>
  <c r="AP704" i="3"/>
  <c r="AP705" i="3"/>
  <c r="AP706" i="3"/>
  <c r="AP707" i="3"/>
  <c r="AP708" i="3"/>
  <c r="AP709" i="3"/>
  <c r="AP710" i="3"/>
  <c r="AP711" i="3"/>
  <c r="AP712" i="3"/>
  <c r="AP713" i="3"/>
  <c r="AP714" i="3"/>
  <c r="AP715" i="3"/>
  <c r="AP716" i="3"/>
  <c r="AP717" i="3"/>
  <c r="AP718" i="3"/>
  <c r="AP719" i="3"/>
  <c r="AP720" i="3"/>
  <c r="AP721" i="3"/>
  <c r="AP722" i="3"/>
  <c r="AP723" i="3"/>
  <c r="AP724" i="3"/>
  <c r="AP725" i="3"/>
  <c r="AP726" i="3"/>
  <c r="AP727" i="3"/>
  <c r="AP728" i="3"/>
  <c r="AP729" i="3"/>
  <c r="AP730" i="3"/>
  <c r="AP731" i="3"/>
  <c r="AP732" i="3"/>
  <c r="AP733" i="3"/>
  <c r="AP734" i="3"/>
  <c r="AP735" i="3"/>
  <c r="AP736" i="3"/>
  <c r="AP737" i="3"/>
  <c r="AP738" i="3"/>
  <c r="AP739" i="3"/>
  <c r="AP740" i="3"/>
  <c r="AP741" i="3"/>
  <c r="AP742" i="3"/>
  <c r="AP743" i="3"/>
  <c r="AP744" i="3"/>
  <c r="AP745" i="3"/>
  <c r="AP746" i="3"/>
  <c r="AP747" i="3"/>
  <c r="AP748" i="3"/>
  <c r="AP749" i="3"/>
  <c r="AP750" i="3"/>
  <c r="AP751" i="3"/>
  <c r="AP752" i="3"/>
  <c r="AP753" i="3"/>
  <c r="AP754" i="3"/>
  <c r="AP755" i="3"/>
  <c r="AP756" i="3"/>
  <c r="AP757" i="3"/>
  <c r="AP758" i="3"/>
  <c r="AP759" i="3"/>
  <c r="AP760" i="3"/>
  <c r="AP761" i="3"/>
  <c r="AP762" i="3"/>
  <c r="AP763" i="3"/>
  <c r="AP764" i="3"/>
  <c r="AP765" i="3"/>
  <c r="AP766" i="3"/>
  <c r="AP767" i="3"/>
  <c r="AP768" i="3"/>
  <c r="AP769" i="3"/>
  <c r="AP770" i="3"/>
  <c r="AP771" i="3"/>
  <c r="AP772" i="3"/>
  <c r="AP773" i="3"/>
  <c r="AP774" i="3"/>
  <c r="AP775" i="3"/>
  <c r="AP776" i="3"/>
  <c r="AP777" i="3"/>
  <c r="AP778" i="3"/>
  <c r="AP779" i="3"/>
  <c r="AP780" i="3"/>
  <c r="AP781" i="3"/>
  <c r="AP782" i="3"/>
  <c r="AP783" i="3"/>
  <c r="AP784" i="3"/>
  <c r="AP785" i="3"/>
  <c r="AP786" i="3"/>
  <c r="AP787" i="3"/>
  <c r="AP788" i="3"/>
  <c r="AP789" i="3"/>
  <c r="AP790" i="3"/>
  <c r="AP791" i="3"/>
  <c r="AP792" i="3"/>
  <c r="AP793" i="3"/>
  <c r="AP794" i="3"/>
  <c r="AP795" i="3"/>
  <c r="AP796" i="3"/>
  <c r="AP797" i="3"/>
  <c r="AP798" i="3"/>
  <c r="AP799" i="3"/>
  <c r="AP800" i="3"/>
  <c r="AP801" i="3"/>
  <c r="AP802" i="3"/>
  <c r="AP803" i="3"/>
  <c r="AP804" i="3"/>
  <c r="AP805" i="3"/>
  <c r="AP806" i="3"/>
  <c r="AP807" i="3"/>
  <c r="AP808" i="3"/>
  <c r="AP809" i="3"/>
  <c r="AP810" i="3"/>
  <c r="AP811" i="3"/>
  <c r="AP812" i="3"/>
  <c r="AP813" i="3"/>
  <c r="AP814" i="3"/>
  <c r="AP815" i="3"/>
  <c r="AP816" i="3"/>
  <c r="AP817" i="3"/>
  <c r="AP818" i="3"/>
  <c r="AP819" i="3"/>
  <c r="AP820" i="3"/>
  <c r="AP821" i="3"/>
  <c r="AP822" i="3"/>
  <c r="AP823" i="3"/>
  <c r="AP824" i="3"/>
  <c r="AP825" i="3"/>
  <c r="AP826" i="3"/>
  <c r="AP827" i="3"/>
  <c r="AP828" i="3"/>
  <c r="AP829" i="3"/>
  <c r="AP830" i="3"/>
  <c r="AP831" i="3"/>
  <c r="AP832" i="3"/>
  <c r="AP833" i="3"/>
  <c r="AP834" i="3"/>
  <c r="AP835" i="3"/>
  <c r="AP836" i="3"/>
  <c r="AP837" i="3"/>
  <c r="AP838" i="3"/>
  <c r="AP839" i="3"/>
  <c r="AP840" i="3"/>
  <c r="AP841" i="3"/>
  <c r="AP842" i="3"/>
  <c r="AP843" i="3"/>
  <c r="AP844" i="3"/>
  <c r="AP845" i="3"/>
  <c r="AP846" i="3"/>
  <c r="AP847" i="3"/>
  <c r="AP848" i="3"/>
  <c r="AP849" i="3"/>
  <c r="AP850" i="3"/>
  <c r="AP851" i="3"/>
  <c r="AP852" i="3"/>
  <c r="AP853" i="3"/>
  <c r="AP854" i="3"/>
  <c r="AP855" i="3"/>
  <c r="AP856" i="3"/>
  <c r="AP857" i="3"/>
  <c r="AP858" i="3"/>
  <c r="AP859" i="3"/>
  <c r="AP860" i="3"/>
  <c r="AP861" i="3"/>
  <c r="AP862" i="3"/>
  <c r="AP863" i="3"/>
  <c r="AP864" i="3"/>
  <c r="AP865" i="3"/>
  <c r="AP866" i="3"/>
  <c r="AP867" i="3"/>
  <c r="AP868" i="3"/>
  <c r="AP869" i="3"/>
  <c r="AP870" i="3"/>
  <c r="AP871" i="3"/>
  <c r="AP872" i="3"/>
  <c r="AP873" i="3"/>
  <c r="AP874" i="3"/>
  <c r="AP875" i="3"/>
  <c r="AP876" i="3"/>
  <c r="AP877" i="3"/>
  <c r="AP878" i="3"/>
  <c r="AP879" i="3"/>
  <c r="AP880" i="3"/>
  <c r="AP881" i="3"/>
  <c r="AP882" i="3"/>
  <c r="AP883" i="3"/>
  <c r="AP884" i="3"/>
  <c r="AP885" i="3"/>
  <c r="AP886" i="3"/>
  <c r="AP887" i="3"/>
  <c r="AP888" i="3"/>
  <c r="AP889" i="3"/>
  <c r="AP890" i="3"/>
  <c r="AP891" i="3"/>
  <c r="AP892" i="3"/>
  <c r="AP893" i="3"/>
  <c r="AP894" i="3"/>
  <c r="AP895" i="3"/>
  <c r="AP896" i="3"/>
  <c r="AP897" i="3"/>
  <c r="AP898" i="3"/>
  <c r="AP899" i="3"/>
  <c r="AP900" i="3"/>
  <c r="AP901" i="3"/>
  <c r="AP902" i="3"/>
  <c r="AP903" i="3"/>
  <c r="AP904" i="3"/>
  <c r="AP905" i="3"/>
  <c r="AP906" i="3"/>
  <c r="AP907" i="3"/>
  <c r="AP908" i="3"/>
  <c r="AP909" i="3"/>
  <c r="AP910" i="3"/>
  <c r="AP911" i="3"/>
  <c r="AP912" i="3"/>
  <c r="AP913" i="3"/>
  <c r="AP914" i="3"/>
  <c r="AP915" i="3"/>
  <c r="AP916" i="3"/>
  <c r="AP917" i="3"/>
  <c r="AP918" i="3"/>
  <c r="AP919" i="3"/>
  <c r="AP920" i="3"/>
  <c r="AP921" i="3"/>
  <c r="AP922" i="3"/>
  <c r="AP923" i="3"/>
  <c r="AP924" i="3"/>
  <c r="AP925" i="3"/>
  <c r="AP926" i="3"/>
  <c r="AP927" i="3"/>
  <c r="AP928" i="3"/>
  <c r="AP929" i="3"/>
  <c r="AP930" i="3"/>
  <c r="AP931" i="3"/>
  <c r="AP932" i="3"/>
  <c r="AP933" i="3"/>
  <c r="AP934" i="3"/>
  <c r="AP935" i="3"/>
  <c r="AP936" i="3"/>
  <c r="AP937" i="3"/>
  <c r="AP938" i="3"/>
  <c r="AP939" i="3"/>
  <c r="AP940" i="3"/>
  <c r="AP941" i="3"/>
  <c r="AP942" i="3"/>
  <c r="AP943" i="3"/>
  <c r="AP944" i="3"/>
  <c r="AP945" i="3"/>
  <c r="AP946" i="3"/>
  <c r="AP947" i="3"/>
  <c r="AP948" i="3"/>
  <c r="AP949" i="3"/>
  <c r="AP950" i="3"/>
  <c r="AP951" i="3"/>
  <c r="AP952" i="3"/>
  <c r="AP953" i="3"/>
  <c r="AP954" i="3"/>
  <c r="AP955" i="3"/>
  <c r="AP956" i="3"/>
  <c r="AP957" i="3"/>
  <c r="AP958" i="3"/>
  <c r="AP959" i="3"/>
  <c r="AP960" i="3"/>
  <c r="AP961" i="3"/>
  <c r="AP962" i="3"/>
  <c r="AP963" i="3"/>
  <c r="AP964" i="3"/>
  <c r="AP965" i="3"/>
  <c r="AP966" i="3"/>
  <c r="AP967" i="3"/>
  <c r="AP968" i="3"/>
  <c r="AP969" i="3"/>
  <c r="AP970" i="3"/>
  <c r="AP971" i="3"/>
  <c r="AP972" i="3"/>
  <c r="AP973" i="3"/>
  <c r="AP974" i="3"/>
  <c r="AP975" i="3"/>
  <c r="AP976" i="3"/>
  <c r="AP977" i="3"/>
  <c r="AP978" i="3"/>
  <c r="AP979" i="3"/>
  <c r="AP980" i="3"/>
  <c r="AP981" i="3"/>
  <c r="AP982" i="3"/>
  <c r="AP983" i="3"/>
  <c r="AP984" i="3"/>
  <c r="AP985" i="3"/>
  <c r="AP986" i="3"/>
  <c r="AP987" i="3"/>
  <c r="AP988" i="3"/>
  <c r="AP989" i="3"/>
  <c r="AP990" i="3"/>
  <c r="AP991" i="3"/>
  <c r="AP992" i="3"/>
  <c r="AP993" i="3"/>
  <c r="AP994" i="3"/>
  <c r="AP995" i="3"/>
  <c r="AP996" i="3"/>
  <c r="AP997" i="3"/>
  <c r="AP998" i="3"/>
  <c r="AP999" i="3"/>
  <c r="AP1000" i="3"/>
  <c r="AP1001" i="3"/>
  <c r="AP1002" i="3"/>
  <c r="AP1003" i="3"/>
  <c r="AP1004" i="3"/>
  <c r="AP1005" i="3"/>
  <c r="AP1006" i="3"/>
  <c r="AP1007" i="3"/>
  <c r="AP1008" i="3"/>
  <c r="AP1009" i="3"/>
  <c r="AP1010" i="3"/>
  <c r="AP1011" i="3"/>
  <c r="AP1012" i="3"/>
  <c r="AP1013" i="3"/>
  <c r="AP1014" i="3"/>
  <c r="AP1015" i="3"/>
  <c r="AP1016" i="3"/>
  <c r="AP1017" i="3"/>
  <c r="AP1018" i="3"/>
  <c r="AP1019" i="3"/>
  <c r="AP1020" i="3"/>
  <c r="AP1021" i="3"/>
  <c r="AP1022" i="3"/>
  <c r="AP1023" i="3"/>
  <c r="AP1024" i="3"/>
  <c r="AP1025" i="3"/>
  <c r="AP1026" i="3"/>
  <c r="AP1027" i="3"/>
  <c r="AP1028" i="3"/>
  <c r="AP1029" i="3"/>
  <c r="AP1030" i="3"/>
  <c r="AP1031" i="3"/>
  <c r="AP1032" i="3"/>
  <c r="AP1033" i="3"/>
  <c r="AP1034" i="3"/>
  <c r="AP1035" i="3"/>
  <c r="AP1036" i="3"/>
  <c r="AP1037" i="3"/>
  <c r="AP1038" i="3"/>
  <c r="AP1039" i="3"/>
  <c r="AP1040" i="3"/>
  <c r="AP1041" i="3"/>
  <c r="AP1042" i="3"/>
  <c r="AP1043" i="3"/>
  <c r="AP1044" i="3"/>
  <c r="AP1045" i="3"/>
  <c r="AP1046" i="3"/>
  <c r="AP1047" i="3"/>
  <c r="AP1048" i="3"/>
  <c r="AP1049" i="3"/>
  <c r="AP1050" i="3"/>
  <c r="AP1051" i="3"/>
  <c r="AP1052" i="3"/>
  <c r="AP1053" i="3"/>
  <c r="AP1054" i="3"/>
  <c r="AP1055" i="3"/>
  <c r="AP1056" i="3"/>
  <c r="AP1057" i="3"/>
  <c r="AP1058" i="3"/>
  <c r="AP1059" i="3"/>
  <c r="AP1060" i="3"/>
  <c r="AP1061" i="3"/>
  <c r="AP1062" i="3"/>
  <c r="AP1063" i="3"/>
  <c r="AP1064" i="3"/>
  <c r="AP1065" i="3"/>
  <c r="AP1066" i="3"/>
  <c r="AP1067" i="3"/>
  <c r="AP1068" i="3"/>
  <c r="AP1069" i="3"/>
  <c r="AP1070" i="3"/>
  <c r="AP1071" i="3"/>
  <c r="AP1072" i="3"/>
  <c r="AP1073" i="3"/>
  <c r="AP1074" i="3"/>
  <c r="AP1075" i="3"/>
  <c r="AP1076" i="3"/>
  <c r="AP1077" i="3"/>
  <c r="AP1078" i="3"/>
  <c r="AP1079" i="3"/>
  <c r="AP1080" i="3"/>
  <c r="AP1081" i="3"/>
  <c r="AP1082" i="3"/>
  <c r="AP1083" i="3"/>
  <c r="AP1084" i="3"/>
  <c r="AP1085" i="3"/>
  <c r="AP1086" i="3"/>
  <c r="AP1087" i="3"/>
  <c r="AP1088" i="3"/>
  <c r="AP1089" i="3"/>
  <c r="AP1090" i="3"/>
  <c r="AP1091" i="3"/>
  <c r="AP1092" i="3"/>
  <c r="AP1093" i="3"/>
  <c r="AP1094" i="3"/>
  <c r="AP1095" i="3"/>
  <c r="AP1096" i="3"/>
  <c r="AP1097" i="3"/>
  <c r="AP1098" i="3"/>
  <c r="AP1099" i="3"/>
  <c r="AP1100" i="3"/>
  <c r="AP1101" i="3"/>
  <c r="AP1102" i="3"/>
  <c r="AP1103" i="3"/>
  <c r="AP1104" i="3"/>
  <c r="AP1105" i="3"/>
  <c r="AP1106" i="3"/>
  <c r="AP1107" i="3"/>
  <c r="AP1108" i="3"/>
  <c r="AP1109" i="3"/>
  <c r="AP1110" i="3"/>
  <c r="AP1111" i="3"/>
  <c r="AP1112" i="3"/>
  <c r="AP1113" i="3"/>
  <c r="AP1114" i="3"/>
  <c r="AP1115" i="3"/>
  <c r="AP1116" i="3"/>
  <c r="AP1117" i="3"/>
  <c r="AP1118" i="3"/>
  <c r="AP1119" i="3"/>
  <c r="AP1120" i="3"/>
  <c r="AP1121" i="3"/>
  <c r="AP1122" i="3"/>
  <c r="AP1123" i="3"/>
  <c r="AP1124" i="3"/>
  <c r="AP1125" i="3"/>
  <c r="AP1126" i="3"/>
  <c r="AP1127" i="3"/>
  <c r="AP1128" i="3"/>
  <c r="AP1129" i="3"/>
  <c r="AP1130" i="3"/>
  <c r="AP1131" i="3"/>
  <c r="AP1132" i="3"/>
  <c r="AP1133" i="3"/>
  <c r="AP1134" i="3"/>
  <c r="AP1135" i="3"/>
  <c r="AP1136" i="3"/>
  <c r="AP1137" i="3"/>
  <c r="AP1138" i="3"/>
  <c r="AP1139" i="3"/>
  <c r="AP1140" i="3"/>
  <c r="AP1141" i="3"/>
  <c r="AP1142" i="3"/>
  <c r="AP1143" i="3"/>
  <c r="AP1144" i="3"/>
  <c r="AP1145" i="3"/>
  <c r="AP1146" i="3"/>
  <c r="AP1147" i="3"/>
  <c r="AP1148" i="3"/>
  <c r="AP1149" i="3"/>
  <c r="AP1150" i="3"/>
  <c r="AP1151" i="3"/>
  <c r="AP1152" i="3"/>
  <c r="AP1153" i="3"/>
  <c r="AP1154" i="3"/>
  <c r="AP1155" i="3"/>
  <c r="AP1156" i="3"/>
  <c r="AP1157" i="3"/>
  <c r="AP1158" i="3"/>
  <c r="AP1159" i="3"/>
  <c r="AP1160" i="3"/>
  <c r="AP1161" i="3"/>
  <c r="AP1162" i="3"/>
  <c r="AP1163" i="3"/>
  <c r="AP1164" i="3"/>
  <c r="AP1165" i="3"/>
  <c r="AP1166" i="3"/>
  <c r="AP1167" i="3"/>
  <c r="AP1168" i="3"/>
  <c r="AP1169" i="3"/>
  <c r="AP1170" i="3"/>
  <c r="AP1171" i="3"/>
  <c r="AP1172" i="3"/>
  <c r="AP1173" i="3"/>
  <c r="AP1174" i="3"/>
  <c r="AP1175" i="3"/>
  <c r="AP1176" i="3"/>
  <c r="AP1177" i="3"/>
  <c r="AP1178" i="3"/>
  <c r="AP1179" i="3"/>
  <c r="AP1180" i="3"/>
  <c r="AP1181" i="3"/>
  <c r="AP1182" i="3"/>
  <c r="AP1183" i="3"/>
  <c r="AP1184" i="3"/>
  <c r="AP1185" i="3"/>
  <c r="AP1186" i="3"/>
  <c r="AP1187" i="3"/>
  <c r="AP1188" i="3"/>
  <c r="AP1189" i="3"/>
  <c r="AP1190" i="3"/>
  <c r="AP1191" i="3"/>
  <c r="AP1192" i="3"/>
  <c r="AP1193" i="3"/>
  <c r="AP1194" i="3"/>
  <c r="AP1195" i="3"/>
  <c r="AP1196" i="3"/>
  <c r="AP1197" i="3"/>
  <c r="AP1198" i="3"/>
  <c r="AP1199" i="3"/>
  <c r="AP1200" i="3"/>
  <c r="AP1201" i="3"/>
  <c r="AP1202" i="3"/>
  <c r="AP1203" i="3"/>
  <c r="AP1204" i="3"/>
  <c r="AP1205" i="3"/>
  <c r="AP1206" i="3"/>
  <c r="AP1207" i="3"/>
  <c r="AP1208" i="3"/>
  <c r="AP1209" i="3"/>
  <c r="AP1210" i="3"/>
  <c r="AP1211" i="3"/>
  <c r="AP1212" i="3"/>
  <c r="AP1213" i="3"/>
  <c r="AP1214" i="3"/>
  <c r="AP1215" i="3"/>
  <c r="AP1216" i="3"/>
  <c r="AP1217" i="3"/>
  <c r="AP1218" i="3"/>
  <c r="AP1219" i="3"/>
  <c r="AP1220" i="3"/>
  <c r="AP1221" i="3"/>
  <c r="AP1222" i="3"/>
  <c r="AP1223" i="3"/>
  <c r="AP1224" i="3"/>
  <c r="AP1225" i="3"/>
  <c r="AP1226" i="3"/>
  <c r="AP1227" i="3"/>
  <c r="AP1228" i="3"/>
  <c r="AP1229" i="3"/>
  <c r="AP1230" i="3"/>
  <c r="AP1231" i="3"/>
  <c r="AP1232" i="3"/>
  <c r="AP1233" i="3"/>
  <c r="AP1234" i="3"/>
  <c r="AP1235" i="3"/>
  <c r="AP1236" i="3"/>
  <c r="AP1237" i="3"/>
  <c r="AP1238" i="3"/>
  <c r="AP1239" i="3"/>
  <c r="AP1240" i="3"/>
  <c r="AP1241" i="3"/>
  <c r="AP1242" i="3"/>
  <c r="AP1243" i="3"/>
  <c r="AP1244" i="3"/>
  <c r="AP1245" i="3"/>
  <c r="AP1246" i="3"/>
  <c r="AP1247" i="3"/>
  <c r="AP1248" i="3"/>
  <c r="AP1249" i="3"/>
  <c r="AP1250" i="3"/>
  <c r="AP1251" i="3"/>
  <c r="AP1252" i="3"/>
  <c r="AP1253" i="3"/>
  <c r="AP1254" i="3"/>
  <c r="AP1255" i="3"/>
  <c r="AP1256" i="3"/>
  <c r="AP1257" i="3"/>
  <c r="AP1258" i="3"/>
  <c r="AP1259" i="3"/>
  <c r="AP1260" i="3"/>
  <c r="AP1261" i="3"/>
  <c r="AP1262" i="3"/>
  <c r="AP1263" i="3"/>
  <c r="AP1264" i="3"/>
  <c r="AP1265" i="3"/>
  <c r="AP1266" i="3"/>
  <c r="AP1267" i="3"/>
  <c r="AP1268" i="3"/>
  <c r="AP1269" i="3"/>
  <c r="AP1270" i="3"/>
  <c r="AP1271" i="3"/>
  <c r="AP1272" i="3"/>
  <c r="AP1273" i="3"/>
  <c r="AP1274" i="3"/>
  <c r="AP1275" i="3"/>
  <c r="AP1276" i="3"/>
  <c r="AP1277" i="3"/>
  <c r="AP1278" i="3"/>
  <c r="AP1279" i="3"/>
  <c r="AP1280" i="3"/>
  <c r="AP1281" i="3"/>
  <c r="AP1282" i="3"/>
  <c r="AP1283" i="3"/>
  <c r="AP1284" i="3"/>
  <c r="AP1285" i="3"/>
  <c r="AP1286" i="3"/>
  <c r="AP1287" i="3"/>
  <c r="AP1288" i="3"/>
  <c r="AP1289" i="3"/>
  <c r="AP1290" i="3"/>
  <c r="AP1291" i="3"/>
  <c r="AP1292" i="3"/>
  <c r="AP1293" i="3"/>
  <c r="AP1294" i="3"/>
  <c r="AP1295" i="3"/>
  <c r="AP1296" i="3"/>
  <c r="AP1297" i="3"/>
  <c r="AP1298" i="3"/>
  <c r="AP1299" i="3"/>
  <c r="AP1300" i="3"/>
  <c r="AP1301" i="3"/>
  <c r="AP1302" i="3"/>
  <c r="AP1303" i="3"/>
  <c r="AP1304" i="3"/>
  <c r="AP1305" i="3"/>
  <c r="AP1306" i="3"/>
  <c r="AP1307" i="3"/>
  <c r="AP1308" i="3"/>
  <c r="AP1309" i="3"/>
  <c r="AP1310" i="3"/>
  <c r="AP1311" i="3"/>
  <c r="AP1312" i="3"/>
  <c r="AP1313" i="3"/>
  <c r="AP1314" i="3"/>
  <c r="AP1315" i="3"/>
  <c r="AP1316" i="3"/>
  <c r="AP1317" i="3"/>
  <c r="AP1318" i="3"/>
  <c r="AP1319" i="3"/>
  <c r="AP1320" i="3"/>
  <c r="AP1321" i="3"/>
  <c r="AP1322" i="3"/>
  <c r="AP1323" i="3"/>
  <c r="AP1324" i="3"/>
  <c r="AP1325" i="3"/>
  <c r="AP1326" i="3"/>
  <c r="AP1327" i="3"/>
  <c r="AP1328" i="3"/>
  <c r="AP1329" i="3"/>
  <c r="AP1330" i="3"/>
  <c r="AP1331" i="3"/>
  <c r="AP1332" i="3"/>
  <c r="AP1333" i="3"/>
  <c r="AP1334" i="3"/>
  <c r="AP1335" i="3"/>
  <c r="AP1336" i="3"/>
  <c r="AP1337" i="3"/>
  <c r="AP1338" i="3"/>
  <c r="AP1339" i="3"/>
  <c r="AP1340" i="3"/>
  <c r="AP1341" i="3"/>
  <c r="AP1342" i="3"/>
  <c r="AP1343" i="3"/>
  <c r="AP1344" i="3"/>
  <c r="AP1345" i="3"/>
  <c r="AP1346" i="3"/>
  <c r="AP1347" i="3"/>
  <c r="AP1348" i="3"/>
  <c r="AP1349" i="3"/>
  <c r="AP1350" i="3"/>
  <c r="AP1351" i="3"/>
  <c r="AP1352" i="3"/>
  <c r="AP1353" i="3"/>
  <c r="AP1354" i="3"/>
  <c r="AP1355" i="3"/>
  <c r="AP1356" i="3"/>
  <c r="AP1357" i="3"/>
  <c r="AP1358" i="3"/>
  <c r="AP1359" i="3"/>
  <c r="AP1360" i="3"/>
  <c r="AP1361" i="3"/>
  <c r="AP1362" i="3"/>
  <c r="AP1363" i="3"/>
  <c r="AP1364" i="3"/>
  <c r="AP1365" i="3"/>
  <c r="AP1366" i="3"/>
  <c r="AP1367" i="3"/>
  <c r="AP1368" i="3"/>
  <c r="AP1369" i="3"/>
  <c r="AP1370" i="3"/>
  <c r="AP1371" i="3"/>
  <c r="AP1372" i="3"/>
  <c r="AP1373" i="3"/>
  <c r="AP1374" i="3"/>
  <c r="AP1375" i="3"/>
  <c r="AP1376" i="3"/>
  <c r="AP1377" i="3"/>
  <c r="AP1378" i="3"/>
  <c r="AP1379" i="3"/>
  <c r="AP1380" i="3"/>
  <c r="AP1381" i="3"/>
  <c r="AP1382" i="3"/>
  <c r="AP1383" i="3"/>
  <c r="AP1384" i="3"/>
  <c r="AP1385" i="3"/>
  <c r="AP1386" i="3"/>
  <c r="AP1387" i="3"/>
  <c r="AP1388" i="3"/>
  <c r="AP1389" i="3"/>
  <c r="AP1390" i="3"/>
  <c r="AP1391" i="3"/>
  <c r="AP1392" i="3"/>
  <c r="AP1393" i="3"/>
  <c r="AP1394" i="3"/>
  <c r="AP1395" i="3"/>
  <c r="AP1396" i="3"/>
  <c r="AP1397" i="3"/>
  <c r="AP1398" i="3"/>
  <c r="AP1399" i="3"/>
  <c r="AP1400" i="3"/>
  <c r="AP1401" i="3"/>
  <c r="AP1402" i="3"/>
  <c r="AP1403" i="3"/>
  <c r="AP1404" i="3"/>
  <c r="AP1405" i="3"/>
  <c r="AP1406" i="3"/>
  <c r="AP1407" i="3"/>
  <c r="AP1408" i="3"/>
  <c r="AP1409" i="3"/>
  <c r="AP1410" i="3"/>
  <c r="AP1411" i="3"/>
  <c r="AP1412" i="3"/>
  <c r="AP1413" i="3"/>
  <c r="AP1414" i="3"/>
  <c r="AP1415" i="3"/>
  <c r="AP1416" i="3"/>
  <c r="AP1417" i="3"/>
  <c r="AP1418" i="3"/>
  <c r="AP1419" i="3"/>
  <c r="AP1420" i="3"/>
  <c r="AP1421" i="3"/>
  <c r="AP1422" i="3"/>
  <c r="AP1423" i="3"/>
  <c r="AP1424" i="3"/>
  <c r="AP1425" i="3"/>
  <c r="AP1426" i="3"/>
  <c r="AP1427" i="3"/>
  <c r="AP1428" i="3"/>
  <c r="AP1429" i="3"/>
  <c r="AP1430" i="3"/>
  <c r="AP1431" i="3"/>
  <c r="AP1432" i="3"/>
  <c r="AP1433" i="3"/>
  <c r="AP1434" i="3"/>
  <c r="AP1435" i="3"/>
  <c r="AP1436" i="3"/>
  <c r="AP1437" i="3"/>
  <c r="AP1438" i="3"/>
  <c r="AP1439" i="3"/>
  <c r="AP1440" i="3"/>
  <c r="AP1441" i="3"/>
  <c r="AP1442" i="3"/>
  <c r="AP1443" i="3"/>
  <c r="AP1444" i="3"/>
  <c r="AP1445" i="3"/>
  <c r="AP1446" i="3"/>
  <c r="AP1447" i="3"/>
  <c r="AP1448" i="3"/>
  <c r="AP1449" i="3"/>
  <c r="AP1450" i="3"/>
  <c r="AP1451" i="3"/>
  <c r="AP1452" i="3"/>
  <c r="AP1453" i="3"/>
  <c r="AP1454" i="3"/>
  <c r="AP1455" i="3"/>
  <c r="AP1456" i="3"/>
  <c r="AP1457" i="3"/>
  <c r="AP1458" i="3"/>
  <c r="AP1459" i="3"/>
  <c r="AP1460" i="3"/>
  <c r="AP1461" i="3"/>
  <c r="AP1462" i="3"/>
  <c r="AP1463" i="3"/>
  <c r="AP1464" i="3"/>
  <c r="AP1465" i="3"/>
  <c r="AP1466" i="3"/>
  <c r="AP1467" i="3"/>
  <c r="AP1468" i="3"/>
  <c r="AP1469" i="3"/>
  <c r="AP1470" i="3"/>
  <c r="AP1471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O224" i="3"/>
  <c r="AO225" i="3"/>
  <c r="AO226" i="3"/>
  <c r="AO227" i="3"/>
  <c r="AO228" i="3"/>
  <c r="AO229" i="3"/>
  <c r="AO230" i="3"/>
  <c r="AO231" i="3"/>
  <c r="AO232" i="3"/>
  <c r="AO233" i="3"/>
  <c r="AO234" i="3"/>
  <c r="AO235" i="3"/>
  <c r="AO236" i="3"/>
  <c r="AO237" i="3"/>
  <c r="AO238" i="3"/>
  <c r="AO239" i="3"/>
  <c r="AO240" i="3"/>
  <c r="AO241" i="3"/>
  <c r="AO242" i="3"/>
  <c r="AO243" i="3"/>
  <c r="AO244" i="3"/>
  <c r="AO245" i="3"/>
  <c r="AO246" i="3"/>
  <c r="AO247" i="3"/>
  <c r="AO248" i="3"/>
  <c r="AO249" i="3"/>
  <c r="AO250" i="3"/>
  <c r="AO251" i="3"/>
  <c r="AO252" i="3"/>
  <c r="AO253" i="3"/>
  <c r="AO254" i="3"/>
  <c r="AO255" i="3"/>
  <c r="AO256" i="3"/>
  <c r="AO257" i="3"/>
  <c r="AO258" i="3"/>
  <c r="AO259" i="3"/>
  <c r="AO260" i="3"/>
  <c r="AO261" i="3"/>
  <c r="AO262" i="3"/>
  <c r="AO263" i="3"/>
  <c r="AO264" i="3"/>
  <c r="AO265" i="3"/>
  <c r="AO266" i="3"/>
  <c r="AO267" i="3"/>
  <c r="AO268" i="3"/>
  <c r="AO269" i="3"/>
  <c r="AO270" i="3"/>
  <c r="AO271" i="3"/>
  <c r="AO272" i="3"/>
  <c r="AO273" i="3"/>
  <c r="AO274" i="3"/>
  <c r="AO275" i="3"/>
  <c r="AO276" i="3"/>
  <c r="AO277" i="3"/>
  <c r="AO278" i="3"/>
  <c r="AO279" i="3"/>
  <c r="AO280" i="3"/>
  <c r="AO281" i="3"/>
  <c r="AO282" i="3"/>
  <c r="AO283" i="3"/>
  <c r="AO284" i="3"/>
  <c r="AO285" i="3"/>
  <c r="AO286" i="3"/>
  <c r="AO287" i="3"/>
  <c r="AO288" i="3"/>
  <c r="AO289" i="3"/>
  <c r="AO290" i="3"/>
  <c r="AO291" i="3"/>
  <c r="AO292" i="3"/>
  <c r="AO293" i="3"/>
  <c r="AO294" i="3"/>
  <c r="AO295" i="3"/>
  <c r="AO296" i="3"/>
  <c r="AO297" i="3"/>
  <c r="AO298" i="3"/>
  <c r="AO299" i="3"/>
  <c r="AO300" i="3"/>
  <c r="AO301" i="3"/>
  <c r="AO302" i="3"/>
  <c r="AO303" i="3"/>
  <c r="AO304" i="3"/>
  <c r="AO305" i="3"/>
  <c r="AO306" i="3"/>
  <c r="AO307" i="3"/>
  <c r="AO308" i="3"/>
  <c r="AO309" i="3"/>
  <c r="AO310" i="3"/>
  <c r="AO311" i="3"/>
  <c r="AO312" i="3"/>
  <c r="AO313" i="3"/>
  <c r="AO314" i="3"/>
  <c r="AO315" i="3"/>
  <c r="AO316" i="3"/>
  <c r="AO317" i="3"/>
  <c r="AO318" i="3"/>
  <c r="AO319" i="3"/>
  <c r="AO320" i="3"/>
  <c r="AO321" i="3"/>
  <c r="AO322" i="3"/>
  <c r="AO323" i="3"/>
  <c r="AO324" i="3"/>
  <c r="AO325" i="3"/>
  <c r="AO326" i="3"/>
  <c r="AO327" i="3"/>
  <c r="AO328" i="3"/>
  <c r="AO329" i="3"/>
  <c r="AO330" i="3"/>
  <c r="AO331" i="3"/>
  <c r="AO332" i="3"/>
  <c r="AO333" i="3"/>
  <c r="AO334" i="3"/>
  <c r="AO335" i="3"/>
  <c r="AO336" i="3"/>
  <c r="AO337" i="3"/>
  <c r="AO338" i="3"/>
  <c r="AO339" i="3"/>
  <c r="AO340" i="3"/>
  <c r="AO341" i="3"/>
  <c r="AO342" i="3"/>
  <c r="AO343" i="3"/>
  <c r="AO344" i="3"/>
  <c r="AO345" i="3"/>
  <c r="AO346" i="3"/>
  <c r="AO347" i="3"/>
  <c r="AO348" i="3"/>
  <c r="AO349" i="3"/>
  <c r="AO350" i="3"/>
  <c r="AO351" i="3"/>
  <c r="AO352" i="3"/>
  <c r="AO353" i="3"/>
  <c r="AO354" i="3"/>
  <c r="AO355" i="3"/>
  <c r="AO356" i="3"/>
  <c r="AO357" i="3"/>
  <c r="AO358" i="3"/>
  <c r="AO359" i="3"/>
  <c r="AO360" i="3"/>
  <c r="AO361" i="3"/>
  <c r="AO362" i="3"/>
  <c r="AO363" i="3"/>
  <c r="AO364" i="3"/>
  <c r="AO365" i="3"/>
  <c r="AO366" i="3"/>
  <c r="AO367" i="3"/>
  <c r="AO368" i="3"/>
  <c r="AO369" i="3"/>
  <c r="AO370" i="3"/>
  <c r="AO371" i="3"/>
  <c r="AO372" i="3"/>
  <c r="AO373" i="3"/>
  <c r="AO374" i="3"/>
  <c r="AO375" i="3"/>
  <c r="AO376" i="3"/>
  <c r="AO377" i="3"/>
  <c r="AO378" i="3"/>
  <c r="AO379" i="3"/>
  <c r="AO380" i="3"/>
  <c r="AO381" i="3"/>
  <c r="AO382" i="3"/>
  <c r="AO383" i="3"/>
  <c r="AO384" i="3"/>
  <c r="AO385" i="3"/>
  <c r="AO386" i="3"/>
  <c r="AO387" i="3"/>
  <c r="AO388" i="3"/>
  <c r="AO389" i="3"/>
  <c r="AO390" i="3"/>
  <c r="AO391" i="3"/>
  <c r="AO392" i="3"/>
  <c r="AO393" i="3"/>
  <c r="AO394" i="3"/>
  <c r="AO395" i="3"/>
  <c r="AO396" i="3"/>
  <c r="AO397" i="3"/>
  <c r="AO398" i="3"/>
  <c r="AO399" i="3"/>
  <c r="AO400" i="3"/>
  <c r="AO401" i="3"/>
  <c r="AO402" i="3"/>
  <c r="AO403" i="3"/>
  <c r="AO404" i="3"/>
  <c r="AO405" i="3"/>
  <c r="AO406" i="3"/>
  <c r="AO407" i="3"/>
  <c r="AO408" i="3"/>
  <c r="AO409" i="3"/>
  <c r="AO410" i="3"/>
  <c r="AO411" i="3"/>
  <c r="AO412" i="3"/>
  <c r="AO413" i="3"/>
  <c r="AO414" i="3"/>
  <c r="AO415" i="3"/>
  <c r="AO416" i="3"/>
  <c r="AO417" i="3"/>
  <c r="AO418" i="3"/>
  <c r="AO419" i="3"/>
  <c r="AO420" i="3"/>
  <c r="AO421" i="3"/>
  <c r="AO422" i="3"/>
  <c r="AO423" i="3"/>
  <c r="AO424" i="3"/>
  <c r="AO425" i="3"/>
  <c r="AO426" i="3"/>
  <c r="AO427" i="3"/>
  <c r="AO428" i="3"/>
  <c r="AO429" i="3"/>
  <c r="AO430" i="3"/>
  <c r="AO431" i="3"/>
  <c r="AO432" i="3"/>
  <c r="AO433" i="3"/>
  <c r="AO434" i="3"/>
  <c r="AO435" i="3"/>
  <c r="AO436" i="3"/>
  <c r="AO437" i="3"/>
  <c r="AO438" i="3"/>
  <c r="AO439" i="3"/>
  <c r="AO440" i="3"/>
  <c r="AO441" i="3"/>
  <c r="AO442" i="3"/>
  <c r="AO443" i="3"/>
  <c r="AO444" i="3"/>
  <c r="AO445" i="3"/>
  <c r="AO446" i="3"/>
  <c r="AO447" i="3"/>
  <c r="AO448" i="3"/>
  <c r="AO449" i="3"/>
  <c r="AO450" i="3"/>
  <c r="AO451" i="3"/>
  <c r="AO452" i="3"/>
  <c r="AO453" i="3"/>
  <c r="AO454" i="3"/>
  <c r="AO455" i="3"/>
  <c r="AO456" i="3"/>
  <c r="AO457" i="3"/>
  <c r="AO458" i="3"/>
  <c r="AO459" i="3"/>
  <c r="AO460" i="3"/>
  <c r="AO461" i="3"/>
  <c r="AO462" i="3"/>
  <c r="AO463" i="3"/>
  <c r="AO464" i="3"/>
  <c r="AO465" i="3"/>
  <c r="AO466" i="3"/>
  <c r="AO467" i="3"/>
  <c r="AO468" i="3"/>
  <c r="AO469" i="3"/>
  <c r="AO470" i="3"/>
  <c r="AO471" i="3"/>
  <c r="AO472" i="3"/>
  <c r="AO473" i="3"/>
  <c r="AO474" i="3"/>
  <c r="AO475" i="3"/>
  <c r="AO476" i="3"/>
  <c r="AO477" i="3"/>
  <c r="AO478" i="3"/>
  <c r="AO479" i="3"/>
  <c r="AO480" i="3"/>
  <c r="AO481" i="3"/>
  <c r="AO482" i="3"/>
  <c r="AO483" i="3"/>
  <c r="AO484" i="3"/>
  <c r="AO485" i="3"/>
  <c r="AO486" i="3"/>
  <c r="AO487" i="3"/>
  <c r="AO488" i="3"/>
  <c r="AO489" i="3"/>
  <c r="AO490" i="3"/>
  <c r="AO491" i="3"/>
  <c r="AO492" i="3"/>
  <c r="AO493" i="3"/>
  <c r="AO494" i="3"/>
  <c r="AO495" i="3"/>
  <c r="AO496" i="3"/>
  <c r="AO497" i="3"/>
  <c r="AO498" i="3"/>
  <c r="AO499" i="3"/>
  <c r="AO500" i="3"/>
  <c r="AO501" i="3"/>
  <c r="AO502" i="3"/>
  <c r="AO503" i="3"/>
  <c r="AO504" i="3"/>
  <c r="AO505" i="3"/>
  <c r="AO506" i="3"/>
  <c r="AO507" i="3"/>
  <c r="AO508" i="3"/>
  <c r="AO509" i="3"/>
  <c r="AO510" i="3"/>
  <c r="AO511" i="3"/>
  <c r="AO512" i="3"/>
  <c r="AO513" i="3"/>
  <c r="AO514" i="3"/>
  <c r="AO515" i="3"/>
  <c r="AO516" i="3"/>
  <c r="AO517" i="3"/>
  <c r="AO518" i="3"/>
  <c r="AO519" i="3"/>
  <c r="AO520" i="3"/>
  <c r="AO521" i="3"/>
  <c r="AO522" i="3"/>
  <c r="AO523" i="3"/>
  <c r="AO524" i="3"/>
  <c r="AO525" i="3"/>
  <c r="AO526" i="3"/>
  <c r="AO527" i="3"/>
  <c r="AO528" i="3"/>
  <c r="AO529" i="3"/>
  <c r="AO530" i="3"/>
  <c r="AO531" i="3"/>
  <c r="AO532" i="3"/>
  <c r="AO533" i="3"/>
  <c r="AO534" i="3"/>
  <c r="AO535" i="3"/>
  <c r="AO536" i="3"/>
  <c r="AO537" i="3"/>
  <c r="AO538" i="3"/>
  <c r="AO539" i="3"/>
  <c r="AO540" i="3"/>
  <c r="AO541" i="3"/>
  <c r="AO542" i="3"/>
  <c r="AO543" i="3"/>
  <c r="AO544" i="3"/>
  <c r="AO545" i="3"/>
  <c r="AO546" i="3"/>
  <c r="AO547" i="3"/>
  <c r="AO548" i="3"/>
  <c r="AO549" i="3"/>
  <c r="AO550" i="3"/>
  <c r="AO551" i="3"/>
  <c r="AO552" i="3"/>
  <c r="AO553" i="3"/>
  <c r="AO554" i="3"/>
  <c r="AO555" i="3"/>
  <c r="AO556" i="3"/>
  <c r="AO557" i="3"/>
  <c r="AO558" i="3"/>
  <c r="AO559" i="3"/>
  <c r="AO560" i="3"/>
  <c r="AO561" i="3"/>
  <c r="AO562" i="3"/>
  <c r="AO563" i="3"/>
  <c r="AO564" i="3"/>
  <c r="AO565" i="3"/>
  <c r="AO566" i="3"/>
  <c r="AO567" i="3"/>
  <c r="AO568" i="3"/>
  <c r="AO569" i="3"/>
  <c r="AO570" i="3"/>
  <c r="AO571" i="3"/>
  <c r="AO572" i="3"/>
  <c r="AO573" i="3"/>
  <c r="AO574" i="3"/>
  <c r="AO575" i="3"/>
  <c r="AO576" i="3"/>
  <c r="AO577" i="3"/>
  <c r="AO578" i="3"/>
  <c r="AO579" i="3"/>
  <c r="AO580" i="3"/>
  <c r="AO581" i="3"/>
  <c r="AO582" i="3"/>
  <c r="AO583" i="3"/>
  <c r="AO584" i="3"/>
  <c r="AO585" i="3"/>
  <c r="AO586" i="3"/>
  <c r="AO587" i="3"/>
  <c r="AO588" i="3"/>
  <c r="AO589" i="3"/>
  <c r="AO590" i="3"/>
  <c r="AO591" i="3"/>
  <c r="AO592" i="3"/>
  <c r="AO593" i="3"/>
  <c r="AO594" i="3"/>
  <c r="AO595" i="3"/>
  <c r="AO596" i="3"/>
  <c r="AO597" i="3"/>
  <c r="AO598" i="3"/>
  <c r="AO599" i="3"/>
  <c r="AO600" i="3"/>
  <c r="AO601" i="3"/>
  <c r="AO602" i="3"/>
  <c r="AO603" i="3"/>
  <c r="AO604" i="3"/>
  <c r="AO605" i="3"/>
  <c r="AO606" i="3"/>
  <c r="AO607" i="3"/>
  <c r="AO608" i="3"/>
  <c r="AO609" i="3"/>
  <c r="AO610" i="3"/>
  <c r="AO611" i="3"/>
  <c r="AO612" i="3"/>
  <c r="AO613" i="3"/>
  <c r="AO614" i="3"/>
  <c r="AO615" i="3"/>
  <c r="AO616" i="3"/>
  <c r="AO617" i="3"/>
  <c r="AO618" i="3"/>
  <c r="AO619" i="3"/>
  <c r="AO620" i="3"/>
  <c r="AO621" i="3"/>
  <c r="AO622" i="3"/>
  <c r="AO623" i="3"/>
  <c r="AO624" i="3"/>
  <c r="AO625" i="3"/>
  <c r="AO626" i="3"/>
  <c r="AO627" i="3"/>
  <c r="AO628" i="3"/>
  <c r="AO629" i="3"/>
  <c r="AO630" i="3"/>
  <c r="AO631" i="3"/>
  <c r="AO632" i="3"/>
  <c r="AO633" i="3"/>
  <c r="AO634" i="3"/>
  <c r="AO635" i="3"/>
  <c r="AO636" i="3"/>
  <c r="AO637" i="3"/>
  <c r="AO638" i="3"/>
  <c r="AO639" i="3"/>
  <c r="AO640" i="3"/>
  <c r="AO641" i="3"/>
  <c r="AO642" i="3"/>
  <c r="AO643" i="3"/>
  <c r="AO644" i="3"/>
  <c r="AO645" i="3"/>
  <c r="AO646" i="3"/>
  <c r="AO647" i="3"/>
  <c r="AO648" i="3"/>
  <c r="AO649" i="3"/>
  <c r="AO650" i="3"/>
  <c r="AO651" i="3"/>
  <c r="AO652" i="3"/>
  <c r="AO653" i="3"/>
  <c r="AO654" i="3"/>
  <c r="AO655" i="3"/>
  <c r="AO656" i="3"/>
  <c r="AO657" i="3"/>
  <c r="AO658" i="3"/>
  <c r="AO659" i="3"/>
  <c r="AO660" i="3"/>
  <c r="AO661" i="3"/>
  <c r="AO662" i="3"/>
  <c r="AO663" i="3"/>
  <c r="AO664" i="3"/>
  <c r="AO665" i="3"/>
  <c r="AO666" i="3"/>
  <c r="AO667" i="3"/>
  <c r="AO668" i="3"/>
  <c r="AO669" i="3"/>
  <c r="AO670" i="3"/>
  <c r="AO671" i="3"/>
  <c r="AO672" i="3"/>
  <c r="AO673" i="3"/>
  <c r="AO674" i="3"/>
  <c r="AO675" i="3"/>
  <c r="AO676" i="3"/>
  <c r="AO677" i="3"/>
  <c r="AO678" i="3"/>
  <c r="AO679" i="3"/>
  <c r="AO680" i="3"/>
  <c r="AO681" i="3"/>
  <c r="AO682" i="3"/>
  <c r="AO683" i="3"/>
  <c r="AO684" i="3"/>
  <c r="AO685" i="3"/>
  <c r="AO686" i="3"/>
  <c r="AO687" i="3"/>
  <c r="AO688" i="3"/>
  <c r="AO689" i="3"/>
  <c r="AO690" i="3"/>
  <c r="AO691" i="3"/>
  <c r="AO692" i="3"/>
  <c r="AO693" i="3"/>
  <c r="AO694" i="3"/>
  <c r="AO695" i="3"/>
  <c r="AO696" i="3"/>
  <c r="AO697" i="3"/>
  <c r="AO698" i="3"/>
  <c r="AO699" i="3"/>
  <c r="AO700" i="3"/>
  <c r="AO701" i="3"/>
  <c r="AO702" i="3"/>
  <c r="AO703" i="3"/>
  <c r="AO704" i="3"/>
  <c r="AO705" i="3"/>
  <c r="AO706" i="3"/>
  <c r="AO707" i="3"/>
  <c r="AO708" i="3"/>
  <c r="AO709" i="3"/>
  <c r="AO710" i="3"/>
  <c r="AO711" i="3"/>
  <c r="AO712" i="3"/>
  <c r="AO713" i="3"/>
  <c r="AO714" i="3"/>
  <c r="AO715" i="3"/>
  <c r="AO716" i="3"/>
  <c r="AO717" i="3"/>
  <c r="AO718" i="3"/>
  <c r="AO719" i="3"/>
  <c r="AO720" i="3"/>
  <c r="AO721" i="3"/>
  <c r="AO722" i="3"/>
  <c r="AO723" i="3"/>
  <c r="AO724" i="3"/>
  <c r="AO725" i="3"/>
  <c r="AO726" i="3"/>
  <c r="AO727" i="3"/>
  <c r="AO728" i="3"/>
  <c r="AO729" i="3"/>
  <c r="AO730" i="3"/>
  <c r="AO731" i="3"/>
  <c r="AO732" i="3"/>
  <c r="AO733" i="3"/>
  <c r="AO734" i="3"/>
  <c r="AO735" i="3"/>
  <c r="AO736" i="3"/>
  <c r="AO737" i="3"/>
  <c r="AO738" i="3"/>
  <c r="AO739" i="3"/>
  <c r="AO740" i="3"/>
  <c r="AO741" i="3"/>
  <c r="AO742" i="3"/>
  <c r="AO743" i="3"/>
  <c r="AO744" i="3"/>
  <c r="AO745" i="3"/>
  <c r="AO746" i="3"/>
  <c r="AO747" i="3"/>
  <c r="AO748" i="3"/>
  <c r="AO749" i="3"/>
  <c r="AO750" i="3"/>
  <c r="AO751" i="3"/>
  <c r="AO752" i="3"/>
  <c r="AO753" i="3"/>
  <c r="AO754" i="3"/>
  <c r="AO755" i="3"/>
  <c r="AO756" i="3"/>
  <c r="AO757" i="3"/>
  <c r="AO758" i="3"/>
  <c r="AO759" i="3"/>
  <c r="AO760" i="3"/>
  <c r="AO761" i="3"/>
  <c r="AO762" i="3"/>
  <c r="AO763" i="3"/>
  <c r="AO764" i="3"/>
  <c r="AO765" i="3"/>
  <c r="AO766" i="3"/>
  <c r="AO767" i="3"/>
  <c r="AO768" i="3"/>
  <c r="AO769" i="3"/>
  <c r="AO770" i="3"/>
  <c r="AO771" i="3"/>
  <c r="AO772" i="3"/>
  <c r="AO773" i="3"/>
  <c r="AO774" i="3"/>
  <c r="AO775" i="3"/>
  <c r="AO776" i="3"/>
  <c r="AO777" i="3"/>
  <c r="AO778" i="3"/>
  <c r="AO779" i="3"/>
  <c r="AO780" i="3"/>
  <c r="AO781" i="3"/>
  <c r="AO782" i="3"/>
  <c r="AO783" i="3"/>
  <c r="AO784" i="3"/>
  <c r="AO785" i="3"/>
  <c r="AO786" i="3"/>
  <c r="AO787" i="3"/>
  <c r="AO788" i="3"/>
  <c r="AO789" i="3"/>
  <c r="AO790" i="3"/>
  <c r="AO791" i="3"/>
  <c r="AO792" i="3"/>
  <c r="AO793" i="3"/>
  <c r="AO794" i="3"/>
  <c r="AO795" i="3"/>
  <c r="AO796" i="3"/>
  <c r="AO797" i="3"/>
  <c r="AO798" i="3"/>
  <c r="AO799" i="3"/>
  <c r="AO800" i="3"/>
  <c r="AO801" i="3"/>
  <c r="AO802" i="3"/>
  <c r="AO803" i="3"/>
  <c r="AO804" i="3"/>
  <c r="AO805" i="3"/>
  <c r="AO806" i="3"/>
  <c r="AO807" i="3"/>
  <c r="AO808" i="3"/>
  <c r="AO809" i="3"/>
  <c r="AO810" i="3"/>
  <c r="AO811" i="3"/>
  <c r="AO812" i="3"/>
  <c r="AO813" i="3"/>
  <c r="AO814" i="3"/>
  <c r="AO815" i="3"/>
  <c r="AO816" i="3"/>
  <c r="AO817" i="3"/>
  <c r="AO818" i="3"/>
  <c r="AO819" i="3"/>
  <c r="AO820" i="3"/>
  <c r="AO821" i="3"/>
  <c r="AO822" i="3"/>
  <c r="AO823" i="3"/>
  <c r="AO824" i="3"/>
  <c r="AO825" i="3"/>
  <c r="AO826" i="3"/>
  <c r="AO827" i="3"/>
  <c r="AO828" i="3"/>
  <c r="AO829" i="3"/>
  <c r="AO830" i="3"/>
  <c r="AO831" i="3"/>
  <c r="AO832" i="3"/>
  <c r="AO833" i="3"/>
  <c r="AO834" i="3"/>
  <c r="AO835" i="3"/>
  <c r="AO836" i="3"/>
  <c r="AO837" i="3"/>
  <c r="AO838" i="3"/>
  <c r="AO839" i="3"/>
  <c r="AO840" i="3"/>
  <c r="AO841" i="3"/>
  <c r="AO842" i="3"/>
  <c r="AO843" i="3"/>
  <c r="AO844" i="3"/>
  <c r="AO845" i="3"/>
  <c r="AO846" i="3"/>
  <c r="AO847" i="3"/>
  <c r="AO848" i="3"/>
  <c r="AO849" i="3"/>
  <c r="AO850" i="3"/>
  <c r="AO851" i="3"/>
  <c r="AO852" i="3"/>
  <c r="AO853" i="3"/>
  <c r="AO854" i="3"/>
  <c r="AO855" i="3"/>
  <c r="AO856" i="3"/>
  <c r="AO857" i="3"/>
  <c r="AO858" i="3"/>
  <c r="AO859" i="3"/>
  <c r="AO860" i="3"/>
  <c r="AO861" i="3"/>
  <c r="AO862" i="3"/>
  <c r="AO863" i="3"/>
  <c r="AO864" i="3"/>
  <c r="AO865" i="3"/>
  <c r="AO866" i="3"/>
  <c r="AO867" i="3"/>
  <c r="AO868" i="3"/>
  <c r="AO869" i="3"/>
  <c r="AO870" i="3"/>
  <c r="AO871" i="3"/>
  <c r="AO872" i="3"/>
  <c r="AO873" i="3"/>
  <c r="AO874" i="3"/>
  <c r="AO875" i="3"/>
  <c r="AO876" i="3"/>
  <c r="AO877" i="3"/>
  <c r="AO878" i="3"/>
  <c r="AO879" i="3"/>
  <c r="AO880" i="3"/>
  <c r="AO881" i="3"/>
  <c r="AO882" i="3"/>
  <c r="AO883" i="3"/>
  <c r="AO884" i="3"/>
  <c r="AO885" i="3"/>
  <c r="AO886" i="3"/>
  <c r="AO887" i="3"/>
  <c r="AO888" i="3"/>
  <c r="AO889" i="3"/>
  <c r="AO890" i="3"/>
  <c r="AO891" i="3"/>
  <c r="AO892" i="3"/>
  <c r="AO893" i="3"/>
  <c r="AO894" i="3"/>
  <c r="AO895" i="3"/>
  <c r="AO896" i="3"/>
  <c r="AO897" i="3"/>
  <c r="AO898" i="3"/>
  <c r="AO899" i="3"/>
  <c r="AO900" i="3"/>
  <c r="AO901" i="3"/>
  <c r="AO902" i="3"/>
  <c r="AO903" i="3"/>
  <c r="AO904" i="3"/>
  <c r="AO905" i="3"/>
  <c r="AO906" i="3"/>
  <c r="AO907" i="3"/>
  <c r="AO908" i="3"/>
  <c r="AO909" i="3"/>
  <c r="AO910" i="3"/>
  <c r="AO911" i="3"/>
  <c r="AO912" i="3"/>
  <c r="AO913" i="3"/>
  <c r="AO914" i="3"/>
  <c r="AO915" i="3"/>
  <c r="AO916" i="3"/>
  <c r="AO917" i="3"/>
  <c r="AO918" i="3"/>
  <c r="AO919" i="3"/>
  <c r="AO920" i="3"/>
  <c r="AO921" i="3"/>
  <c r="AO922" i="3"/>
  <c r="AO923" i="3"/>
  <c r="AO924" i="3"/>
  <c r="AO925" i="3"/>
  <c r="AO926" i="3"/>
  <c r="AO927" i="3"/>
  <c r="AO928" i="3"/>
  <c r="AO929" i="3"/>
  <c r="AO930" i="3"/>
  <c r="AO931" i="3"/>
  <c r="AO932" i="3"/>
  <c r="AO933" i="3"/>
  <c r="AO934" i="3"/>
  <c r="AO935" i="3"/>
  <c r="AO936" i="3"/>
  <c r="AO937" i="3"/>
  <c r="AO938" i="3"/>
  <c r="AO939" i="3"/>
  <c r="AO940" i="3"/>
  <c r="AO941" i="3"/>
  <c r="AO942" i="3"/>
  <c r="AO943" i="3"/>
  <c r="AO944" i="3"/>
  <c r="AO945" i="3"/>
  <c r="AO946" i="3"/>
  <c r="AO947" i="3"/>
  <c r="AO948" i="3"/>
  <c r="AO949" i="3"/>
  <c r="AO950" i="3"/>
  <c r="AO951" i="3"/>
  <c r="AO952" i="3"/>
  <c r="AO953" i="3"/>
  <c r="AO954" i="3"/>
  <c r="AO955" i="3"/>
  <c r="AO956" i="3"/>
  <c r="AO957" i="3"/>
  <c r="AO958" i="3"/>
  <c r="AO959" i="3"/>
  <c r="AO960" i="3"/>
  <c r="AO961" i="3"/>
  <c r="AO962" i="3"/>
  <c r="AO963" i="3"/>
  <c r="AO964" i="3"/>
  <c r="AO965" i="3"/>
  <c r="AO966" i="3"/>
  <c r="AO967" i="3"/>
  <c r="AO968" i="3"/>
  <c r="AO969" i="3"/>
  <c r="AO970" i="3"/>
  <c r="AO971" i="3"/>
  <c r="AO972" i="3"/>
  <c r="AO973" i="3"/>
  <c r="AO974" i="3"/>
  <c r="AO975" i="3"/>
  <c r="AO976" i="3"/>
  <c r="AO977" i="3"/>
  <c r="AO978" i="3"/>
  <c r="AO979" i="3"/>
  <c r="AO980" i="3"/>
  <c r="AO981" i="3"/>
  <c r="AO982" i="3"/>
  <c r="AO983" i="3"/>
  <c r="AO984" i="3"/>
  <c r="AO985" i="3"/>
  <c r="AO986" i="3"/>
  <c r="AO987" i="3"/>
  <c r="AO988" i="3"/>
  <c r="AO989" i="3"/>
  <c r="AO990" i="3"/>
  <c r="AO991" i="3"/>
  <c r="AO992" i="3"/>
  <c r="AO993" i="3"/>
  <c r="AO994" i="3"/>
  <c r="AO995" i="3"/>
  <c r="AO996" i="3"/>
  <c r="AO997" i="3"/>
  <c r="AO998" i="3"/>
  <c r="AO999" i="3"/>
  <c r="AO1000" i="3"/>
  <c r="AO1001" i="3"/>
  <c r="AO1002" i="3"/>
  <c r="AO1003" i="3"/>
  <c r="AO1004" i="3"/>
  <c r="AO1005" i="3"/>
  <c r="AO1006" i="3"/>
  <c r="AO1007" i="3"/>
  <c r="AO1008" i="3"/>
  <c r="AO1009" i="3"/>
  <c r="AO1010" i="3"/>
  <c r="AO1011" i="3"/>
  <c r="AO1012" i="3"/>
  <c r="AO1013" i="3"/>
  <c r="AO1014" i="3"/>
  <c r="AO1015" i="3"/>
  <c r="AO1016" i="3"/>
  <c r="AO1017" i="3"/>
  <c r="AO1018" i="3"/>
  <c r="AO1019" i="3"/>
  <c r="AO1020" i="3"/>
  <c r="AO1021" i="3"/>
  <c r="AO1022" i="3"/>
  <c r="AO1023" i="3"/>
  <c r="AO1024" i="3"/>
  <c r="AO1025" i="3"/>
  <c r="AO1026" i="3"/>
  <c r="AO1027" i="3"/>
  <c r="AO1028" i="3"/>
  <c r="AO1029" i="3"/>
  <c r="AO1030" i="3"/>
  <c r="AO1031" i="3"/>
  <c r="AO1032" i="3"/>
  <c r="AO1033" i="3"/>
  <c r="AO1034" i="3"/>
  <c r="AO1035" i="3"/>
  <c r="AO1036" i="3"/>
  <c r="AO1037" i="3"/>
  <c r="AO1038" i="3"/>
  <c r="AO1039" i="3"/>
  <c r="AO1040" i="3"/>
  <c r="AO1041" i="3"/>
  <c r="AO1042" i="3"/>
  <c r="AO1043" i="3"/>
  <c r="AO1044" i="3"/>
  <c r="AO1045" i="3"/>
  <c r="AO1046" i="3"/>
  <c r="AO1047" i="3"/>
  <c r="AO1048" i="3"/>
  <c r="AO1049" i="3"/>
  <c r="AO1050" i="3"/>
  <c r="AO1051" i="3"/>
  <c r="AO1052" i="3"/>
  <c r="AO1053" i="3"/>
  <c r="AO1054" i="3"/>
  <c r="AO1055" i="3"/>
  <c r="AO1056" i="3"/>
  <c r="AO1057" i="3"/>
  <c r="AO1058" i="3"/>
  <c r="AO1059" i="3"/>
  <c r="AO1060" i="3"/>
  <c r="AO1061" i="3"/>
  <c r="AO1062" i="3"/>
  <c r="AO1063" i="3"/>
  <c r="AO1064" i="3"/>
  <c r="AO1065" i="3"/>
  <c r="AO1066" i="3"/>
  <c r="AO1067" i="3"/>
  <c r="AO1068" i="3"/>
  <c r="AO1069" i="3"/>
  <c r="AO1070" i="3"/>
  <c r="AO1071" i="3"/>
  <c r="AO1072" i="3"/>
  <c r="AO1073" i="3"/>
  <c r="AO1074" i="3"/>
  <c r="AO1075" i="3"/>
  <c r="AO1076" i="3"/>
  <c r="AO1077" i="3"/>
  <c r="AO1078" i="3"/>
  <c r="AO1079" i="3"/>
  <c r="AO1080" i="3"/>
  <c r="AO1081" i="3"/>
  <c r="AO1082" i="3"/>
  <c r="AO1083" i="3"/>
  <c r="AO1084" i="3"/>
  <c r="AO1085" i="3"/>
  <c r="AO1086" i="3"/>
  <c r="AO1087" i="3"/>
  <c r="AO1088" i="3"/>
  <c r="AO1089" i="3"/>
  <c r="AO1090" i="3"/>
  <c r="AO1091" i="3"/>
  <c r="AO1092" i="3"/>
  <c r="AO1093" i="3"/>
  <c r="AO1094" i="3"/>
  <c r="AO1095" i="3"/>
  <c r="AO1096" i="3"/>
  <c r="AO1097" i="3"/>
  <c r="AO1098" i="3"/>
  <c r="AO1099" i="3"/>
  <c r="AO1100" i="3"/>
  <c r="AO1101" i="3"/>
  <c r="AO1102" i="3"/>
  <c r="AO1103" i="3"/>
  <c r="AO1104" i="3"/>
  <c r="AO1105" i="3"/>
  <c r="AO1106" i="3"/>
  <c r="AO1107" i="3"/>
  <c r="AO1108" i="3"/>
  <c r="AO1109" i="3"/>
  <c r="AO1110" i="3"/>
  <c r="AO1111" i="3"/>
  <c r="AO1112" i="3"/>
  <c r="AO1113" i="3"/>
  <c r="AO1114" i="3"/>
  <c r="AO1115" i="3"/>
  <c r="AO1116" i="3"/>
  <c r="AO1117" i="3"/>
  <c r="AO1118" i="3"/>
  <c r="AO1119" i="3"/>
  <c r="AO1120" i="3"/>
  <c r="AO1121" i="3"/>
  <c r="AO1122" i="3"/>
  <c r="AO1123" i="3"/>
  <c r="AO1124" i="3"/>
  <c r="AO1125" i="3"/>
  <c r="AO1126" i="3"/>
  <c r="AO1127" i="3"/>
  <c r="AO1128" i="3"/>
  <c r="AO1129" i="3"/>
  <c r="AO1130" i="3"/>
  <c r="AO1131" i="3"/>
  <c r="AO1132" i="3"/>
  <c r="AO1133" i="3"/>
  <c r="AO1134" i="3"/>
  <c r="AO1135" i="3"/>
  <c r="AO1136" i="3"/>
  <c r="AO1137" i="3"/>
  <c r="AO1138" i="3"/>
  <c r="AO1139" i="3"/>
  <c r="AO1140" i="3"/>
  <c r="AO1141" i="3"/>
  <c r="AO1142" i="3"/>
  <c r="AO1143" i="3"/>
  <c r="AO1144" i="3"/>
  <c r="AO1145" i="3"/>
  <c r="AO1146" i="3"/>
  <c r="AO1147" i="3"/>
  <c r="AO1148" i="3"/>
  <c r="AO1149" i="3"/>
  <c r="AO1150" i="3"/>
  <c r="AO1151" i="3"/>
  <c r="AO1152" i="3"/>
  <c r="AO1153" i="3"/>
  <c r="AO1154" i="3"/>
  <c r="AO1155" i="3"/>
  <c r="AO1156" i="3"/>
  <c r="AO1157" i="3"/>
  <c r="AO1158" i="3"/>
  <c r="AO1159" i="3"/>
  <c r="AO1160" i="3"/>
  <c r="AO1161" i="3"/>
  <c r="AO1162" i="3"/>
  <c r="AO1163" i="3"/>
  <c r="AO1164" i="3"/>
  <c r="AO1165" i="3"/>
  <c r="AO1166" i="3"/>
  <c r="AO1167" i="3"/>
  <c r="AO1168" i="3"/>
  <c r="AO1169" i="3"/>
  <c r="AO1170" i="3"/>
  <c r="AO1171" i="3"/>
  <c r="AO1172" i="3"/>
  <c r="AO1173" i="3"/>
  <c r="AO1174" i="3"/>
  <c r="AO1175" i="3"/>
  <c r="AO1176" i="3"/>
  <c r="AO1177" i="3"/>
  <c r="AO1178" i="3"/>
  <c r="AO1179" i="3"/>
  <c r="AO1180" i="3"/>
  <c r="AO1181" i="3"/>
  <c r="AO1182" i="3"/>
  <c r="AO1183" i="3"/>
  <c r="AO1184" i="3"/>
  <c r="AO1185" i="3"/>
  <c r="AO1186" i="3"/>
  <c r="AO1187" i="3"/>
  <c r="AO1188" i="3"/>
  <c r="AO1189" i="3"/>
  <c r="AO1190" i="3"/>
  <c r="AO1191" i="3"/>
  <c r="AO1192" i="3"/>
  <c r="AO1193" i="3"/>
  <c r="AO1194" i="3"/>
  <c r="AO1195" i="3"/>
  <c r="AO1196" i="3"/>
  <c r="AO1197" i="3"/>
  <c r="AO1198" i="3"/>
  <c r="AO1199" i="3"/>
  <c r="AO1200" i="3"/>
  <c r="AO1201" i="3"/>
  <c r="AO1202" i="3"/>
  <c r="AO1203" i="3"/>
  <c r="AO1204" i="3"/>
  <c r="AO1205" i="3"/>
  <c r="AO1206" i="3"/>
  <c r="AO1207" i="3"/>
  <c r="AO1208" i="3"/>
  <c r="AO1209" i="3"/>
  <c r="AO1210" i="3"/>
  <c r="AO1211" i="3"/>
  <c r="AO1212" i="3"/>
  <c r="AO1213" i="3"/>
  <c r="AO1214" i="3"/>
  <c r="AO1215" i="3"/>
  <c r="AO1216" i="3"/>
  <c r="AO1217" i="3"/>
  <c r="AO1218" i="3"/>
  <c r="AO1219" i="3"/>
  <c r="AO1220" i="3"/>
  <c r="AO1221" i="3"/>
  <c r="AO1222" i="3"/>
  <c r="AO1223" i="3"/>
  <c r="AO1224" i="3"/>
  <c r="AO1225" i="3"/>
  <c r="AO1226" i="3"/>
  <c r="AO1227" i="3"/>
  <c r="AO1228" i="3"/>
  <c r="AO1229" i="3"/>
  <c r="AO1230" i="3"/>
  <c r="AO1231" i="3"/>
  <c r="AO1232" i="3"/>
  <c r="AO1233" i="3"/>
  <c r="AO1234" i="3"/>
  <c r="AO1235" i="3"/>
  <c r="AO1236" i="3"/>
  <c r="AO1237" i="3"/>
  <c r="AO1238" i="3"/>
  <c r="AO1239" i="3"/>
  <c r="AO1240" i="3"/>
  <c r="AO1241" i="3"/>
  <c r="AO1242" i="3"/>
  <c r="AO1243" i="3"/>
  <c r="AO1244" i="3"/>
  <c r="AO1245" i="3"/>
  <c r="AO1246" i="3"/>
  <c r="AO1247" i="3"/>
  <c r="AO1248" i="3"/>
  <c r="AO1249" i="3"/>
  <c r="AO1250" i="3"/>
  <c r="AO1251" i="3"/>
  <c r="AO1252" i="3"/>
  <c r="AO1253" i="3"/>
  <c r="AO1254" i="3"/>
  <c r="AO1255" i="3"/>
  <c r="AO1256" i="3"/>
  <c r="AO1257" i="3"/>
  <c r="AO1258" i="3"/>
  <c r="AO1259" i="3"/>
  <c r="AO1260" i="3"/>
  <c r="AO1261" i="3"/>
  <c r="AO1262" i="3"/>
  <c r="AO1263" i="3"/>
  <c r="AO1264" i="3"/>
  <c r="AO1265" i="3"/>
  <c r="AO1266" i="3"/>
  <c r="AO1267" i="3"/>
  <c r="AO1268" i="3"/>
  <c r="AO1269" i="3"/>
  <c r="AO1270" i="3"/>
  <c r="AO1271" i="3"/>
  <c r="AO1272" i="3"/>
  <c r="AO1273" i="3"/>
  <c r="AO1274" i="3"/>
  <c r="AO1275" i="3"/>
  <c r="AO1276" i="3"/>
  <c r="AO1277" i="3"/>
  <c r="AO1278" i="3"/>
  <c r="AO1279" i="3"/>
  <c r="AO1280" i="3"/>
  <c r="AO1281" i="3"/>
  <c r="AO1282" i="3"/>
  <c r="AO1283" i="3"/>
  <c r="AO1284" i="3"/>
  <c r="AO1285" i="3"/>
  <c r="AO1286" i="3"/>
  <c r="AO1287" i="3"/>
  <c r="AO1288" i="3"/>
  <c r="AO1289" i="3"/>
  <c r="AO1290" i="3"/>
  <c r="AO1291" i="3"/>
  <c r="AO1292" i="3"/>
  <c r="AO1293" i="3"/>
  <c r="AO1294" i="3"/>
  <c r="AO1295" i="3"/>
  <c r="AO1296" i="3"/>
  <c r="AO1297" i="3"/>
  <c r="AO1298" i="3"/>
  <c r="AO1299" i="3"/>
  <c r="AO1300" i="3"/>
  <c r="AO1301" i="3"/>
  <c r="AO1302" i="3"/>
  <c r="AO1303" i="3"/>
  <c r="AO1304" i="3"/>
  <c r="AO1305" i="3"/>
  <c r="AO1306" i="3"/>
  <c r="AO1307" i="3"/>
  <c r="AO1308" i="3"/>
  <c r="AO1309" i="3"/>
  <c r="AO1310" i="3"/>
  <c r="AO1311" i="3"/>
  <c r="AO1312" i="3"/>
  <c r="AO1313" i="3"/>
  <c r="AO1314" i="3"/>
  <c r="AO1315" i="3"/>
  <c r="AO1316" i="3"/>
  <c r="AO1317" i="3"/>
  <c r="AO1318" i="3"/>
  <c r="AO1319" i="3"/>
  <c r="AO1320" i="3"/>
  <c r="AO1321" i="3"/>
  <c r="AO1322" i="3"/>
  <c r="AO1323" i="3"/>
  <c r="AO1324" i="3"/>
  <c r="AO1325" i="3"/>
  <c r="AO1326" i="3"/>
  <c r="AO1327" i="3"/>
  <c r="AO1328" i="3"/>
  <c r="AO1329" i="3"/>
  <c r="AO1330" i="3"/>
  <c r="AO1331" i="3"/>
  <c r="AO1332" i="3"/>
  <c r="AO1333" i="3"/>
  <c r="AO1334" i="3"/>
  <c r="AO1335" i="3"/>
  <c r="AO1336" i="3"/>
  <c r="AO1337" i="3"/>
  <c r="AO1338" i="3"/>
  <c r="AO1339" i="3"/>
  <c r="AO1340" i="3"/>
  <c r="AO1341" i="3"/>
  <c r="AO1342" i="3"/>
  <c r="AO1343" i="3"/>
  <c r="AO1344" i="3"/>
  <c r="AO1345" i="3"/>
  <c r="AO1346" i="3"/>
  <c r="AO1347" i="3"/>
  <c r="AO1348" i="3"/>
  <c r="AO1349" i="3"/>
  <c r="AO1350" i="3"/>
  <c r="AO1351" i="3"/>
  <c r="AO1352" i="3"/>
  <c r="AO1353" i="3"/>
  <c r="AO1354" i="3"/>
  <c r="AO1355" i="3"/>
  <c r="AO1356" i="3"/>
  <c r="AO1357" i="3"/>
  <c r="AO1358" i="3"/>
  <c r="AO1359" i="3"/>
  <c r="AO1360" i="3"/>
  <c r="AO1361" i="3"/>
  <c r="AO1362" i="3"/>
  <c r="AO1363" i="3"/>
  <c r="AO1364" i="3"/>
  <c r="AO1365" i="3"/>
  <c r="AO1366" i="3"/>
  <c r="AO1367" i="3"/>
  <c r="AO1368" i="3"/>
  <c r="AO1369" i="3"/>
  <c r="AO1370" i="3"/>
  <c r="AO1371" i="3"/>
  <c r="AO1372" i="3"/>
  <c r="AO1373" i="3"/>
  <c r="AO1374" i="3"/>
  <c r="AO1375" i="3"/>
  <c r="AO1376" i="3"/>
  <c r="AO1377" i="3"/>
  <c r="AO1378" i="3"/>
  <c r="AO1379" i="3"/>
  <c r="AO1380" i="3"/>
  <c r="AO1381" i="3"/>
  <c r="AO1382" i="3"/>
  <c r="AO1383" i="3"/>
  <c r="AO1384" i="3"/>
  <c r="AO1385" i="3"/>
  <c r="AO1386" i="3"/>
  <c r="AO1387" i="3"/>
  <c r="AO1388" i="3"/>
  <c r="AO1389" i="3"/>
  <c r="AO1390" i="3"/>
  <c r="AO1391" i="3"/>
  <c r="AO1392" i="3"/>
  <c r="AO1393" i="3"/>
  <c r="AO1394" i="3"/>
  <c r="AO1395" i="3"/>
  <c r="AO1396" i="3"/>
  <c r="AO1397" i="3"/>
  <c r="AO1398" i="3"/>
  <c r="AO1399" i="3"/>
  <c r="AO1400" i="3"/>
  <c r="AO1401" i="3"/>
  <c r="AO1402" i="3"/>
  <c r="AO1403" i="3"/>
  <c r="AO1404" i="3"/>
  <c r="AO1405" i="3"/>
  <c r="AO1406" i="3"/>
  <c r="AO1407" i="3"/>
  <c r="AO1408" i="3"/>
  <c r="AO1409" i="3"/>
  <c r="AO1410" i="3"/>
  <c r="AO1411" i="3"/>
  <c r="AO1412" i="3"/>
  <c r="AO1413" i="3"/>
  <c r="AO1414" i="3"/>
  <c r="AO1415" i="3"/>
  <c r="AO1416" i="3"/>
  <c r="AO1417" i="3"/>
  <c r="AO1418" i="3"/>
  <c r="AO1419" i="3"/>
  <c r="AO1420" i="3"/>
  <c r="AO1421" i="3"/>
  <c r="AO1422" i="3"/>
  <c r="AO1423" i="3"/>
  <c r="AO1424" i="3"/>
  <c r="AO1425" i="3"/>
  <c r="AO1426" i="3"/>
  <c r="AO1427" i="3"/>
  <c r="AO1428" i="3"/>
  <c r="AO1429" i="3"/>
  <c r="AO1430" i="3"/>
  <c r="AO1431" i="3"/>
  <c r="AO1432" i="3"/>
  <c r="AO1433" i="3"/>
  <c r="AO1434" i="3"/>
  <c r="AO1435" i="3"/>
  <c r="AO1436" i="3"/>
  <c r="AO1437" i="3"/>
  <c r="AO1438" i="3"/>
  <c r="AO1439" i="3"/>
  <c r="AO1440" i="3"/>
  <c r="AO1441" i="3"/>
  <c r="AO1442" i="3"/>
  <c r="AO1443" i="3"/>
  <c r="AO1444" i="3"/>
  <c r="AO1445" i="3"/>
  <c r="AO1446" i="3"/>
  <c r="AO1447" i="3"/>
  <c r="AO1448" i="3"/>
  <c r="AO1449" i="3"/>
  <c r="AO1450" i="3"/>
  <c r="AO1451" i="3"/>
  <c r="AO1452" i="3"/>
  <c r="AO1453" i="3"/>
  <c r="AO1454" i="3"/>
  <c r="AO1455" i="3"/>
  <c r="AO1456" i="3"/>
  <c r="AO1457" i="3"/>
  <c r="AO1458" i="3"/>
  <c r="AO1459" i="3"/>
  <c r="AO1460" i="3"/>
  <c r="AO1461" i="3"/>
  <c r="AO1462" i="3"/>
  <c r="AO1463" i="3"/>
  <c r="AO1464" i="3"/>
  <c r="AO1465" i="3"/>
  <c r="AO1466" i="3"/>
  <c r="AO1467" i="3"/>
  <c r="AO1468" i="3"/>
  <c r="AO1469" i="3"/>
  <c r="AO1470" i="3"/>
  <c r="AO1471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N850" i="3"/>
  <c r="AN851" i="3"/>
  <c r="AN852" i="3"/>
  <c r="AN853" i="3"/>
  <c r="AN854" i="3"/>
  <c r="AN855" i="3"/>
  <c r="AN856" i="3"/>
  <c r="AN857" i="3"/>
  <c r="AN858" i="3"/>
  <c r="AN859" i="3"/>
  <c r="AN860" i="3"/>
  <c r="AN861" i="3"/>
  <c r="AN862" i="3"/>
  <c r="AN863" i="3"/>
  <c r="AN864" i="3"/>
  <c r="AN865" i="3"/>
  <c r="AN866" i="3"/>
  <c r="AN867" i="3"/>
  <c r="AN868" i="3"/>
  <c r="AN869" i="3"/>
  <c r="AN870" i="3"/>
  <c r="AN871" i="3"/>
  <c r="AN872" i="3"/>
  <c r="AN873" i="3"/>
  <c r="AN874" i="3"/>
  <c r="AN875" i="3"/>
  <c r="AN876" i="3"/>
  <c r="AN877" i="3"/>
  <c r="AN878" i="3"/>
  <c r="AN879" i="3"/>
  <c r="AN880" i="3"/>
  <c r="AN881" i="3"/>
  <c r="AN882" i="3"/>
  <c r="AN883" i="3"/>
  <c r="AN884" i="3"/>
  <c r="AN885" i="3"/>
  <c r="AN886" i="3"/>
  <c r="AN887" i="3"/>
  <c r="AN888" i="3"/>
  <c r="AN889" i="3"/>
  <c r="AN890" i="3"/>
  <c r="AN891" i="3"/>
  <c r="AN892" i="3"/>
  <c r="AN893" i="3"/>
  <c r="AN894" i="3"/>
  <c r="AN895" i="3"/>
  <c r="AN896" i="3"/>
  <c r="AN897" i="3"/>
  <c r="AN898" i="3"/>
  <c r="AN899" i="3"/>
  <c r="AN900" i="3"/>
  <c r="AN901" i="3"/>
  <c r="AN902" i="3"/>
  <c r="AN903" i="3"/>
  <c r="AN904" i="3"/>
  <c r="AN905" i="3"/>
  <c r="AN906" i="3"/>
  <c r="AN907" i="3"/>
  <c r="AN908" i="3"/>
  <c r="AN909" i="3"/>
  <c r="AN910" i="3"/>
  <c r="AN911" i="3"/>
  <c r="AN912" i="3"/>
  <c r="AN913" i="3"/>
  <c r="AN914" i="3"/>
  <c r="AN915" i="3"/>
  <c r="AN916" i="3"/>
  <c r="AN917" i="3"/>
  <c r="AN918" i="3"/>
  <c r="AN919" i="3"/>
  <c r="AN920" i="3"/>
  <c r="AN921" i="3"/>
  <c r="AN922" i="3"/>
  <c r="AN923" i="3"/>
  <c r="AN924" i="3"/>
  <c r="AN925" i="3"/>
  <c r="AN926" i="3"/>
  <c r="AN927" i="3"/>
  <c r="AN928" i="3"/>
  <c r="AN929" i="3"/>
  <c r="AN930" i="3"/>
  <c r="AN931" i="3"/>
  <c r="AN932" i="3"/>
  <c r="AN933" i="3"/>
  <c r="AN934" i="3"/>
  <c r="AN935" i="3"/>
  <c r="AN936" i="3"/>
  <c r="AN937" i="3"/>
  <c r="AN938" i="3"/>
  <c r="AN939" i="3"/>
  <c r="AN940" i="3"/>
  <c r="AN941" i="3"/>
  <c r="AN942" i="3"/>
  <c r="AN943" i="3"/>
  <c r="AN944" i="3"/>
  <c r="AN945" i="3"/>
  <c r="AN946" i="3"/>
  <c r="AN947" i="3"/>
  <c r="AN948" i="3"/>
  <c r="AN949" i="3"/>
  <c r="AN950" i="3"/>
  <c r="AN951" i="3"/>
  <c r="AN952" i="3"/>
  <c r="AN953" i="3"/>
  <c r="AN954" i="3"/>
  <c r="AN955" i="3"/>
  <c r="AN956" i="3"/>
  <c r="AN957" i="3"/>
  <c r="AN958" i="3"/>
  <c r="AN959" i="3"/>
  <c r="AN960" i="3"/>
  <c r="AN961" i="3"/>
  <c r="AN962" i="3"/>
  <c r="AN963" i="3"/>
  <c r="AN964" i="3"/>
  <c r="AN965" i="3"/>
  <c r="AN966" i="3"/>
  <c r="AN967" i="3"/>
  <c r="AN968" i="3"/>
  <c r="AN969" i="3"/>
  <c r="AN970" i="3"/>
  <c r="AN971" i="3"/>
  <c r="AN972" i="3"/>
  <c r="AN973" i="3"/>
  <c r="AN974" i="3"/>
  <c r="AN975" i="3"/>
  <c r="AN976" i="3"/>
  <c r="AN977" i="3"/>
  <c r="AN978" i="3"/>
  <c r="AN979" i="3"/>
  <c r="AN980" i="3"/>
  <c r="AN981" i="3"/>
  <c r="AN982" i="3"/>
  <c r="AN983" i="3"/>
  <c r="AN984" i="3"/>
  <c r="AN985" i="3"/>
  <c r="AN986" i="3"/>
  <c r="AN987" i="3"/>
  <c r="AN988" i="3"/>
  <c r="AN989" i="3"/>
  <c r="AN990" i="3"/>
  <c r="AN991" i="3"/>
  <c r="AN992" i="3"/>
  <c r="AN993" i="3"/>
  <c r="AN994" i="3"/>
  <c r="AN995" i="3"/>
  <c r="AN996" i="3"/>
  <c r="AN997" i="3"/>
  <c r="AN998" i="3"/>
  <c r="AN999" i="3"/>
  <c r="AN1000" i="3"/>
  <c r="AN1001" i="3"/>
  <c r="AN1002" i="3"/>
  <c r="AN1003" i="3"/>
  <c r="AN1004" i="3"/>
  <c r="AN1005" i="3"/>
  <c r="AN1006" i="3"/>
  <c r="AN1007" i="3"/>
  <c r="AN1008" i="3"/>
  <c r="AN1009" i="3"/>
  <c r="AN1010" i="3"/>
  <c r="AN1011" i="3"/>
  <c r="AN1012" i="3"/>
  <c r="AN1013" i="3"/>
  <c r="AN1014" i="3"/>
  <c r="AN1015" i="3"/>
  <c r="AN1016" i="3"/>
  <c r="AN1017" i="3"/>
  <c r="AN1018" i="3"/>
  <c r="AN1019" i="3"/>
  <c r="AN1020" i="3"/>
  <c r="AN1021" i="3"/>
  <c r="AN1022" i="3"/>
  <c r="AN1023" i="3"/>
  <c r="AN1024" i="3"/>
  <c r="AN1025" i="3"/>
  <c r="AN1026" i="3"/>
  <c r="AN1027" i="3"/>
  <c r="AN1028" i="3"/>
  <c r="AN1029" i="3"/>
  <c r="AN1030" i="3"/>
  <c r="AN1031" i="3"/>
  <c r="AN1032" i="3"/>
  <c r="AN1033" i="3"/>
  <c r="AN1034" i="3"/>
  <c r="AN1035" i="3"/>
  <c r="AN1036" i="3"/>
  <c r="AN1037" i="3"/>
  <c r="AN1038" i="3"/>
  <c r="AN1039" i="3"/>
  <c r="AN1040" i="3"/>
  <c r="AN1041" i="3"/>
  <c r="AN1042" i="3"/>
  <c r="AN1043" i="3"/>
  <c r="AN1044" i="3"/>
  <c r="AN1045" i="3"/>
  <c r="AN1046" i="3"/>
  <c r="AN1047" i="3"/>
  <c r="AN1048" i="3"/>
  <c r="AN1049" i="3"/>
  <c r="AN1050" i="3"/>
  <c r="AN1051" i="3"/>
  <c r="AN1052" i="3"/>
  <c r="AN1053" i="3"/>
  <c r="AN1054" i="3"/>
  <c r="AN1055" i="3"/>
  <c r="AN1056" i="3"/>
  <c r="AN1057" i="3"/>
  <c r="AN1058" i="3"/>
  <c r="AN1059" i="3"/>
  <c r="AN1060" i="3"/>
  <c r="AN1061" i="3"/>
  <c r="AN1062" i="3"/>
  <c r="AN1063" i="3"/>
  <c r="AN1064" i="3"/>
  <c r="AN1065" i="3"/>
  <c r="AN1066" i="3"/>
  <c r="AN1067" i="3"/>
  <c r="AN1068" i="3"/>
  <c r="AN1069" i="3"/>
  <c r="AN1070" i="3"/>
  <c r="AN1071" i="3"/>
  <c r="AN1072" i="3"/>
  <c r="AN1073" i="3"/>
  <c r="AN1074" i="3"/>
  <c r="AN1075" i="3"/>
  <c r="AN1076" i="3"/>
  <c r="AN1077" i="3"/>
  <c r="AN1078" i="3"/>
  <c r="AN1079" i="3"/>
  <c r="AN1080" i="3"/>
  <c r="AN1081" i="3"/>
  <c r="AN1082" i="3"/>
  <c r="AN1083" i="3"/>
  <c r="AN1084" i="3"/>
  <c r="AN1085" i="3"/>
  <c r="AN1086" i="3"/>
  <c r="AN1087" i="3"/>
  <c r="AN1088" i="3"/>
  <c r="AN1089" i="3"/>
  <c r="AN1090" i="3"/>
  <c r="AN1091" i="3"/>
  <c r="AN1092" i="3"/>
  <c r="AN1093" i="3"/>
  <c r="AN1094" i="3"/>
  <c r="AN1095" i="3"/>
  <c r="AN1096" i="3"/>
  <c r="AN1097" i="3"/>
  <c r="AN1098" i="3"/>
  <c r="AN1099" i="3"/>
  <c r="AN1100" i="3"/>
  <c r="AN1101" i="3"/>
  <c r="AN1102" i="3"/>
  <c r="AN1103" i="3"/>
  <c r="AN1104" i="3"/>
  <c r="AN1105" i="3"/>
  <c r="AN1106" i="3"/>
  <c r="AN1107" i="3"/>
  <c r="AN1108" i="3"/>
  <c r="AN1109" i="3"/>
  <c r="AN1110" i="3"/>
  <c r="AN1111" i="3"/>
  <c r="AN1112" i="3"/>
  <c r="AN1113" i="3"/>
  <c r="AN1114" i="3"/>
  <c r="AN1115" i="3"/>
  <c r="AN1116" i="3"/>
  <c r="AN1117" i="3"/>
  <c r="AN1118" i="3"/>
  <c r="AN1119" i="3"/>
  <c r="AN1120" i="3"/>
  <c r="AN1121" i="3"/>
  <c r="AN1122" i="3"/>
  <c r="AN1123" i="3"/>
  <c r="AN1124" i="3"/>
  <c r="AN1125" i="3"/>
  <c r="AN1126" i="3"/>
  <c r="AN1127" i="3"/>
  <c r="AN1128" i="3"/>
  <c r="AN1129" i="3"/>
  <c r="AN1130" i="3"/>
  <c r="AN1131" i="3"/>
  <c r="AN1132" i="3"/>
  <c r="AN1133" i="3"/>
  <c r="AN1134" i="3"/>
  <c r="AN1135" i="3"/>
  <c r="AN1136" i="3"/>
  <c r="AN1137" i="3"/>
  <c r="AN1138" i="3"/>
  <c r="AN1139" i="3"/>
  <c r="AN1140" i="3"/>
  <c r="AN1141" i="3"/>
  <c r="AN1142" i="3"/>
  <c r="AN1143" i="3"/>
  <c r="AN1144" i="3"/>
  <c r="AN1145" i="3"/>
  <c r="AN1146" i="3"/>
  <c r="AN1147" i="3"/>
  <c r="AN1148" i="3"/>
  <c r="AN1149" i="3"/>
  <c r="AN1150" i="3"/>
  <c r="AN1151" i="3"/>
  <c r="AN1152" i="3"/>
  <c r="AN1153" i="3"/>
  <c r="AN1154" i="3"/>
  <c r="AN1155" i="3"/>
  <c r="AN1156" i="3"/>
  <c r="AN1157" i="3"/>
  <c r="AN1158" i="3"/>
  <c r="AN1159" i="3"/>
  <c r="AN1160" i="3"/>
  <c r="AN1161" i="3"/>
  <c r="AN1162" i="3"/>
  <c r="AN1163" i="3"/>
  <c r="AN1164" i="3"/>
  <c r="AN1165" i="3"/>
  <c r="AN1166" i="3"/>
  <c r="AN1167" i="3"/>
  <c r="AN1168" i="3"/>
  <c r="AN1169" i="3"/>
  <c r="AN1170" i="3"/>
  <c r="AN1171" i="3"/>
  <c r="AN1172" i="3"/>
  <c r="AN1173" i="3"/>
  <c r="AN1174" i="3"/>
  <c r="AN1175" i="3"/>
  <c r="AN1176" i="3"/>
  <c r="AN1177" i="3"/>
  <c r="AN1178" i="3"/>
  <c r="AN1179" i="3"/>
  <c r="AN1180" i="3"/>
  <c r="AN1181" i="3"/>
  <c r="AN1182" i="3"/>
  <c r="AN1183" i="3"/>
  <c r="AN1184" i="3"/>
  <c r="AN1185" i="3"/>
  <c r="AN1186" i="3"/>
  <c r="AN1187" i="3"/>
  <c r="AN1188" i="3"/>
  <c r="AN1189" i="3"/>
  <c r="AN1190" i="3"/>
  <c r="AN1191" i="3"/>
  <c r="AN1192" i="3"/>
  <c r="AN1193" i="3"/>
  <c r="AN1194" i="3"/>
  <c r="AN1195" i="3"/>
  <c r="AN1196" i="3"/>
  <c r="AN1197" i="3"/>
  <c r="AN1198" i="3"/>
  <c r="AN1199" i="3"/>
  <c r="AN1200" i="3"/>
  <c r="AN1201" i="3"/>
  <c r="AN1202" i="3"/>
  <c r="AN1203" i="3"/>
  <c r="AN1204" i="3"/>
  <c r="AN1205" i="3"/>
  <c r="AN1206" i="3"/>
  <c r="AN1207" i="3"/>
  <c r="AN1208" i="3"/>
  <c r="AN1209" i="3"/>
  <c r="AN1210" i="3"/>
  <c r="AN1211" i="3"/>
  <c r="AN1212" i="3"/>
  <c r="AN1213" i="3"/>
  <c r="AN1214" i="3"/>
  <c r="AN1215" i="3"/>
  <c r="AN1216" i="3"/>
  <c r="AN1217" i="3"/>
  <c r="AN1218" i="3"/>
  <c r="AN1219" i="3"/>
  <c r="AN1220" i="3"/>
  <c r="AN1221" i="3"/>
  <c r="AN1222" i="3"/>
  <c r="AN1223" i="3"/>
  <c r="AN1224" i="3"/>
  <c r="AN1225" i="3"/>
  <c r="AN1226" i="3"/>
  <c r="AN1227" i="3"/>
  <c r="AN1228" i="3"/>
  <c r="AN1229" i="3"/>
  <c r="AN1230" i="3"/>
  <c r="AN1231" i="3"/>
  <c r="AN1232" i="3"/>
  <c r="AN1233" i="3"/>
  <c r="AN1234" i="3"/>
  <c r="AN1235" i="3"/>
  <c r="AN1236" i="3"/>
  <c r="AN1237" i="3"/>
  <c r="AN1238" i="3"/>
  <c r="AN1239" i="3"/>
  <c r="AN1240" i="3"/>
  <c r="AN1241" i="3"/>
  <c r="AN1242" i="3"/>
  <c r="AN1243" i="3"/>
  <c r="AN1244" i="3"/>
  <c r="AN1245" i="3"/>
  <c r="AN1246" i="3"/>
  <c r="AN1247" i="3"/>
  <c r="AN1248" i="3"/>
  <c r="AN1249" i="3"/>
  <c r="AN1250" i="3"/>
  <c r="AN1251" i="3"/>
  <c r="AN1252" i="3"/>
  <c r="AN1253" i="3"/>
  <c r="AN1254" i="3"/>
  <c r="AN1255" i="3"/>
  <c r="AN1256" i="3"/>
  <c r="AN1257" i="3"/>
  <c r="AN1258" i="3"/>
  <c r="AN1259" i="3"/>
  <c r="AN1260" i="3"/>
  <c r="AN1261" i="3"/>
  <c r="AN1262" i="3"/>
  <c r="AN1263" i="3"/>
  <c r="AN1264" i="3"/>
  <c r="AN1265" i="3"/>
  <c r="AN1266" i="3"/>
  <c r="AN1267" i="3"/>
  <c r="AN1268" i="3"/>
  <c r="AN1269" i="3"/>
  <c r="AN1270" i="3"/>
  <c r="AN1271" i="3"/>
  <c r="AN1272" i="3"/>
  <c r="AN1273" i="3"/>
  <c r="AN1274" i="3"/>
  <c r="AN1275" i="3"/>
  <c r="AN1276" i="3"/>
  <c r="AN1277" i="3"/>
  <c r="AN1278" i="3"/>
  <c r="AN1279" i="3"/>
  <c r="AN1280" i="3"/>
  <c r="AN1281" i="3"/>
  <c r="AN1282" i="3"/>
  <c r="AN1283" i="3"/>
  <c r="AN1284" i="3"/>
  <c r="AN1285" i="3"/>
  <c r="AN1286" i="3"/>
  <c r="AN1287" i="3"/>
  <c r="AN1288" i="3"/>
  <c r="AN1289" i="3"/>
  <c r="AN1290" i="3"/>
  <c r="AN1291" i="3"/>
  <c r="AN1292" i="3"/>
  <c r="AN1293" i="3"/>
  <c r="AN1294" i="3"/>
  <c r="AN1295" i="3"/>
  <c r="AN1296" i="3"/>
  <c r="AN1297" i="3"/>
  <c r="AN1298" i="3"/>
  <c r="AN1299" i="3"/>
  <c r="AN1300" i="3"/>
  <c r="AN1301" i="3"/>
  <c r="AN1302" i="3"/>
  <c r="AN1303" i="3"/>
  <c r="AN1304" i="3"/>
  <c r="AN1305" i="3"/>
  <c r="AN1306" i="3"/>
  <c r="AN1307" i="3"/>
  <c r="AN1308" i="3"/>
  <c r="AN1309" i="3"/>
  <c r="AN1310" i="3"/>
  <c r="AN1311" i="3"/>
  <c r="AN1312" i="3"/>
  <c r="AN1313" i="3"/>
  <c r="AN1314" i="3"/>
  <c r="AN1315" i="3"/>
  <c r="AN1316" i="3"/>
  <c r="AN1317" i="3"/>
  <c r="AN1318" i="3"/>
  <c r="AN1319" i="3"/>
  <c r="AN1320" i="3"/>
  <c r="AN1321" i="3"/>
  <c r="AN1322" i="3"/>
  <c r="AN1323" i="3"/>
  <c r="AN1324" i="3"/>
  <c r="AN1325" i="3"/>
  <c r="AN1326" i="3"/>
  <c r="AN1327" i="3"/>
  <c r="AN1328" i="3"/>
  <c r="AN1329" i="3"/>
  <c r="AN1330" i="3"/>
  <c r="AN1331" i="3"/>
  <c r="AN1332" i="3"/>
  <c r="AN1333" i="3"/>
  <c r="AN1334" i="3"/>
  <c r="AN1335" i="3"/>
  <c r="AN1336" i="3"/>
  <c r="AN1337" i="3"/>
  <c r="AN1338" i="3"/>
  <c r="AN1339" i="3"/>
  <c r="AN1340" i="3"/>
  <c r="AN1341" i="3"/>
  <c r="AN1342" i="3"/>
  <c r="AN1343" i="3"/>
  <c r="AN1344" i="3"/>
  <c r="AN1345" i="3"/>
  <c r="AN1346" i="3"/>
  <c r="AN1347" i="3"/>
  <c r="AN1348" i="3"/>
  <c r="AN1349" i="3"/>
  <c r="AN1350" i="3"/>
  <c r="AN1351" i="3"/>
  <c r="AN1352" i="3"/>
  <c r="AN1353" i="3"/>
  <c r="AN1354" i="3"/>
  <c r="AN1355" i="3"/>
  <c r="AN1356" i="3"/>
  <c r="AN1357" i="3"/>
  <c r="AN1358" i="3"/>
  <c r="AN1359" i="3"/>
  <c r="AN1360" i="3"/>
  <c r="AN1361" i="3"/>
  <c r="AN1362" i="3"/>
  <c r="AN1363" i="3"/>
  <c r="AN1364" i="3"/>
  <c r="AN1365" i="3"/>
  <c r="AN1366" i="3"/>
  <c r="AN1367" i="3"/>
  <c r="AN1368" i="3"/>
  <c r="AN1369" i="3"/>
  <c r="AN1370" i="3"/>
  <c r="AN1371" i="3"/>
  <c r="AN1372" i="3"/>
  <c r="AN1373" i="3"/>
  <c r="AN1374" i="3"/>
  <c r="AN1375" i="3"/>
  <c r="AN1376" i="3"/>
  <c r="AN1377" i="3"/>
  <c r="AN1378" i="3"/>
  <c r="AN1379" i="3"/>
  <c r="AN1380" i="3"/>
  <c r="AN1381" i="3"/>
  <c r="AN1382" i="3"/>
  <c r="AN1383" i="3"/>
  <c r="AN1384" i="3"/>
  <c r="AN1385" i="3"/>
  <c r="AN1386" i="3"/>
  <c r="AN1387" i="3"/>
  <c r="AN1388" i="3"/>
  <c r="AN1389" i="3"/>
  <c r="AN1390" i="3"/>
  <c r="AN1391" i="3"/>
  <c r="AN1392" i="3"/>
  <c r="AN1393" i="3"/>
  <c r="AN1394" i="3"/>
  <c r="AN1395" i="3"/>
  <c r="AN1396" i="3"/>
  <c r="AN1397" i="3"/>
  <c r="AN1398" i="3"/>
  <c r="AN1399" i="3"/>
  <c r="AN1400" i="3"/>
  <c r="AN1401" i="3"/>
  <c r="AN1402" i="3"/>
  <c r="AN1403" i="3"/>
  <c r="AN1404" i="3"/>
  <c r="AN1405" i="3"/>
  <c r="AN1406" i="3"/>
  <c r="AN1407" i="3"/>
  <c r="AN1408" i="3"/>
  <c r="AN1409" i="3"/>
  <c r="AN1410" i="3"/>
  <c r="AN1411" i="3"/>
  <c r="AN1412" i="3"/>
  <c r="AN1413" i="3"/>
  <c r="AN1414" i="3"/>
  <c r="AN1415" i="3"/>
  <c r="AN1416" i="3"/>
  <c r="AN1417" i="3"/>
  <c r="AN1418" i="3"/>
  <c r="AN1419" i="3"/>
  <c r="AN1420" i="3"/>
  <c r="AN1421" i="3"/>
  <c r="AN1422" i="3"/>
  <c r="AN1423" i="3"/>
  <c r="AN1424" i="3"/>
  <c r="AN1425" i="3"/>
  <c r="AN1426" i="3"/>
  <c r="AN1427" i="3"/>
  <c r="AN1428" i="3"/>
  <c r="AN1429" i="3"/>
  <c r="AN1430" i="3"/>
  <c r="AN1431" i="3"/>
  <c r="AN1432" i="3"/>
  <c r="AN1433" i="3"/>
  <c r="AN1434" i="3"/>
  <c r="AN1435" i="3"/>
  <c r="AN1436" i="3"/>
  <c r="AN1437" i="3"/>
  <c r="AN1438" i="3"/>
  <c r="AN1439" i="3"/>
  <c r="AN1440" i="3"/>
  <c r="AN1441" i="3"/>
  <c r="AN1442" i="3"/>
  <c r="AN1443" i="3"/>
  <c r="AN1444" i="3"/>
  <c r="AN1445" i="3"/>
  <c r="AN1446" i="3"/>
  <c r="AN1447" i="3"/>
  <c r="AN1448" i="3"/>
  <c r="AN1449" i="3"/>
  <c r="AN1450" i="3"/>
  <c r="AN1451" i="3"/>
  <c r="AN1452" i="3"/>
  <c r="AN1453" i="3"/>
  <c r="AN1454" i="3"/>
  <c r="AN1455" i="3"/>
  <c r="AN1456" i="3"/>
  <c r="AN1457" i="3"/>
  <c r="AN1458" i="3"/>
  <c r="AN1459" i="3"/>
  <c r="AN1460" i="3"/>
  <c r="AN1461" i="3"/>
  <c r="AN1462" i="3"/>
  <c r="AN1463" i="3"/>
  <c r="AN1464" i="3"/>
  <c r="AN1465" i="3"/>
  <c r="AN1466" i="3"/>
  <c r="AN1467" i="3"/>
  <c r="AN1468" i="3"/>
  <c r="AN1469" i="3"/>
  <c r="AN1470" i="3"/>
  <c r="AN1471" i="3"/>
  <c r="AN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M850" i="3"/>
  <c r="AM851" i="3"/>
  <c r="AM852" i="3"/>
  <c r="AM853" i="3"/>
  <c r="AM854" i="3"/>
  <c r="AM855" i="3"/>
  <c r="AM856" i="3"/>
  <c r="AM857" i="3"/>
  <c r="AM858" i="3"/>
  <c r="AM859" i="3"/>
  <c r="AM860" i="3"/>
  <c r="AM861" i="3"/>
  <c r="AM862" i="3"/>
  <c r="AM863" i="3"/>
  <c r="AM864" i="3"/>
  <c r="AM865" i="3"/>
  <c r="AM866" i="3"/>
  <c r="AM867" i="3"/>
  <c r="AM868" i="3"/>
  <c r="AM869" i="3"/>
  <c r="AM870" i="3"/>
  <c r="AM871" i="3"/>
  <c r="AM872" i="3"/>
  <c r="AM873" i="3"/>
  <c r="AM874" i="3"/>
  <c r="AM875" i="3"/>
  <c r="AM876" i="3"/>
  <c r="AM877" i="3"/>
  <c r="AM878" i="3"/>
  <c r="AM879" i="3"/>
  <c r="AM880" i="3"/>
  <c r="AM881" i="3"/>
  <c r="AM882" i="3"/>
  <c r="AM883" i="3"/>
  <c r="AM884" i="3"/>
  <c r="AM885" i="3"/>
  <c r="AM886" i="3"/>
  <c r="AM887" i="3"/>
  <c r="AM888" i="3"/>
  <c r="AM889" i="3"/>
  <c r="AM890" i="3"/>
  <c r="AM891" i="3"/>
  <c r="AM892" i="3"/>
  <c r="AM893" i="3"/>
  <c r="AM894" i="3"/>
  <c r="AM895" i="3"/>
  <c r="AM896" i="3"/>
  <c r="AM897" i="3"/>
  <c r="AM898" i="3"/>
  <c r="AM899" i="3"/>
  <c r="AM900" i="3"/>
  <c r="AM901" i="3"/>
  <c r="AM902" i="3"/>
  <c r="AM903" i="3"/>
  <c r="AM904" i="3"/>
  <c r="AM905" i="3"/>
  <c r="AM906" i="3"/>
  <c r="AM907" i="3"/>
  <c r="AM908" i="3"/>
  <c r="AM909" i="3"/>
  <c r="AM910" i="3"/>
  <c r="AM911" i="3"/>
  <c r="AM912" i="3"/>
  <c r="AM913" i="3"/>
  <c r="AM914" i="3"/>
  <c r="AM915" i="3"/>
  <c r="AM916" i="3"/>
  <c r="AM917" i="3"/>
  <c r="AM918" i="3"/>
  <c r="AM919" i="3"/>
  <c r="AM920" i="3"/>
  <c r="AM921" i="3"/>
  <c r="AM922" i="3"/>
  <c r="AM923" i="3"/>
  <c r="AM924" i="3"/>
  <c r="AM925" i="3"/>
  <c r="AM926" i="3"/>
  <c r="AM927" i="3"/>
  <c r="AM928" i="3"/>
  <c r="AM929" i="3"/>
  <c r="AM930" i="3"/>
  <c r="AM931" i="3"/>
  <c r="AM932" i="3"/>
  <c r="AM933" i="3"/>
  <c r="AM934" i="3"/>
  <c r="AM935" i="3"/>
  <c r="AM936" i="3"/>
  <c r="AM937" i="3"/>
  <c r="AM938" i="3"/>
  <c r="AM939" i="3"/>
  <c r="AM940" i="3"/>
  <c r="AM941" i="3"/>
  <c r="AM942" i="3"/>
  <c r="AM943" i="3"/>
  <c r="AM944" i="3"/>
  <c r="AM945" i="3"/>
  <c r="AM946" i="3"/>
  <c r="AM947" i="3"/>
  <c r="AM948" i="3"/>
  <c r="AM949" i="3"/>
  <c r="AM950" i="3"/>
  <c r="AM951" i="3"/>
  <c r="AM952" i="3"/>
  <c r="AM953" i="3"/>
  <c r="AM954" i="3"/>
  <c r="AM955" i="3"/>
  <c r="AM956" i="3"/>
  <c r="AM957" i="3"/>
  <c r="AM958" i="3"/>
  <c r="AM959" i="3"/>
  <c r="AM960" i="3"/>
  <c r="AM961" i="3"/>
  <c r="AM962" i="3"/>
  <c r="AM963" i="3"/>
  <c r="AM964" i="3"/>
  <c r="AM965" i="3"/>
  <c r="AM966" i="3"/>
  <c r="AM967" i="3"/>
  <c r="AM968" i="3"/>
  <c r="AM969" i="3"/>
  <c r="AM970" i="3"/>
  <c r="AM971" i="3"/>
  <c r="AM972" i="3"/>
  <c r="AM973" i="3"/>
  <c r="AM974" i="3"/>
  <c r="AM975" i="3"/>
  <c r="AM976" i="3"/>
  <c r="AM977" i="3"/>
  <c r="AM978" i="3"/>
  <c r="AM979" i="3"/>
  <c r="AM980" i="3"/>
  <c r="AM981" i="3"/>
  <c r="AM982" i="3"/>
  <c r="AM983" i="3"/>
  <c r="AM984" i="3"/>
  <c r="AM985" i="3"/>
  <c r="AM986" i="3"/>
  <c r="AM987" i="3"/>
  <c r="AM988" i="3"/>
  <c r="AM989" i="3"/>
  <c r="AM990" i="3"/>
  <c r="AM991" i="3"/>
  <c r="AM992" i="3"/>
  <c r="AM993" i="3"/>
  <c r="AM994" i="3"/>
  <c r="AM995" i="3"/>
  <c r="AM996" i="3"/>
  <c r="AM997" i="3"/>
  <c r="AM998" i="3"/>
  <c r="AM999" i="3"/>
  <c r="AM1000" i="3"/>
  <c r="AM1001" i="3"/>
  <c r="AM1002" i="3"/>
  <c r="AM1003" i="3"/>
  <c r="AM1004" i="3"/>
  <c r="AM1005" i="3"/>
  <c r="AM1006" i="3"/>
  <c r="AM1007" i="3"/>
  <c r="AM1008" i="3"/>
  <c r="AM1009" i="3"/>
  <c r="AM1010" i="3"/>
  <c r="AM1011" i="3"/>
  <c r="AM1012" i="3"/>
  <c r="AM1013" i="3"/>
  <c r="AM1014" i="3"/>
  <c r="AM1015" i="3"/>
  <c r="AM1016" i="3"/>
  <c r="AM1017" i="3"/>
  <c r="AM1018" i="3"/>
  <c r="AM1019" i="3"/>
  <c r="AM1020" i="3"/>
  <c r="AM1021" i="3"/>
  <c r="AM1022" i="3"/>
  <c r="AM1023" i="3"/>
  <c r="AM1024" i="3"/>
  <c r="AM1025" i="3"/>
  <c r="AM1026" i="3"/>
  <c r="AM1027" i="3"/>
  <c r="AM1028" i="3"/>
  <c r="AM1029" i="3"/>
  <c r="AM1030" i="3"/>
  <c r="AM1031" i="3"/>
  <c r="AM1032" i="3"/>
  <c r="AM1033" i="3"/>
  <c r="AM1034" i="3"/>
  <c r="AM1035" i="3"/>
  <c r="AM1036" i="3"/>
  <c r="AM1037" i="3"/>
  <c r="AM1038" i="3"/>
  <c r="AM1039" i="3"/>
  <c r="AM1040" i="3"/>
  <c r="AM1041" i="3"/>
  <c r="AM1042" i="3"/>
  <c r="AM1043" i="3"/>
  <c r="AM1044" i="3"/>
  <c r="AM1045" i="3"/>
  <c r="AM1046" i="3"/>
  <c r="AM1047" i="3"/>
  <c r="AM1048" i="3"/>
  <c r="AM1049" i="3"/>
  <c r="AM1050" i="3"/>
  <c r="AM1051" i="3"/>
  <c r="AM1052" i="3"/>
  <c r="AM1053" i="3"/>
  <c r="AM1054" i="3"/>
  <c r="AM1055" i="3"/>
  <c r="AM1056" i="3"/>
  <c r="AM1057" i="3"/>
  <c r="AM1058" i="3"/>
  <c r="AM1059" i="3"/>
  <c r="AM1060" i="3"/>
  <c r="AM1061" i="3"/>
  <c r="AM1062" i="3"/>
  <c r="AM1063" i="3"/>
  <c r="AM1064" i="3"/>
  <c r="AM1065" i="3"/>
  <c r="AM1066" i="3"/>
  <c r="AM1067" i="3"/>
  <c r="AM1068" i="3"/>
  <c r="AM1069" i="3"/>
  <c r="AM1070" i="3"/>
  <c r="AM1071" i="3"/>
  <c r="AM1072" i="3"/>
  <c r="AM1073" i="3"/>
  <c r="AM1074" i="3"/>
  <c r="AM1075" i="3"/>
  <c r="AM1076" i="3"/>
  <c r="AM1077" i="3"/>
  <c r="AM1078" i="3"/>
  <c r="AM1079" i="3"/>
  <c r="AM1080" i="3"/>
  <c r="AM1081" i="3"/>
  <c r="AM1082" i="3"/>
  <c r="AM1083" i="3"/>
  <c r="AM1084" i="3"/>
  <c r="AM1085" i="3"/>
  <c r="AM1086" i="3"/>
  <c r="AM1087" i="3"/>
  <c r="AM1088" i="3"/>
  <c r="AM1089" i="3"/>
  <c r="AM1090" i="3"/>
  <c r="AM1091" i="3"/>
  <c r="AM1092" i="3"/>
  <c r="AM1093" i="3"/>
  <c r="AM1094" i="3"/>
  <c r="AM1095" i="3"/>
  <c r="AM1096" i="3"/>
  <c r="AM1097" i="3"/>
  <c r="AM1098" i="3"/>
  <c r="AM1099" i="3"/>
  <c r="AM1100" i="3"/>
  <c r="AM1101" i="3"/>
  <c r="AM1102" i="3"/>
  <c r="AM1103" i="3"/>
  <c r="AM1104" i="3"/>
  <c r="AM1105" i="3"/>
  <c r="AM1106" i="3"/>
  <c r="AM1107" i="3"/>
  <c r="AM1108" i="3"/>
  <c r="AM1109" i="3"/>
  <c r="AM1110" i="3"/>
  <c r="AM1111" i="3"/>
  <c r="AM1112" i="3"/>
  <c r="AM1113" i="3"/>
  <c r="AM1114" i="3"/>
  <c r="AM1115" i="3"/>
  <c r="AM1116" i="3"/>
  <c r="AM1117" i="3"/>
  <c r="AM1118" i="3"/>
  <c r="AM1119" i="3"/>
  <c r="AM1120" i="3"/>
  <c r="AM1121" i="3"/>
  <c r="AM1122" i="3"/>
  <c r="AM1123" i="3"/>
  <c r="AM1124" i="3"/>
  <c r="AM1125" i="3"/>
  <c r="AM1126" i="3"/>
  <c r="AM1127" i="3"/>
  <c r="AM1128" i="3"/>
  <c r="AM1129" i="3"/>
  <c r="AM1130" i="3"/>
  <c r="AM1131" i="3"/>
  <c r="AM1132" i="3"/>
  <c r="AM1133" i="3"/>
  <c r="AM1134" i="3"/>
  <c r="AM1135" i="3"/>
  <c r="AM1136" i="3"/>
  <c r="AM1137" i="3"/>
  <c r="AM1138" i="3"/>
  <c r="AM1139" i="3"/>
  <c r="AM1140" i="3"/>
  <c r="AM1141" i="3"/>
  <c r="AM1142" i="3"/>
  <c r="AM1143" i="3"/>
  <c r="AM1144" i="3"/>
  <c r="AM1145" i="3"/>
  <c r="AM1146" i="3"/>
  <c r="AM1147" i="3"/>
  <c r="AM1148" i="3"/>
  <c r="AM1149" i="3"/>
  <c r="AM1150" i="3"/>
  <c r="AM1151" i="3"/>
  <c r="AM1152" i="3"/>
  <c r="AM1153" i="3"/>
  <c r="AM1154" i="3"/>
  <c r="AM1155" i="3"/>
  <c r="AM1156" i="3"/>
  <c r="AM1157" i="3"/>
  <c r="AM1158" i="3"/>
  <c r="AM1159" i="3"/>
  <c r="AM1160" i="3"/>
  <c r="AM1161" i="3"/>
  <c r="AM1162" i="3"/>
  <c r="AM1163" i="3"/>
  <c r="AM1164" i="3"/>
  <c r="AM1165" i="3"/>
  <c r="AM1166" i="3"/>
  <c r="AM1167" i="3"/>
  <c r="AM1168" i="3"/>
  <c r="AM1169" i="3"/>
  <c r="AM1170" i="3"/>
  <c r="AM1171" i="3"/>
  <c r="AM1172" i="3"/>
  <c r="AM1173" i="3"/>
  <c r="AM1174" i="3"/>
  <c r="AM1175" i="3"/>
  <c r="AM1176" i="3"/>
  <c r="AM1177" i="3"/>
  <c r="AM1178" i="3"/>
  <c r="AM1179" i="3"/>
  <c r="AM1180" i="3"/>
  <c r="AM1181" i="3"/>
  <c r="AM1182" i="3"/>
  <c r="AM1183" i="3"/>
  <c r="AM1184" i="3"/>
  <c r="AM1185" i="3"/>
  <c r="AM1186" i="3"/>
  <c r="AM1187" i="3"/>
  <c r="AM1188" i="3"/>
  <c r="AM1189" i="3"/>
  <c r="AM1190" i="3"/>
  <c r="AM1191" i="3"/>
  <c r="AM1192" i="3"/>
  <c r="AM1193" i="3"/>
  <c r="AM1194" i="3"/>
  <c r="AM1195" i="3"/>
  <c r="AM1196" i="3"/>
  <c r="AM1197" i="3"/>
  <c r="AM1198" i="3"/>
  <c r="AM1199" i="3"/>
  <c r="AM1200" i="3"/>
  <c r="AM1201" i="3"/>
  <c r="AM1202" i="3"/>
  <c r="AM1203" i="3"/>
  <c r="AM1204" i="3"/>
  <c r="AM1205" i="3"/>
  <c r="AM1206" i="3"/>
  <c r="AM1207" i="3"/>
  <c r="AM1208" i="3"/>
  <c r="AM1209" i="3"/>
  <c r="AM1210" i="3"/>
  <c r="AM1211" i="3"/>
  <c r="AM1212" i="3"/>
  <c r="AM1213" i="3"/>
  <c r="AM1214" i="3"/>
  <c r="AM1215" i="3"/>
  <c r="AM1216" i="3"/>
  <c r="AM1217" i="3"/>
  <c r="AM1218" i="3"/>
  <c r="AM1219" i="3"/>
  <c r="AM1220" i="3"/>
  <c r="AM1221" i="3"/>
  <c r="AM1222" i="3"/>
  <c r="AM1223" i="3"/>
  <c r="AM1224" i="3"/>
  <c r="AM1225" i="3"/>
  <c r="AM1226" i="3"/>
  <c r="AM1227" i="3"/>
  <c r="AM1228" i="3"/>
  <c r="AM1229" i="3"/>
  <c r="AM1230" i="3"/>
  <c r="AM1231" i="3"/>
  <c r="AM1232" i="3"/>
  <c r="AM1233" i="3"/>
  <c r="AM1234" i="3"/>
  <c r="AM1235" i="3"/>
  <c r="AM1236" i="3"/>
  <c r="AM1237" i="3"/>
  <c r="AM1238" i="3"/>
  <c r="AM1239" i="3"/>
  <c r="AM1240" i="3"/>
  <c r="AM1241" i="3"/>
  <c r="AM1242" i="3"/>
  <c r="AM1243" i="3"/>
  <c r="AM1244" i="3"/>
  <c r="AM1245" i="3"/>
  <c r="AM1246" i="3"/>
  <c r="AM1247" i="3"/>
  <c r="AM1248" i="3"/>
  <c r="AM1249" i="3"/>
  <c r="AM1250" i="3"/>
  <c r="AM1251" i="3"/>
  <c r="AM1252" i="3"/>
  <c r="AM1253" i="3"/>
  <c r="AM1254" i="3"/>
  <c r="AM1255" i="3"/>
  <c r="AM1256" i="3"/>
  <c r="AM1257" i="3"/>
  <c r="AM1258" i="3"/>
  <c r="AM1259" i="3"/>
  <c r="AM1260" i="3"/>
  <c r="AM1261" i="3"/>
  <c r="AM1262" i="3"/>
  <c r="AM1263" i="3"/>
  <c r="AM1264" i="3"/>
  <c r="AM1265" i="3"/>
  <c r="AM1266" i="3"/>
  <c r="AM1267" i="3"/>
  <c r="AM1268" i="3"/>
  <c r="AM1269" i="3"/>
  <c r="AM1270" i="3"/>
  <c r="AM1271" i="3"/>
  <c r="AM1272" i="3"/>
  <c r="AM1273" i="3"/>
  <c r="AM1274" i="3"/>
  <c r="AM1275" i="3"/>
  <c r="AM1276" i="3"/>
  <c r="AM1277" i="3"/>
  <c r="AM1278" i="3"/>
  <c r="AM1279" i="3"/>
  <c r="AM1280" i="3"/>
  <c r="AM1281" i="3"/>
  <c r="AM1282" i="3"/>
  <c r="AM1283" i="3"/>
  <c r="AM1284" i="3"/>
  <c r="AM1285" i="3"/>
  <c r="AM1286" i="3"/>
  <c r="AM1287" i="3"/>
  <c r="AM1288" i="3"/>
  <c r="AM1289" i="3"/>
  <c r="AM1290" i="3"/>
  <c r="AM1291" i="3"/>
  <c r="AM1292" i="3"/>
  <c r="AM1293" i="3"/>
  <c r="AM1294" i="3"/>
  <c r="AM1295" i="3"/>
  <c r="AM1296" i="3"/>
  <c r="AM1297" i="3"/>
  <c r="AM1298" i="3"/>
  <c r="AM1299" i="3"/>
  <c r="AM1300" i="3"/>
  <c r="AM1301" i="3"/>
  <c r="AM1302" i="3"/>
  <c r="AM1303" i="3"/>
  <c r="AM1304" i="3"/>
  <c r="AM1305" i="3"/>
  <c r="AM1306" i="3"/>
  <c r="AM1307" i="3"/>
  <c r="AM1308" i="3"/>
  <c r="AM1309" i="3"/>
  <c r="AM1310" i="3"/>
  <c r="AM1311" i="3"/>
  <c r="AM1312" i="3"/>
  <c r="AM1313" i="3"/>
  <c r="AM1314" i="3"/>
  <c r="AM1315" i="3"/>
  <c r="AM1316" i="3"/>
  <c r="AM1317" i="3"/>
  <c r="AM1318" i="3"/>
  <c r="AM1319" i="3"/>
  <c r="AM1320" i="3"/>
  <c r="AM1321" i="3"/>
  <c r="AM1322" i="3"/>
  <c r="AM1323" i="3"/>
  <c r="AM1324" i="3"/>
  <c r="AM1325" i="3"/>
  <c r="AM1326" i="3"/>
  <c r="AM1327" i="3"/>
  <c r="AM1328" i="3"/>
  <c r="AM1329" i="3"/>
  <c r="AM1330" i="3"/>
  <c r="AM1331" i="3"/>
  <c r="AM1332" i="3"/>
  <c r="AM1333" i="3"/>
  <c r="AM1334" i="3"/>
  <c r="AM1335" i="3"/>
  <c r="AM1336" i="3"/>
  <c r="AM1337" i="3"/>
  <c r="AM1338" i="3"/>
  <c r="AM1339" i="3"/>
  <c r="AM1340" i="3"/>
  <c r="AM1341" i="3"/>
  <c r="AM1342" i="3"/>
  <c r="AM1343" i="3"/>
  <c r="AM1344" i="3"/>
  <c r="AM1345" i="3"/>
  <c r="AM1346" i="3"/>
  <c r="AM1347" i="3"/>
  <c r="AM1348" i="3"/>
  <c r="AM1349" i="3"/>
  <c r="AM1350" i="3"/>
  <c r="AM1351" i="3"/>
  <c r="AM1352" i="3"/>
  <c r="AM1353" i="3"/>
  <c r="AM1354" i="3"/>
  <c r="AM1355" i="3"/>
  <c r="AM1356" i="3"/>
  <c r="AM1357" i="3"/>
  <c r="AM1358" i="3"/>
  <c r="AM1359" i="3"/>
  <c r="AM1360" i="3"/>
  <c r="AM1361" i="3"/>
  <c r="AM1362" i="3"/>
  <c r="AM1363" i="3"/>
  <c r="AM1364" i="3"/>
  <c r="AM1365" i="3"/>
  <c r="AM1366" i="3"/>
  <c r="AM1367" i="3"/>
  <c r="AM1368" i="3"/>
  <c r="AM1369" i="3"/>
  <c r="AM1370" i="3"/>
  <c r="AM1371" i="3"/>
  <c r="AM1372" i="3"/>
  <c r="AM1373" i="3"/>
  <c r="AM1374" i="3"/>
  <c r="AM1375" i="3"/>
  <c r="AM1376" i="3"/>
  <c r="AM1377" i="3"/>
  <c r="AM1378" i="3"/>
  <c r="AM1379" i="3"/>
  <c r="AM1380" i="3"/>
  <c r="AM1381" i="3"/>
  <c r="AM1382" i="3"/>
  <c r="AM1383" i="3"/>
  <c r="AM1384" i="3"/>
  <c r="AM1385" i="3"/>
  <c r="AM1386" i="3"/>
  <c r="AM1387" i="3"/>
  <c r="AM1388" i="3"/>
  <c r="AM1389" i="3"/>
  <c r="AM1390" i="3"/>
  <c r="AM1391" i="3"/>
  <c r="AM1392" i="3"/>
  <c r="AM1393" i="3"/>
  <c r="AM1394" i="3"/>
  <c r="AM1395" i="3"/>
  <c r="AM1396" i="3"/>
  <c r="AM1397" i="3"/>
  <c r="AM1398" i="3"/>
  <c r="AM1399" i="3"/>
  <c r="AM1400" i="3"/>
  <c r="AM1401" i="3"/>
  <c r="AM1402" i="3"/>
  <c r="AM1403" i="3"/>
  <c r="AM1404" i="3"/>
  <c r="AM1405" i="3"/>
  <c r="AM1406" i="3"/>
  <c r="AM1407" i="3"/>
  <c r="AM1408" i="3"/>
  <c r="AM1409" i="3"/>
  <c r="AM1410" i="3"/>
  <c r="AM1411" i="3"/>
  <c r="AM1412" i="3"/>
  <c r="AM1413" i="3"/>
  <c r="AM1414" i="3"/>
  <c r="AM1415" i="3"/>
  <c r="AM1416" i="3"/>
  <c r="AM1417" i="3"/>
  <c r="AM1418" i="3"/>
  <c r="AM1419" i="3"/>
  <c r="AM1420" i="3"/>
  <c r="AM1421" i="3"/>
  <c r="AM1422" i="3"/>
  <c r="AM1423" i="3"/>
  <c r="AM1424" i="3"/>
  <c r="AM1425" i="3"/>
  <c r="AM1426" i="3"/>
  <c r="AM1427" i="3"/>
  <c r="AM1428" i="3"/>
  <c r="AM1429" i="3"/>
  <c r="AM1430" i="3"/>
  <c r="AM1431" i="3"/>
  <c r="AM1432" i="3"/>
  <c r="AM1433" i="3"/>
  <c r="AM1434" i="3"/>
  <c r="AM1435" i="3"/>
  <c r="AM1436" i="3"/>
  <c r="AM1437" i="3"/>
  <c r="AM1438" i="3"/>
  <c r="AM1439" i="3"/>
  <c r="AM1440" i="3"/>
  <c r="AM1441" i="3"/>
  <c r="AM1442" i="3"/>
  <c r="AM1443" i="3"/>
  <c r="AM1444" i="3"/>
  <c r="AM1445" i="3"/>
  <c r="AM1446" i="3"/>
  <c r="AM1447" i="3"/>
  <c r="AM1448" i="3"/>
  <c r="AM1449" i="3"/>
  <c r="AM1450" i="3"/>
  <c r="AM1451" i="3"/>
  <c r="AM1452" i="3"/>
  <c r="AM1453" i="3"/>
  <c r="AM1454" i="3"/>
  <c r="AM1455" i="3"/>
  <c r="AM1456" i="3"/>
  <c r="AM1457" i="3"/>
  <c r="AM1458" i="3"/>
  <c r="AM1459" i="3"/>
  <c r="AM1460" i="3"/>
  <c r="AM1461" i="3"/>
  <c r="AM1462" i="3"/>
  <c r="AM1463" i="3"/>
  <c r="AM1464" i="3"/>
  <c r="AM1465" i="3"/>
  <c r="AM1466" i="3"/>
  <c r="AM1467" i="3"/>
  <c r="AM1468" i="3"/>
  <c r="AM1469" i="3"/>
  <c r="AM1470" i="3"/>
  <c r="AM1471" i="3"/>
  <c r="AM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L473" i="3"/>
  <c r="AL474" i="3"/>
  <c r="AL475" i="3"/>
  <c r="AL476" i="3"/>
  <c r="AL477" i="3"/>
  <c r="AL478" i="3"/>
  <c r="AL479" i="3"/>
  <c r="AL480" i="3"/>
  <c r="AL481" i="3"/>
  <c r="AL482" i="3"/>
  <c r="AL483" i="3"/>
  <c r="AL484" i="3"/>
  <c r="AL485" i="3"/>
  <c r="AL486" i="3"/>
  <c r="AL487" i="3"/>
  <c r="AL488" i="3"/>
  <c r="AL489" i="3"/>
  <c r="AL490" i="3"/>
  <c r="AL491" i="3"/>
  <c r="AL492" i="3"/>
  <c r="AL493" i="3"/>
  <c r="AL494" i="3"/>
  <c r="AL495" i="3"/>
  <c r="AL496" i="3"/>
  <c r="AL497" i="3"/>
  <c r="AL498" i="3"/>
  <c r="AL499" i="3"/>
  <c r="AL500" i="3"/>
  <c r="AL501" i="3"/>
  <c r="AL502" i="3"/>
  <c r="AL503" i="3"/>
  <c r="AL504" i="3"/>
  <c r="AL505" i="3"/>
  <c r="AL506" i="3"/>
  <c r="AL507" i="3"/>
  <c r="AL508" i="3"/>
  <c r="AL509" i="3"/>
  <c r="AL510" i="3"/>
  <c r="AL511" i="3"/>
  <c r="AL512" i="3"/>
  <c r="AL513" i="3"/>
  <c r="AL514" i="3"/>
  <c r="AL515" i="3"/>
  <c r="AL516" i="3"/>
  <c r="AL517" i="3"/>
  <c r="AL518" i="3"/>
  <c r="AL519" i="3"/>
  <c r="AL520" i="3"/>
  <c r="AL521" i="3"/>
  <c r="AL522" i="3"/>
  <c r="AL523" i="3"/>
  <c r="AL524" i="3"/>
  <c r="AL525" i="3"/>
  <c r="AL526" i="3"/>
  <c r="AL527" i="3"/>
  <c r="AL528" i="3"/>
  <c r="AL529" i="3"/>
  <c r="AL530" i="3"/>
  <c r="AL531" i="3"/>
  <c r="AL532" i="3"/>
  <c r="AL533" i="3"/>
  <c r="AL534" i="3"/>
  <c r="AL535" i="3"/>
  <c r="AL536" i="3"/>
  <c r="AL537" i="3"/>
  <c r="AL538" i="3"/>
  <c r="AL539" i="3"/>
  <c r="AL540" i="3"/>
  <c r="AL541" i="3"/>
  <c r="AL542" i="3"/>
  <c r="AL543" i="3"/>
  <c r="AL544" i="3"/>
  <c r="AL545" i="3"/>
  <c r="AL546" i="3"/>
  <c r="AL547" i="3"/>
  <c r="AL548" i="3"/>
  <c r="AL549" i="3"/>
  <c r="AL550" i="3"/>
  <c r="AL551" i="3"/>
  <c r="AL552" i="3"/>
  <c r="AL553" i="3"/>
  <c r="AL554" i="3"/>
  <c r="AL555" i="3"/>
  <c r="AL556" i="3"/>
  <c r="AL557" i="3"/>
  <c r="AL558" i="3"/>
  <c r="AL559" i="3"/>
  <c r="AL560" i="3"/>
  <c r="AL561" i="3"/>
  <c r="AL562" i="3"/>
  <c r="AL563" i="3"/>
  <c r="AL564" i="3"/>
  <c r="AL565" i="3"/>
  <c r="AL566" i="3"/>
  <c r="AL567" i="3"/>
  <c r="AL568" i="3"/>
  <c r="AL569" i="3"/>
  <c r="AL570" i="3"/>
  <c r="AL571" i="3"/>
  <c r="AL572" i="3"/>
  <c r="AL573" i="3"/>
  <c r="AL574" i="3"/>
  <c r="AL575" i="3"/>
  <c r="AL576" i="3"/>
  <c r="AL577" i="3"/>
  <c r="AL578" i="3"/>
  <c r="AL579" i="3"/>
  <c r="AL580" i="3"/>
  <c r="AL581" i="3"/>
  <c r="AL582" i="3"/>
  <c r="AL583" i="3"/>
  <c r="AL584" i="3"/>
  <c r="AL585" i="3"/>
  <c r="AL586" i="3"/>
  <c r="AL587" i="3"/>
  <c r="AL588" i="3"/>
  <c r="AL589" i="3"/>
  <c r="AL590" i="3"/>
  <c r="AL591" i="3"/>
  <c r="AL592" i="3"/>
  <c r="AL593" i="3"/>
  <c r="AL594" i="3"/>
  <c r="AL595" i="3"/>
  <c r="AL596" i="3"/>
  <c r="AL597" i="3"/>
  <c r="AL598" i="3"/>
  <c r="AL599" i="3"/>
  <c r="AL600" i="3"/>
  <c r="AL601" i="3"/>
  <c r="AL602" i="3"/>
  <c r="AL603" i="3"/>
  <c r="AL604" i="3"/>
  <c r="AL605" i="3"/>
  <c r="AL606" i="3"/>
  <c r="AL607" i="3"/>
  <c r="AL608" i="3"/>
  <c r="AL609" i="3"/>
  <c r="AL610" i="3"/>
  <c r="AL611" i="3"/>
  <c r="AL612" i="3"/>
  <c r="AL613" i="3"/>
  <c r="AL614" i="3"/>
  <c r="AL615" i="3"/>
  <c r="AL616" i="3"/>
  <c r="AL617" i="3"/>
  <c r="AL618" i="3"/>
  <c r="AL619" i="3"/>
  <c r="AL620" i="3"/>
  <c r="AL621" i="3"/>
  <c r="AL622" i="3"/>
  <c r="AL623" i="3"/>
  <c r="AL624" i="3"/>
  <c r="AL625" i="3"/>
  <c r="AL626" i="3"/>
  <c r="AL627" i="3"/>
  <c r="AL628" i="3"/>
  <c r="AL629" i="3"/>
  <c r="AL630" i="3"/>
  <c r="AL631" i="3"/>
  <c r="AL632" i="3"/>
  <c r="AL633" i="3"/>
  <c r="AL634" i="3"/>
  <c r="AL635" i="3"/>
  <c r="AL636" i="3"/>
  <c r="AL637" i="3"/>
  <c r="AL638" i="3"/>
  <c r="AL639" i="3"/>
  <c r="AL640" i="3"/>
  <c r="AL641" i="3"/>
  <c r="AL642" i="3"/>
  <c r="AL643" i="3"/>
  <c r="AL644" i="3"/>
  <c r="AL645" i="3"/>
  <c r="AL646" i="3"/>
  <c r="AL647" i="3"/>
  <c r="AL648" i="3"/>
  <c r="AL649" i="3"/>
  <c r="AL650" i="3"/>
  <c r="AL651" i="3"/>
  <c r="AL652" i="3"/>
  <c r="AL653" i="3"/>
  <c r="AL654" i="3"/>
  <c r="AL655" i="3"/>
  <c r="AL656" i="3"/>
  <c r="AL657" i="3"/>
  <c r="AL658" i="3"/>
  <c r="AL659" i="3"/>
  <c r="AL660" i="3"/>
  <c r="AL661" i="3"/>
  <c r="AL662" i="3"/>
  <c r="AL663" i="3"/>
  <c r="AL664" i="3"/>
  <c r="AL665" i="3"/>
  <c r="AL666" i="3"/>
  <c r="AL667" i="3"/>
  <c r="AL668" i="3"/>
  <c r="AL669" i="3"/>
  <c r="AL670" i="3"/>
  <c r="AL671" i="3"/>
  <c r="AL672" i="3"/>
  <c r="AL673" i="3"/>
  <c r="AL674" i="3"/>
  <c r="AL675" i="3"/>
  <c r="AL676" i="3"/>
  <c r="AL677" i="3"/>
  <c r="AL678" i="3"/>
  <c r="AL679" i="3"/>
  <c r="AL680" i="3"/>
  <c r="AL681" i="3"/>
  <c r="AL682" i="3"/>
  <c r="AL683" i="3"/>
  <c r="AL684" i="3"/>
  <c r="AL685" i="3"/>
  <c r="AL686" i="3"/>
  <c r="AL687" i="3"/>
  <c r="AL688" i="3"/>
  <c r="AL689" i="3"/>
  <c r="AL690" i="3"/>
  <c r="AL691" i="3"/>
  <c r="AL692" i="3"/>
  <c r="AL693" i="3"/>
  <c r="AL694" i="3"/>
  <c r="AL695" i="3"/>
  <c r="AL696" i="3"/>
  <c r="AL697" i="3"/>
  <c r="AL698" i="3"/>
  <c r="AL699" i="3"/>
  <c r="AL700" i="3"/>
  <c r="AL701" i="3"/>
  <c r="AL702" i="3"/>
  <c r="AL703" i="3"/>
  <c r="AL704" i="3"/>
  <c r="AL705" i="3"/>
  <c r="AL706" i="3"/>
  <c r="AL707" i="3"/>
  <c r="AL708" i="3"/>
  <c r="AL709" i="3"/>
  <c r="AL710" i="3"/>
  <c r="AL711" i="3"/>
  <c r="AL712" i="3"/>
  <c r="AL713" i="3"/>
  <c r="AL714" i="3"/>
  <c r="AL715" i="3"/>
  <c r="AL716" i="3"/>
  <c r="AL717" i="3"/>
  <c r="AL718" i="3"/>
  <c r="AL719" i="3"/>
  <c r="AL720" i="3"/>
  <c r="AL721" i="3"/>
  <c r="AL722" i="3"/>
  <c r="AL723" i="3"/>
  <c r="AL724" i="3"/>
  <c r="AL725" i="3"/>
  <c r="AL726" i="3"/>
  <c r="AL727" i="3"/>
  <c r="AL728" i="3"/>
  <c r="AL729" i="3"/>
  <c r="AL730" i="3"/>
  <c r="AL731" i="3"/>
  <c r="AL732" i="3"/>
  <c r="AL733" i="3"/>
  <c r="AL734" i="3"/>
  <c r="AL735" i="3"/>
  <c r="AL736" i="3"/>
  <c r="AL737" i="3"/>
  <c r="AL738" i="3"/>
  <c r="AL739" i="3"/>
  <c r="AL740" i="3"/>
  <c r="AL741" i="3"/>
  <c r="AL742" i="3"/>
  <c r="AL743" i="3"/>
  <c r="AL744" i="3"/>
  <c r="AL745" i="3"/>
  <c r="AL746" i="3"/>
  <c r="AL747" i="3"/>
  <c r="AL748" i="3"/>
  <c r="AL749" i="3"/>
  <c r="AL750" i="3"/>
  <c r="AL751" i="3"/>
  <c r="AL752" i="3"/>
  <c r="AL753" i="3"/>
  <c r="AL754" i="3"/>
  <c r="AL755" i="3"/>
  <c r="AL756" i="3"/>
  <c r="AL757" i="3"/>
  <c r="AL758" i="3"/>
  <c r="AL759" i="3"/>
  <c r="AL760" i="3"/>
  <c r="AL761" i="3"/>
  <c r="AL762" i="3"/>
  <c r="AL763" i="3"/>
  <c r="AL764" i="3"/>
  <c r="AL765" i="3"/>
  <c r="AL766" i="3"/>
  <c r="AL767" i="3"/>
  <c r="AL768" i="3"/>
  <c r="AL769" i="3"/>
  <c r="AL770" i="3"/>
  <c r="AL771" i="3"/>
  <c r="AL772" i="3"/>
  <c r="AL773" i="3"/>
  <c r="AL774" i="3"/>
  <c r="AL775" i="3"/>
  <c r="AL776" i="3"/>
  <c r="AL777" i="3"/>
  <c r="AL778" i="3"/>
  <c r="AL779" i="3"/>
  <c r="AL780" i="3"/>
  <c r="AL781" i="3"/>
  <c r="AL782" i="3"/>
  <c r="AL783" i="3"/>
  <c r="AL784" i="3"/>
  <c r="AL785" i="3"/>
  <c r="AL786" i="3"/>
  <c r="AL787" i="3"/>
  <c r="AL788" i="3"/>
  <c r="AL789" i="3"/>
  <c r="AL790" i="3"/>
  <c r="AL791" i="3"/>
  <c r="AL792" i="3"/>
  <c r="AL793" i="3"/>
  <c r="AL794" i="3"/>
  <c r="AL795" i="3"/>
  <c r="AL796" i="3"/>
  <c r="AL797" i="3"/>
  <c r="AL798" i="3"/>
  <c r="AL799" i="3"/>
  <c r="AL800" i="3"/>
  <c r="AL801" i="3"/>
  <c r="AL802" i="3"/>
  <c r="AL803" i="3"/>
  <c r="AL804" i="3"/>
  <c r="AL805" i="3"/>
  <c r="AL806" i="3"/>
  <c r="AL807" i="3"/>
  <c r="AL808" i="3"/>
  <c r="AL809" i="3"/>
  <c r="AL810" i="3"/>
  <c r="AL811" i="3"/>
  <c r="AL812" i="3"/>
  <c r="AL813" i="3"/>
  <c r="AL814" i="3"/>
  <c r="AL815" i="3"/>
  <c r="AL816" i="3"/>
  <c r="AL817" i="3"/>
  <c r="AL818" i="3"/>
  <c r="AL819" i="3"/>
  <c r="AL820" i="3"/>
  <c r="AL821" i="3"/>
  <c r="AL822" i="3"/>
  <c r="AL823" i="3"/>
  <c r="AL824" i="3"/>
  <c r="AL825" i="3"/>
  <c r="AL826" i="3"/>
  <c r="AL827" i="3"/>
  <c r="AL828" i="3"/>
  <c r="AL829" i="3"/>
  <c r="AL830" i="3"/>
  <c r="AL831" i="3"/>
  <c r="AL832" i="3"/>
  <c r="AL833" i="3"/>
  <c r="AL834" i="3"/>
  <c r="AL835" i="3"/>
  <c r="AL836" i="3"/>
  <c r="AL837" i="3"/>
  <c r="AL838" i="3"/>
  <c r="AL839" i="3"/>
  <c r="AL840" i="3"/>
  <c r="AL841" i="3"/>
  <c r="AL842" i="3"/>
  <c r="AL843" i="3"/>
  <c r="AL844" i="3"/>
  <c r="AL845" i="3"/>
  <c r="AL846" i="3"/>
  <c r="AL847" i="3"/>
  <c r="AL848" i="3"/>
  <c r="AL849" i="3"/>
  <c r="AL850" i="3"/>
  <c r="AL851" i="3"/>
  <c r="AL852" i="3"/>
  <c r="AL853" i="3"/>
  <c r="AL854" i="3"/>
  <c r="AL855" i="3"/>
  <c r="AL856" i="3"/>
  <c r="AL857" i="3"/>
  <c r="AL858" i="3"/>
  <c r="AL859" i="3"/>
  <c r="AL860" i="3"/>
  <c r="AL861" i="3"/>
  <c r="AL862" i="3"/>
  <c r="AL863" i="3"/>
  <c r="AL864" i="3"/>
  <c r="AL865" i="3"/>
  <c r="AL866" i="3"/>
  <c r="AL867" i="3"/>
  <c r="AL868" i="3"/>
  <c r="AL869" i="3"/>
  <c r="AL870" i="3"/>
  <c r="AL871" i="3"/>
  <c r="AL872" i="3"/>
  <c r="AL873" i="3"/>
  <c r="AL874" i="3"/>
  <c r="AL875" i="3"/>
  <c r="AL876" i="3"/>
  <c r="AL877" i="3"/>
  <c r="AL878" i="3"/>
  <c r="AL879" i="3"/>
  <c r="AL880" i="3"/>
  <c r="AL881" i="3"/>
  <c r="AL882" i="3"/>
  <c r="AL883" i="3"/>
  <c r="AL884" i="3"/>
  <c r="AL885" i="3"/>
  <c r="AL886" i="3"/>
  <c r="AL887" i="3"/>
  <c r="AL888" i="3"/>
  <c r="AL889" i="3"/>
  <c r="AL890" i="3"/>
  <c r="AL891" i="3"/>
  <c r="AL892" i="3"/>
  <c r="AL893" i="3"/>
  <c r="AL894" i="3"/>
  <c r="AL895" i="3"/>
  <c r="AL896" i="3"/>
  <c r="AL897" i="3"/>
  <c r="AL898" i="3"/>
  <c r="AL899" i="3"/>
  <c r="AL900" i="3"/>
  <c r="AL901" i="3"/>
  <c r="AL902" i="3"/>
  <c r="AL903" i="3"/>
  <c r="AL904" i="3"/>
  <c r="AL905" i="3"/>
  <c r="AL906" i="3"/>
  <c r="AL907" i="3"/>
  <c r="AL908" i="3"/>
  <c r="AL909" i="3"/>
  <c r="AL910" i="3"/>
  <c r="AL911" i="3"/>
  <c r="AL912" i="3"/>
  <c r="AL913" i="3"/>
  <c r="AL914" i="3"/>
  <c r="AL915" i="3"/>
  <c r="AL916" i="3"/>
  <c r="AL917" i="3"/>
  <c r="AL918" i="3"/>
  <c r="AL919" i="3"/>
  <c r="AL920" i="3"/>
  <c r="AL921" i="3"/>
  <c r="AL922" i="3"/>
  <c r="AL923" i="3"/>
  <c r="AL924" i="3"/>
  <c r="AL925" i="3"/>
  <c r="AL926" i="3"/>
  <c r="AL927" i="3"/>
  <c r="AL928" i="3"/>
  <c r="AL929" i="3"/>
  <c r="AL930" i="3"/>
  <c r="AL931" i="3"/>
  <c r="AL932" i="3"/>
  <c r="AL933" i="3"/>
  <c r="AL934" i="3"/>
  <c r="AL935" i="3"/>
  <c r="AL936" i="3"/>
  <c r="AL937" i="3"/>
  <c r="AL938" i="3"/>
  <c r="AL939" i="3"/>
  <c r="AL940" i="3"/>
  <c r="AL941" i="3"/>
  <c r="AL942" i="3"/>
  <c r="AL943" i="3"/>
  <c r="AL944" i="3"/>
  <c r="AL945" i="3"/>
  <c r="AL946" i="3"/>
  <c r="AL947" i="3"/>
  <c r="AL948" i="3"/>
  <c r="AL949" i="3"/>
  <c r="AL950" i="3"/>
  <c r="AL951" i="3"/>
  <c r="AL952" i="3"/>
  <c r="AL953" i="3"/>
  <c r="AL954" i="3"/>
  <c r="AL955" i="3"/>
  <c r="AL956" i="3"/>
  <c r="AL957" i="3"/>
  <c r="AL958" i="3"/>
  <c r="AL959" i="3"/>
  <c r="AL960" i="3"/>
  <c r="AL961" i="3"/>
  <c r="AL962" i="3"/>
  <c r="AL963" i="3"/>
  <c r="AL964" i="3"/>
  <c r="AL965" i="3"/>
  <c r="AL966" i="3"/>
  <c r="AL967" i="3"/>
  <c r="AL968" i="3"/>
  <c r="AL969" i="3"/>
  <c r="AL970" i="3"/>
  <c r="AL971" i="3"/>
  <c r="AL972" i="3"/>
  <c r="AL973" i="3"/>
  <c r="AL974" i="3"/>
  <c r="AL975" i="3"/>
  <c r="AL976" i="3"/>
  <c r="AL977" i="3"/>
  <c r="AL978" i="3"/>
  <c r="AL979" i="3"/>
  <c r="AL980" i="3"/>
  <c r="AL981" i="3"/>
  <c r="AL982" i="3"/>
  <c r="AL983" i="3"/>
  <c r="AL984" i="3"/>
  <c r="AL985" i="3"/>
  <c r="AL986" i="3"/>
  <c r="AL987" i="3"/>
  <c r="AL988" i="3"/>
  <c r="AL989" i="3"/>
  <c r="AL990" i="3"/>
  <c r="AL991" i="3"/>
  <c r="AL992" i="3"/>
  <c r="AL993" i="3"/>
  <c r="AL994" i="3"/>
  <c r="AL995" i="3"/>
  <c r="AL996" i="3"/>
  <c r="AL997" i="3"/>
  <c r="AL998" i="3"/>
  <c r="AL999" i="3"/>
  <c r="AL1000" i="3"/>
  <c r="AL1001" i="3"/>
  <c r="AL1002" i="3"/>
  <c r="AL1003" i="3"/>
  <c r="AL1004" i="3"/>
  <c r="AL1005" i="3"/>
  <c r="AL1006" i="3"/>
  <c r="AL1007" i="3"/>
  <c r="AL1008" i="3"/>
  <c r="AL1009" i="3"/>
  <c r="AL1010" i="3"/>
  <c r="AL1011" i="3"/>
  <c r="AL1012" i="3"/>
  <c r="AL1013" i="3"/>
  <c r="AL1014" i="3"/>
  <c r="AL1015" i="3"/>
  <c r="AL1016" i="3"/>
  <c r="AL1017" i="3"/>
  <c r="AL1018" i="3"/>
  <c r="AL1019" i="3"/>
  <c r="AL1020" i="3"/>
  <c r="AL1021" i="3"/>
  <c r="AL1022" i="3"/>
  <c r="AL1023" i="3"/>
  <c r="AL1024" i="3"/>
  <c r="AL1025" i="3"/>
  <c r="AL1026" i="3"/>
  <c r="AL1027" i="3"/>
  <c r="AL1028" i="3"/>
  <c r="AL1029" i="3"/>
  <c r="AL1030" i="3"/>
  <c r="AL1031" i="3"/>
  <c r="AL1032" i="3"/>
  <c r="AL1033" i="3"/>
  <c r="AL1034" i="3"/>
  <c r="AL1035" i="3"/>
  <c r="AL1036" i="3"/>
  <c r="AL1037" i="3"/>
  <c r="AL1038" i="3"/>
  <c r="AL1039" i="3"/>
  <c r="AL1040" i="3"/>
  <c r="AL1041" i="3"/>
  <c r="AL1042" i="3"/>
  <c r="AL1043" i="3"/>
  <c r="AL1044" i="3"/>
  <c r="AL1045" i="3"/>
  <c r="AL1046" i="3"/>
  <c r="AL1047" i="3"/>
  <c r="AL1048" i="3"/>
  <c r="AL1049" i="3"/>
  <c r="AL1050" i="3"/>
  <c r="AL1051" i="3"/>
  <c r="AL1052" i="3"/>
  <c r="AL1053" i="3"/>
  <c r="AL1054" i="3"/>
  <c r="AL1055" i="3"/>
  <c r="AL1056" i="3"/>
  <c r="AL1057" i="3"/>
  <c r="AL1058" i="3"/>
  <c r="AL1059" i="3"/>
  <c r="AL1060" i="3"/>
  <c r="AL1061" i="3"/>
  <c r="AL1062" i="3"/>
  <c r="AL1063" i="3"/>
  <c r="AL1064" i="3"/>
  <c r="AL1065" i="3"/>
  <c r="AL1066" i="3"/>
  <c r="AL1067" i="3"/>
  <c r="AL1068" i="3"/>
  <c r="AL1069" i="3"/>
  <c r="AL1070" i="3"/>
  <c r="AL1071" i="3"/>
  <c r="AL1072" i="3"/>
  <c r="AL1073" i="3"/>
  <c r="AL1074" i="3"/>
  <c r="AL1075" i="3"/>
  <c r="AL1076" i="3"/>
  <c r="AL1077" i="3"/>
  <c r="AL1078" i="3"/>
  <c r="AL1079" i="3"/>
  <c r="AL1080" i="3"/>
  <c r="AL1081" i="3"/>
  <c r="AL1082" i="3"/>
  <c r="AL1083" i="3"/>
  <c r="AL1084" i="3"/>
  <c r="AL1085" i="3"/>
  <c r="AL1086" i="3"/>
  <c r="AL1087" i="3"/>
  <c r="AL1088" i="3"/>
  <c r="AL1089" i="3"/>
  <c r="AL1090" i="3"/>
  <c r="AL1091" i="3"/>
  <c r="AL1092" i="3"/>
  <c r="AL1093" i="3"/>
  <c r="AL1094" i="3"/>
  <c r="AL1095" i="3"/>
  <c r="AL1096" i="3"/>
  <c r="AL1097" i="3"/>
  <c r="AL1098" i="3"/>
  <c r="AL1099" i="3"/>
  <c r="AL1100" i="3"/>
  <c r="AL1101" i="3"/>
  <c r="AL1102" i="3"/>
  <c r="AL1103" i="3"/>
  <c r="AL1104" i="3"/>
  <c r="AL1105" i="3"/>
  <c r="AL1106" i="3"/>
  <c r="AL1107" i="3"/>
  <c r="AL1108" i="3"/>
  <c r="AL1109" i="3"/>
  <c r="AL1110" i="3"/>
  <c r="AL1111" i="3"/>
  <c r="AL1112" i="3"/>
  <c r="AL1113" i="3"/>
  <c r="AL1114" i="3"/>
  <c r="AL1115" i="3"/>
  <c r="AL1116" i="3"/>
  <c r="AL1117" i="3"/>
  <c r="AL1118" i="3"/>
  <c r="AL1119" i="3"/>
  <c r="AL1120" i="3"/>
  <c r="AL1121" i="3"/>
  <c r="AL1122" i="3"/>
  <c r="AL1123" i="3"/>
  <c r="AL1124" i="3"/>
  <c r="AL1125" i="3"/>
  <c r="AL1126" i="3"/>
  <c r="AL1127" i="3"/>
  <c r="AL1128" i="3"/>
  <c r="AL1129" i="3"/>
  <c r="AL1130" i="3"/>
  <c r="AL1131" i="3"/>
  <c r="AL1132" i="3"/>
  <c r="AL1133" i="3"/>
  <c r="AL1134" i="3"/>
  <c r="AL1135" i="3"/>
  <c r="AL1136" i="3"/>
  <c r="AL1137" i="3"/>
  <c r="AL1138" i="3"/>
  <c r="AL1139" i="3"/>
  <c r="AL1140" i="3"/>
  <c r="AL1141" i="3"/>
  <c r="AL1142" i="3"/>
  <c r="AL1143" i="3"/>
  <c r="AL1144" i="3"/>
  <c r="AL1145" i="3"/>
  <c r="AL1146" i="3"/>
  <c r="AL1147" i="3"/>
  <c r="AL1148" i="3"/>
  <c r="AL1149" i="3"/>
  <c r="AL1150" i="3"/>
  <c r="AL1151" i="3"/>
  <c r="AL1152" i="3"/>
  <c r="AL1153" i="3"/>
  <c r="AL1154" i="3"/>
  <c r="AL1155" i="3"/>
  <c r="AL1156" i="3"/>
  <c r="AL1157" i="3"/>
  <c r="AL1158" i="3"/>
  <c r="AL1159" i="3"/>
  <c r="AL1160" i="3"/>
  <c r="AL1161" i="3"/>
  <c r="AL1162" i="3"/>
  <c r="AL1163" i="3"/>
  <c r="AL1164" i="3"/>
  <c r="AL1165" i="3"/>
  <c r="AL1166" i="3"/>
  <c r="AL1167" i="3"/>
  <c r="AL1168" i="3"/>
  <c r="AL1169" i="3"/>
  <c r="AL1170" i="3"/>
  <c r="AL1171" i="3"/>
  <c r="AL1172" i="3"/>
  <c r="AL1173" i="3"/>
  <c r="AL1174" i="3"/>
  <c r="AL1175" i="3"/>
  <c r="AL1176" i="3"/>
  <c r="AL1177" i="3"/>
  <c r="AL1178" i="3"/>
  <c r="AL1179" i="3"/>
  <c r="AL1180" i="3"/>
  <c r="AL1181" i="3"/>
  <c r="AL1182" i="3"/>
  <c r="AL1183" i="3"/>
  <c r="AL1184" i="3"/>
  <c r="AL1185" i="3"/>
  <c r="AL1186" i="3"/>
  <c r="AL1187" i="3"/>
  <c r="AL1188" i="3"/>
  <c r="AL1189" i="3"/>
  <c r="AL1190" i="3"/>
  <c r="AL1191" i="3"/>
  <c r="AL1192" i="3"/>
  <c r="AL1193" i="3"/>
  <c r="AL1194" i="3"/>
  <c r="AL1195" i="3"/>
  <c r="AL1196" i="3"/>
  <c r="AL1197" i="3"/>
  <c r="AL1198" i="3"/>
  <c r="AL1199" i="3"/>
  <c r="AL1200" i="3"/>
  <c r="AL1201" i="3"/>
  <c r="AL1202" i="3"/>
  <c r="AL1203" i="3"/>
  <c r="AL1204" i="3"/>
  <c r="AL1205" i="3"/>
  <c r="AL1206" i="3"/>
  <c r="AL1207" i="3"/>
  <c r="AL1208" i="3"/>
  <c r="AL1209" i="3"/>
  <c r="AL1210" i="3"/>
  <c r="AL1211" i="3"/>
  <c r="AL1212" i="3"/>
  <c r="AL1213" i="3"/>
  <c r="AL1214" i="3"/>
  <c r="AL1215" i="3"/>
  <c r="AL1216" i="3"/>
  <c r="AL1217" i="3"/>
  <c r="AL1218" i="3"/>
  <c r="AL1219" i="3"/>
  <c r="AL1220" i="3"/>
  <c r="AL1221" i="3"/>
  <c r="AL1222" i="3"/>
  <c r="AL1223" i="3"/>
  <c r="AL1224" i="3"/>
  <c r="AL1225" i="3"/>
  <c r="AL1226" i="3"/>
  <c r="AL1227" i="3"/>
  <c r="AL1228" i="3"/>
  <c r="AL1229" i="3"/>
  <c r="AL1230" i="3"/>
  <c r="AL1231" i="3"/>
  <c r="AL1232" i="3"/>
  <c r="AL1233" i="3"/>
  <c r="AL1234" i="3"/>
  <c r="AL1235" i="3"/>
  <c r="AL1236" i="3"/>
  <c r="AL1237" i="3"/>
  <c r="AL1238" i="3"/>
  <c r="AL1239" i="3"/>
  <c r="AL1240" i="3"/>
  <c r="AL1241" i="3"/>
  <c r="AL1242" i="3"/>
  <c r="AL1243" i="3"/>
  <c r="AL1244" i="3"/>
  <c r="AL1245" i="3"/>
  <c r="AL1246" i="3"/>
  <c r="AL1247" i="3"/>
  <c r="AL1248" i="3"/>
  <c r="AL1249" i="3"/>
  <c r="AL1250" i="3"/>
  <c r="AL1251" i="3"/>
  <c r="AL1252" i="3"/>
  <c r="AL1253" i="3"/>
  <c r="AL1254" i="3"/>
  <c r="AL1255" i="3"/>
  <c r="AL1256" i="3"/>
  <c r="AL1257" i="3"/>
  <c r="AL1258" i="3"/>
  <c r="AL1259" i="3"/>
  <c r="AL1260" i="3"/>
  <c r="AL1261" i="3"/>
  <c r="AL1262" i="3"/>
  <c r="AL1263" i="3"/>
  <c r="AL1264" i="3"/>
  <c r="AL1265" i="3"/>
  <c r="AL1266" i="3"/>
  <c r="AL1267" i="3"/>
  <c r="AL1268" i="3"/>
  <c r="AL1269" i="3"/>
  <c r="AL1270" i="3"/>
  <c r="AL1271" i="3"/>
  <c r="AL1272" i="3"/>
  <c r="AL1273" i="3"/>
  <c r="AL1274" i="3"/>
  <c r="AL1275" i="3"/>
  <c r="AL1276" i="3"/>
  <c r="AL1277" i="3"/>
  <c r="AL1278" i="3"/>
  <c r="AL1279" i="3"/>
  <c r="AL1280" i="3"/>
  <c r="AL1281" i="3"/>
  <c r="AL1282" i="3"/>
  <c r="AL1283" i="3"/>
  <c r="AL1284" i="3"/>
  <c r="AL1285" i="3"/>
  <c r="AL1286" i="3"/>
  <c r="AL1287" i="3"/>
  <c r="AL1288" i="3"/>
  <c r="AL1289" i="3"/>
  <c r="AL1290" i="3"/>
  <c r="AL1291" i="3"/>
  <c r="AL1292" i="3"/>
  <c r="AL1293" i="3"/>
  <c r="AL1294" i="3"/>
  <c r="AL1295" i="3"/>
  <c r="AL1296" i="3"/>
  <c r="AL1297" i="3"/>
  <c r="AL1298" i="3"/>
  <c r="AL1299" i="3"/>
  <c r="AL1300" i="3"/>
  <c r="AL1301" i="3"/>
  <c r="AL1302" i="3"/>
  <c r="AL1303" i="3"/>
  <c r="AL1304" i="3"/>
  <c r="AL1305" i="3"/>
  <c r="AL1306" i="3"/>
  <c r="AL1307" i="3"/>
  <c r="AL1308" i="3"/>
  <c r="AL1309" i="3"/>
  <c r="AL1310" i="3"/>
  <c r="AL1311" i="3"/>
  <c r="AL1312" i="3"/>
  <c r="AL1313" i="3"/>
  <c r="AL1314" i="3"/>
  <c r="AL1315" i="3"/>
  <c r="AL1316" i="3"/>
  <c r="AL1317" i="3"/>
  <c r="AL1318" i="3"/>
  <c r="AL1319" i="3"/>
  <c r="AL1320" i="3"/>
  <c r="AL1321" i="3"/>
  <c r="AL1322" i="3"/>
  <c r="AL1323" i="3"/>
  <c r="AL1324" i="3"/>
  <c r="AL1325" i="3"/>
  <c r="AL1326" i="3"/>
  <c r="AL1327" i="3"/>
  <c r="AL1328" i="3"/>
  <c r="AL1329" i="3"/>
  <c r="AL1330" i="3"/>
  <c r="AL1331" i="3"/>
  <c r="AL1332" i="3"/>
  <c r="AL1333" i="3"/>
  <c r="AL1334" i="3"/>
  <c r="AL1335" i="3"/>
  <c r="AL1336" i="3"/>
  <c r="AL1337" i="3"/>
  <c r="AL1338" i="3"/>
  <c r="AL1339" i="3"/>
  <c r="AL1340" i="3"/>
  <c r="AL1341" i="3"/>
  <c r="AL1342" i="3"/>
  <c r="AL1343" i="3"/>
  <c r="AL1344" i="3"/>
  <c r="AL1345" i="3"/>
  <c r="AL1346" i="3"/>
  <c r="AL1347" i="3"/>
  <c r="AL1348" i="3"/>
  <c r="AL1349" i="3"/>
  <c r="AL1350" i="3"/>
  <c r="AL1351" i="3"/>
  <c r="AL1352" i="3"/>
  <c r="AL1353" i="3"/>
  <c r="AL1354" i="3"/>
  <c r="AL1355" i="3"/>
  <c r="AL1356" i="3"/>
  <c r="AL1357" i="3"/>
  <c r="AL1358" i="3"/>
  <c r="AL1359" i="3"/>
  <c r="AL1360" i="3"/>
  <c r="AL1361" i="3"/>
  <c r="AL1362" i="3"/>
  <c r="AL1363" i="3"/>
  <c r="AL1364" i="3"/>
  <c r="AL1365" i="3"/>
  <c r="AL1366" i="3"/>
  <c r="AL1367" i="3"/>
  <c r="AL1368" i="3"/>
  <c r="AL1369" i="3"/>
  <c r="AL1370" i="3"/>
  <c r="AL1371" i="3"/>
  <c r="AL1372" i="3"/>
  <c r="AL1373" i="3"/>
  <c r="AL1374" i="3"/>
  <c r="AL1375" i="3"/>
  <c r="AL1376" i="3"/>
  <c r="AL1377" i="3"/>
  <c r="AL1378" i="3"/>
  <c r="AL1379" i="3"/>
  <c r="AL1380" i="3"/>
  <c r="AL1381" i="3"/>
  <c r="AL1382" i="3"/>
  <c r="AL1383" i="3"/>
  <c r="AL1384" i="3"/>
  <c r="AL1385" i="3"/>
  <c r="AL1386" i="3"/>
  <c r="AL1387" i="3"/>
  <c r="AL1388" i="3"/>
  <c r="AL1389" i="3"/>
  <c r="AL1390" i="3"/>
  <c r="AL1391" i="3"/>
  <c r="AL1392" i="3"/>
  <c r="AL1393" i="3"/>
  <c r="AL1394" i="3"/>
  <c r="AL1395" i="3"/>
  <c r="AL1396" i="3"/>
  <c r="AL1397" i="3"/>
  <c r="AL1398" i="3"/>
  <c r="AL1399" i="3"/>
  <c r="AL1400" i="3"/>
  <c r="AL1401" i="3"/>
  <c r="AL1402" i="3"/>
  <c r="AL1403" i="3"/>
  <c r="AL1404" i="3"/>
  <c r="AL1405" i="3"/>
  <c r="AL1406" i="3"/>
  <c r="AL1407" i="3"/>
  <c r="AL1408" i="3"/>
  <c r="AL1409" i="3"/>
  <c r="AL1410" i="3"/>
  <c r="AL1411" i="3"/>
  <c r="AL1412" i="3"/>
  <c r="AL1413" i="3"/>
  <c r="AL1414" i="3"/>
  <c r="AL1415" i="3"/>
  <c r="AL1416" i="3"/>
  <c r="AL1417" i="3"/>
  <c r="AL1418" i="3"/>
  <c r="AL1419" i="3"/>
  <c r="AL1420" i="3"/>
  <c r="AL1421" i="3"/>
  <c r="AL1422" i="3"/>
  <c r="AL1423" i="3"/>
  <c r="AL1424" i="3"/>
  <c r="AL1425" i="3"/>
  <c r="AL1426" i="3"/>
  <c r="AL1427" i="3"/>
  <c r="AL1428" i="3"/>
  <c r="AL1429" i="3"/>
  <c r="AL1430" i="3"/>
  <c r="AL1431" i="3"/>
  <c r="AL1432" i="3"/>
  <c r="AL1433" i="3"/>
  <c r="AL1434" i="3"/>
  <c r="AL1435" i="3"/>
  <c r="AL1436" i="3"/>
  <c r="AL1437" i="3"/>
  <c r="AL1438" i="3"/>
  <c r="AL1439" i="3"/>
  <c r="AL1440" i="3"/>
  <c r="AL1441" i="3"/>
  <c r="AL1442" i="3"/>
  <c r="AL1443" i="3"/>
  <c r="AL1444" i="3"/>
  <c r="AL1445" i="3"/>
  <c r="AL1446" i="3"/>
  <c r="AL1447" i="3"/>
  <c r="AL1448" i="3"/>
  <c r="AL1449" i="3"/>
  <c r="AL1450" i="3"/>
  <c r="AL1451" i="3"/>
  <c r="AL1452" i="3"/>
  <c r="AL1453" i="3"/>
  <c r="AL1454" i="3"/>
  <c r="AL1455" i="3"/>
  <c r="AL1456" i="3"/>
  <c r="AL1457" i="3"/>
  <c r="AL1458" i="3"/>
  <c r="AL1459" i="3"/>
  <c r="AL1460" i="3"/>
  <c r="AL1461" i="3"/>
  <c r="AL1462" i="3"/>
  <c r="AL1463" i="3"/>
  <c r="AL1464" i="3"/>
  <c r="AL1465" i="3"/>
  <c r="AL1466" i="3"/>
  <c r="AL1467" i="3"/>
  <c r="AL1468" i="3"/>
  <c r="AL1469" i="3"/>
  <c r="AL1470" i="3"/>
  <c r="AL1471" i="3"/>
  <c r="AL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K712" i="3"/>
  <c r="AK713" i="3"/>
  <c r="AK714" i="3"/>
  <c r="AK715" i="3"/>
  <c r="AK716" i="3"/>
  <c r="AK717" i="3"/>
  <c r="AK718" i="3"/>
  <c r="AK719" i="3"/>
  <c r="AK720" i="3"/>
  <c r="AK721" i="3"/>
  <c r="AK722" i="3"/>
  <c r="AK723" i="3"/>
  <c r="AK724" i="3"/>
  <c r="AK725" i="3"/>
  <c r="AK726" i="3"/>
  <c r="AK727" i="3"/>
  <c r="AK728" i="3"/>
  <c r="AK729" i="3"/>
  <c r="AK730" i="3"/>
  <c r="AK731" i="3"/>
  <c r="AK732" i="3"/>
  <c r="AK733" i="3"/>
  <c r="AK734" i="3"/>
  <c r="AK735" i="3"/>
  <c r="AK736" i="3"/>
  <c r="AK737" i="3"/>
  <c r="AK738" i="3"/>
  <c r="AK739" i="3"/>
  <c r="AK740" i="3"/>
  <c r="AK741" i="3"/>
  <c r="AK742" i="3"/>
  <c r="AK743" i="3"/>
  <c r="AK744" i="3"/>
  <c r="AK745" i="3"/>
  <c r="AK746" i="3"/>
  <c r="AK747" i="3"/>
  <c r="AK748" i="3"/>
  <c r="AK749" i="3"/>
  <c r="AK750" i="3"/>
  <c r="AK751" i="3"/>
  <c r="AK752" i="3"/>
  <c r="AK753" i="3"/>
  <c r="AK754" i="3"/>
  <c r="AK755" i="3"/>
  <c r="AK756" i="3"/>
  <c r="AK757" i="3"/>
  <c r="AK758" i="3"/>
  <c r="AK759" i="3"/>
  <c r="AK760" i="3"/>
  <c r="AK761" i="3"/>
  <c r="AK762" i="3"/>
  <c r="AK763" i="3"/>
  <c r="AK764" i="3"/>
  <c r="AK765" i="3"/>
  <c r="AK766" i="3"/>
  <c r="AK767" i="3"/>
  <c r="AK768" i="3"/>
  <c r="AK769" i="3"/>
  <c r="AK770" i="3"/>
  <c r="AK771" i="3"/>
  <c r="AK772" i="3"/>
  <c r="AK773" i="3"/>
  <c r="AK774" i="3"/>
  <c r="AK775" i="3"/>
  <c r="AK776" i="3"/>
  <c r="AK777" i="3"/>
  <c r="AK778" i="3"/>
  <c r="AK779" i="3"/>
  <c r="AK780" i="3"/>
  <c r="AK781" i="3"/>
  <c r="AK782" i="3"/>
  <c r="AK783" i="3"/>
  <c r="AK784" i="3"/>
  <c r="AK785" i="3"/>
  <c r="AK786" i="3"/>
  <c r="AK787" i="3"/>
  <c r="AK788" i="3"/>
  <c r="AK789" i="3"/>
  <c r="AK790" i="3"/>
  <c r="AK791" i="3"/>
  <c r="AK792" i="3"/>
  <c r="AK793" i="3"/>
  <c r="AK794" i="3"/>
  <c r="AK795" i="3"/>
  <c r="AK796" i="3"/>
  <c r="AK797" i="3"/>
  <c r="AK798" i="3"/>
  <c r="AK799" i="3"/>
  <c r="AK800" i="3"/>
  <c r="AK801" i="3"/>
  <c r="AK802" i="3"/>
  <c r="AK803" i="3"/>
  <c r="AK804" i="3"/>
  <c r="AK805" i="3"/>
  <c r="AK806" i="3"/>
  <c r="AK807" i="3"/>
  <c r="AK808" i="3"/>
  <c r="AK809" i="3"/>
  <c r="AK810" i="3"/>
  <c r="AK811" i="3"/>
  <c r="AK812" i="3"/>
  <c r="AK813" i="3"/>
  <c r="AK814" i="3"/>
  <c r="AK815" i="3"/>
  <c r="AK816" i="3"/>
  <c r="AK817" i="3"/>
  <c r="AK818" i="3"/>
  <c r="AK819" i="3"/>
  <c r="AK820" i="3"/>
  <c r="AK821" i="3"/>
  <c r="AK822" i="3"/>
  <c r="AK823" i="3"/>
  <c r="AK824" i="3"/>
  <c r="AK825" i="3"/>
  <c r="AK826" i="3"/>
  <c r="AK827" i="3"/>
  <c r="AK828" i="3"/>
  <c r="AK829" i="3"/>
  <c r="AK830" i="3"/>
  <c r="AK831" i="3"/>
  <c r="AK832" i="3"/>
  <c r="AK833" i="3"/>
  <c r="AK834" i="3"/>
  <c r="AK835" i="3"/>
  <c r="AK836" i="3"/>
  <c r="AK837" i="3"/>
  <c r="AK838" i="3"/>
  <c r="AK839" i="3"/>
  <c r="AK840" i="3"/>
  <c r="AK841" i="3"/>
  <c r="AK842" i="3"/>
  <c r="AK843" i="3"/>
  <c r="AK844" i="3"/>
  <c r="AK845" i="3"/>
  <c r="AK846" i="3"/>
  <c r="AK847" i="3"/>
  <c r="AK848" i="3"/>
  <c r="AK849" i="3"/>
  <c r="AK850" i="3"/>
  <c r="AK851" i="3"/>
  <c r="AK852" i="3"/>
  <c r="AK853" i="3"/>
  <c r="AK854" i="3"/>
  <c r="AK855" i="3"/>
  <c r="AK856" i="3"/>
  <c r="AK857" i="3"/>
  <c r="AK858" i="3"/>
  <c r="AK859" i="3"/>
  <c r="AK860" i="3"/>
  <c r="AK861" i="3"/>
  <c r="AK862" i="3"/>
  <c r="AK863" i="3"/>
  <c r="AK864" i="3"/>
  <c r="AK865" i="3"/>
  <c r="AK866" i="3"/>
  <c r="AK867" i="3"/>
  <c r="AK868" i="3"/>
  <c r="AK869" i="3"/>
  <c r="AK870" i="3"/>
  <c r="AK871" i="3"/>
  <c r="AK872" i="3"/>
  <c r="AK873" i="3"/>
  <c r="AK874" i="3"/>
  <c r="AK875" i="3"/>
  <c r="AK876" i="3"/>
  <c r="AK877" i="3"/>
  <c r="AK878" i="3"/>
  <c r="AK879" i="3"/>
  <c r="AK880" i="3"/>
  <c r="AK881" i="3"/>
  <c r="AK882" i="3"/>
  <c r="AK883" i="3"/>
  <c r="AK884" i="3"/>
  <c r="AK885" i="3"/>
  <c r="AK886" i="3"/>
  <c r="AK887" i="3"/>
  <c r="AK888" i="3"/>
  <c r="AK889" i="3"/>
  <c r="AK890" i="3"/>
  <c r="AK891" i="3"/>
  <c r="AK892" i="3"/>
  <c r="AK893" i="3"/>
  <c r="AK894" i="3"/>
  <c r="AK895" i="3"/>
  <c r="AK896" i="3"/>
  <c r="AK897" i="3"/>
  <c r="AK898" i="3"/>
  <c r="AK899" i="3"/>
  <c r="AK900" i="3"/>
  <c r="AK901" i="3"/>
  <c r="AK902" i="3"/>
  <c r="AK903" i="3"/>
  <c r="AK904" i="3"/>
  <c r="AK905" i="3"/>
  <c r="AK906" i="3"/>
  <c r="AK907" i="3"/>
  <c r="AK908" i="3"/>
  <c r="AK909" i="3"/>
  <c r="AK910" i="3"/>
  <c r="AK911" i="3"/>
  <c r="AK912" i="3"/>
  <c r="AK913" i="3"/>
  <c r="AK914" i="3"/>
  <c r="AK915" i="3"/>
  <c r="AK916" i="3"/>
  <c r="AK917" i="3"/>
  <c r="AK918" i="3"/>
  <c r="AK919" i="3"/>
  <c r="AK920" i="3"/>
  <c r="AK921" i="3"/>
  <c r="AK922" i="3"/>
  <c r="AK923" i="3"/>
  <c r="AK924" i="3"/>
  <c r="AK925" i="3"/>
  <c r="AK926" i="3"/>
  <c r="AK927" i="3"/>
  <c r="AK928" i="3"/>
  <c r="AK929" i="3"/>
  <c r="AK930" i="3"/>
  <c r="AK931" i="3"/>
  <c r="AK932" i="3"/>
  <c r="AK933" i="3"/>
  <c r="AK934" i="3"/>
  <c r="AK935" i="3"/>
  <c r="AK936" i="3"/>
  <c r="AK937" i="3"/>
  <c r="AK938" i="3"/>
  <c r="AK939" i="3"/>
  <c r="AK940" i="3"/>
  <c r="AK941" i="3"/>
  <c r="AK942" i="3"/>
  <c r="AK943" i="3"/>
  <c r="AK944" i="3"/>
  <c r="AK945" i="3"/>
  <c r="AK946" i="3"/>
  <c r="AK947" i="3"/>
  <c r="AK948" i="3"/>
  <c r="AK949" i="3"/>
  <c r="AK950" i="3"/>
  <c r="AK951" i="3"/>
  <c r="AK952" i="3"/>
  <c r="AK953" i="3"/>
  <c r="AK954" i="3"/>
  <c r="AK955" i="3"/>
  <c r="AK956" i="3"/>
  <c r="AK957" i="3"/>
  <c r="AK958" i="3"/>
  <c r="AK959" i="3"/>
  <c r="AK960" i="3"/>
  <c r="AK961" i="3"/>
  <c r="AK962" i="3"/>
  <c r="AK963" i="3"/>
  <c r="AK964" i="3"/>
  <c r="AK965" i="3"/>
  <c r="AK966" i="3"/>
  <c r="AK967" i="3"/>
  <c r="AK968" i="3"/>
  <c r="AK969" i="3"/>
  <c r="AK970" i="3"/>
  <c r="AK971" i="3"/>
  <c r="AK972" i="3"/>
  <c r="AK973" i="3"/>
  <c r="AK974" i="3"/>
  <c r="AK975" i="3"/>
  <c r="AK976" i="3"/>
  <c r="AK977" i="3"/>
  <c r="AK978" i="3"/>
  <c r="AK979" i="3"/>
  <c r="AK980" i="3"/>
  <c r="AK981" i="3"/>
  <c r="AK982" i="3"/>
  <c r="AK983" i="3"/>
  <c r="AK984" i="3"/>
  <c r="AK985" i="3"/>
  <c r="AK986" i="3"/>
  <c r="AK987" i="3"/>
  <c r="AK988" i="3"/>
  <c r="AK989" i="3"/>
  <c r="AK990" i="3"/>
  <c r="AK991" i="3"/>
  <c r="AK992" i="3"/>
  <c r="AK993" i="3"/>
  <c r="AK994" i="3"/>
  <c r="AK995" i="3"/>
  <c r="AK996" i="3"/>
  <c r="AK997" i="3"/>
  <c r="AK998" i="3"/>
  <c r="AK999" i="3"/>
  <c r="AK1000" i="3"/>
  <c r="AK1001" i="3"/>
  <c r="AK1002" i="3"/>
  <c r="AK1003" i="3"/>
  <c r="AK1004" i="3"/>
  <c r="AK1005" i="3"/>
  <c r="AK1006" i="3"/>
  <c r="AK1007" i="3"/>
  <c r="AK1008" i="3"/>
  <c r="AK1009" i="3"/>
  <c r="AK1010" i="3"/>
  <c r="AK1011" i="3"/>
  <c r="AK1012" i="3"/>
  <c r="AK1013" i="3"/>
  <c r="AK1014" i="3"/>
  <c r="AK1015" i="3"/>
  <c r="AK1016" i="3"/>
  <c r="AK1017" i="3"/>
  <c r="AK1018" i="3"/>
  <c r="AK1019" i="3"/>
  <c r="AK1020" i="3"/>
  <c r="AK1021" i="3"/>
  <c r="AK1022" i="3"/>
  <c r="AK1023" i="3"/>
  <c r="AK1024" i="3"/>
  <c r="AK1025" i="3"/>
  <c r="AK1026" i="3"/>
  <c r="AK1027" i="3"/>
  <c r="AK1028" i="3"/>
  <c r="AK1029" i="3"/>
  <c r="AK1030" i="3"/>
  <c r="AK1031" i="3"/>
  <c r="AK1032" i="3"/>
  <c r="AK1033" i="3"/>
  <c r="AK1034" i="3"/>
  <c r="AK1035" i="3"/>
  <c r="AK1036" i="3"/>
  <c r="AK1037" i="3"/>
  <c r="AK1038" i="3"/>
  <c r="AK1039" i="3"/>
  <c r="AK1040" i="3"/>
  <c r="AK1041" i="3"/>
  <c r="AK1042" i="3"/>
  <c r="AK1043" i="3"/>
  <c r="AK1044" i="3"/>
  <c r="AK1045" i="3"/>
  <c r="AK1046" i="3"/>
  <c r="AK1047" i="3"/>
  <c r="AK1048" i="3"/>
  <c r="AK1049" i="3"/>
  <c r="AK1050" i="3"/>
  <c r="AK1051" i="3"/>
  <c r="AK1052" i="3"/>
  <c r="AK1053" i="3"/>
  <c r="AK1054" i="3"/>
  <c r="AK1055" i="3"/>
  <c r="AK1056" i="3"/>
  <c r="AK1057" i="3"/>
  <c r="AK1058" i="3"/>
  <c r="AK1059" i="3"/>
  <c r="AK1060" i="3"/>
  <c r="AK1061" i="3"/>
  <c r="AK1062" i="3"/>
  <c r="AK1063" i="3"/>
  <c r="AK1064" i="3"/>
  <c r="AK1065" i="3"/>
  <c r="AK1066" i="3"/>
  <c r="AK1067" i="3"/>
  <c r="AK1068" i="3"/>
  <c r="AK1069" i="3"/>
  <c r="AK1070" i="3"/>
  <c r="AK1071" i="3"/>
  <c r="AK1072" i="3"/>
  <c r="AK1073" i="3"/>
  <c r="AK1074" i="3"/>
  <c r="AK1075" i="3"/>
  <c r="AK1076" i="3"/>
  <c r="AK1077" i="3"/>
  <c r="AK1078" i="3"/>
  <c r="AK1079" i="3"/>
  <c r="AK1080" i="3"/>
  <c r="AK1081" i="3"/>
  <c r="AK1082" i="3"/>
  <c r="AK1083" i="3"/>
  <c r="AK1084" i="3"/>
  <c r="AK1085" i="3"/>
  <c r="AK1086" i="3"/>
  <c r="AK1087" i="3"/>
  <c r="AK1088" i="3"/>
  <c r="AK1089" i="3"/>
  <c r="AK1090" i="3"/>
  <c r="AK1091" i="3"/>
  <c r="AK1092" i="3"/>
  <c r="AK1093" i="3"/>
  <c r="AK1094" i="3"/>
  <c r="AK1095" i="3"/>
  <c r="AK1096" i="3"/>
  <c r="AK1097" i="3"/>
  <c r="AK1098" i="3"/>
  <c r="AK1099" i="3"/>
  <c r="AK1100" i="3"/>
  <c r="AK1101" i="3"/>
  <c r="AK1102" i="3"/>
  <c r="AK1103" i="3"/>
  <c r="AK1104" i="3"/>
  <c r="AK1105" i="3"/>
  <c r="AK1106" i="3"/>
  <c r="AK1107" i="3"/>
  <c r="AK1108" i="3"/>
  <c r="AK1109" i="3"/>
  <c r="AK1110" i="3"/>
  <c r="AK1111" i="3"/>
  <c r="AK1112" i="3"/>
  <c r="AK1113" i="3"/>
  <c r="AK1114" i="3"/>
  <c r="AK1115" i="3"/>
  <c r="AK1116" i="3"/>
  <c r="AK1117" i="3"/>
  <c r="AK1118" i="3"/>
  <c r="AK1119" i="3"/>
  <c r="AK1120" i="3"/>
  <c r="AK1121" i="3"/>
  <c r="AK1122" i="3"/>
  <c r="AK1123" i="3"/>
  <c r="AK1124" i="3"/>
  <c r="AK1125" i="3"/>
  <c r="AK1126" i="3"/>
  <c r="AK1127" i="3"/>
  <c r="AK1128" i="3"/>
  <c r="AK1129" i="3"/>
  <c r="AK1130" i="3"/>
  <c r="AK1131" i="3"/>
  <c r="AK1132" i="3"/>
  <c r="AK1133" i="3"/>
  <c r="AK1134" i="3"/>
  <c r="AK1135" i="3"/>
  <c r="AK1136" i="3"/>
  <c r="AK1137" i="3"/>
  <c r="AK1138" i="3"/>
  <c r="AK1139" i="3"/>
  <c r="AK1140" i="3"/>
  <c r="AK1141" i="3"/>
  <c r="AK1142" i="3"/>
  <c r="AK1143" i="3"/>
  <c r="AK1144" i="3"/>
  <c r="AK1145" i="3"/>
  <c r="AK1146" i="3"/>
  <c r="AK1147" i="3"/>
  <c r="AK1148" i="3"/>
  <c r="AK1149" i="3"/>
  <c r="AK1150" i="3"/>
  <c r="AK1151" i="3"/>
  <c r="AK1152" i="3"/>
  <c r="AK1153" i="3"/>
  <c r="AK1154" i="3"/>
  <c r="AK1155" i="3"/>
  <c r="AK1156" i="3"/>
  <c r="AK1157" i="3"/>
  <c r="AK1158" i="3"/>
  <c r="AK1159" i="3"/>
  <c r="AK1160" i="3"/>
  <c r="AK1161" i="3"/>
  <c r="AK1162" i="3"/>
  <c r="AK1163" i="3"/>
  <c r="AK1164" i="3"/>
  <c r="AK1165" i="3"/>
  <c r="AK1166" i="3"/>
  <c r="AK1167" i="3"/>
  <c r="AK1168" i="3"/>
  <c r="AK1169" i="3"/>
  <c r="AK1170" i="3"/>
  <c r="AK1171" i="3"/>
  <c r="AK1172" i="3"/>
  <c r="AK1173" i="3"/>
  <c r="AK1174" i="3"/>
  <c r="AK1175" i="3"/>
  <c r="AK1176" i="3"/>
  <c r="AK1177" i="3"/>
  <c r="AK1178" i="3"/>
  <c r="AK1179" i="3"/>
  <c r="AK1180" i="3"/>
  <c r="AK1181" i="3"/>
  <c r="AK1182" i="3"/>
  <c r="AK1183" i="3"/>
  <c r="AK1184" i="3"/>
  <c r="AK1185" i="3"/>
  <c r="AK1186" i="3"/>
  <c r="AK1187" i="3"/>
  <c r="AK1188" i="3"/>
  <c r="AK1189" i="3"/>
  <c r="AK1190" i="3"/>
  <c r="AK1191" i="3"/>
  <c r="AK1192" i="3"/>
  <c r="AK1193" i="3"/>
  <c r="AK1194" i="3"/>
  <c r="AK1195" i="3"/>
  <c r="AK1196" i="3"/>
  <c r="AK1197" i="3"/>
  <c r="AK1198" i="3"/>
  <c r="AK1199" i="3"/>
  <c r="AK1200" i="3"/>
  <c r="AK1201" i="3"/>
  <c r="AK1202" i="3"/>
  <c r="AK1203" i="3"/>
  <c r="AK1204" i="3"/>
  <c r="AK1205" i="3"/>
  <c r="AK1206" i="3"/>
  <c r="AK1207" i="3"/>
  <c r="AK1208" i="3"/>
  <c r="AK1209" i="3"/>
  <c r="AK1210" i="3"/>
  <c r="AK1211" i="3"/>
  <c r="AK1212" i="3"/>
  <c r="AK1213" i="3"/>
  <c r="AK1214" i="3"/>
  <c r="AK1215" i="3"/>
  <c r="AK1216" i="3"/>
  <c r="AK1217" i="3"/>
  <c r="AK1218" i="3"/>
  <c r="AK1219" i="3"/>
  <c r="AK1220" i="3"/>
  <c r="AK1221" i="3"/>
  <c r="AK1222" i="3"/>
  <c r="AK1223" i="3"/>
  <c r="AK1224" i="3"/>
  <c r="AK1225" i="3"/>
  <c r="AK1226" i="3"/>
  <c r="AK1227" i="3"/>
  <c r="AK1228" i="3"/>
  <c r="AK1229" i="3"/>
  <c r="AK1230" i="3"/>
  <c r="AK1231" i="3"/>
  <c r="AK1232" i="3"/>
  <c r="AK1233" i="3"/>
  <c r="AK1234" i="3"/>
  <c r="AK1235" i="3"/>
  <c r="AK1236" i="3"/>
  <c r="AK1237" i="3"/>
  <c r="AK1238" i="3"/>
  <c r="AK1239" i="3"/>
  <c r="AK1240" i="3"/>
  <c r="AK1241" i="3"/>
  <c r="AK1242" i="3"/>
  <c r="AK1243" i="3"/>
  <c r="AK1244" i="3"/>
  <c r="AK1245" i="3"/>
  <c r="AK1246" i="3"/>
  <c r="AK1247" i="3"/>
  <c r="AK1248" i="3"/>
  <c r="AK1249" i="3"/>
  <c r="AK1250" i="3"/>
  <c r="AK1251" i="3"/>
  <c r="AK1252" i="3"/>
  <c r="AK1253" i="3"/>
  <c r="AK1254" i="3"/>
  <c r="AK1255" i="3"/>
  <c r="AK1256" i="3"/>
  <c r="AK1257" i="3"/>
  <c r="AK1258" i="3"/>
  <c r="AK1259" i="3"/>
  <c r="AK1260" i="3"/>
  <c r="AK1261" i="3"/>
  <c r="AK1262" i="3"/>
  <c r="AK1263" i="3"/>
  <c r="AK1264" i="3"/>
  <c r="AK1265" i="3"/>
  <c r="AK1266" i="3"/>
  <c r="AK1267" i="3"/>
  <c r="AK1268" i="3"/>
  <c r="AK1269" i="3"/>
  <c r="AK1270" i="3"/>
  <c r="AK1271" i="3"/>
  <c r="AK1272" i="3"/>
  <c r="AK1273" i="3"/>
  <c r="AK1274" i="3"/>
  <c r="AK1275" i="3"/>
  <c r="AK1276" i="3"/>
  <c r="AK1277" i="3"/>
  <c r="AK1278" i="3"/>
  <c r="AK1279" i="3"/>
  <c r="AK1280" i="3"/>
  <c r="AK1281" i="3"/>
  <c r="AK1282" i="3"/>
  <c r="AK1283" i="3"/>
  <c r="AK1284" i="3"/>
  <c r="AK1285" i="3"/>
  <c r="AK1286" i="3"/>
  <c r="AK1287" i="3"/>
  <c r="AK1288" i="3"/>
  <c r="AK1289" i="3"/>
  <c r="AK1290" i="3"/>
  <c r="AK1291" i="3"/>
  <c r="AK1292" i="3"/>
  <c r="AK1293" i="3"/>
  <c r="AK1294" i="3"/>
  <c r="AK1295" i="3"/>
  <c r="AK1296" i="3"/>
  <c r="AK1297" i="3"/>
  <c r="AK1298" i="3"/>
  <c r="AK1299" i="3"/>
  <c r="AK1300" i="3"/>
  <c r="AK1301" i="3"/>
  <c r="AK1302" i="3"/>
  <c r="AK1303" i="3"/>
  <c r="AK1304" i="3"/>
  <c r="AK1305" i="3"/>
  <c r="AK1306" i="3"/>
  <c r="AK1307" i="3"/>
  <c r="AK1308" i="3"/>
  <c r="AK1309" i="3"/>
  <c r="AK1310" i="3"/>
  <c r="AK1311" i="3"/>
  <c r="AK1312" i="3"/>
  <c r="AK1313" i="3"/>
  <c r="AK1314" i="3"/>
  <c r="AK1315" i="3"/>
  <c r="AK1316" i="3"/>
  <c r="AK1317" i="3"/>
  <c r="AK1318" i="3"/>
  <c r="AK1319" i="3"/>
  <c r="AK1320" i="3"/>
  <c r="AK1321" i="3"/>
  <c r="AK1322" i="3"/>
  <c r="AK1323" i="3"/>
  <c r="AK1324" i="3"/>
  <c r="AK1325" i="3"/>
  <c r="AK1326" i="3"/>
  <c r="AK1327" i="3"/>
  <c r="AK1328" i="3"/>
  <c r="AK1329" i="3"/>
  <c r="AK1330" i="3"/>
  <c r="AK1331" i="3"/>
  <c r="AK1332" i="3"/>
  <c r="AK1333" i="3"/>
  <c r="AK1334" i="3"/>
  <c r="AK1335" i="3"/>
  <c r="AK1336" i="3"/>
  <c r="AK1337" i="3"/>
  <c r="AK1338" i="3"/>
  <c r="AK1339" i="3"/>
  <c r="AK1340" i="3"/>
  <c r="AK1341" i="3"/>
  <c r="AK1342" i="3"/>
  <c r="AK1343" i="3"/>
  <c r="AK1344" i="3"/>
  <c r="AK1345" i="3"/>
  <c r="AK1346" i="3"/>
  <c r="AK1347" i="3"/>
  <c r="AK1348" i="3"/>
  <c r="AK1349" i="3"/>
  <c r="AK1350" i="3"/>
  <c r="AK1351" i="3"/>
  <c r="AK1352" i="3"/>
  <c r="AK1353" i="3"/>
  <c r="AK1354" i="3"/>
  <c r="AK1355" i="3"/>
  <c r="AK1356" i="3"/>
  <c r="AK1357" i="3"/>
  <c r="AK1358" i="3"/>
  <c r="AK1359" i="3"/>
  <c r="AK1360" i="3"/>
  <c r="AK1361" i="3"/>
  <c r="AK1362" i="3"/>
  <c r="AK1363" i="3"/>
  <c r="AK1364" i="3"/>
  <c r="AK1365" i="3"/>
  <c r="AK1366" i="3"/>
  <c r="AK1367" i="3"/>
  <c r="AK1368" i="3"/>
  <c r="AK1369" i="3"/>
  <c r="AK1370" i="3"/>
  <c r="AK1371" i="3"/>
  <c r="AK1372" i="3"/>
  <c r="AK1373" i="3"/>
  <c r="AK1374" i="3"/>
  <c r="AK1375" i="3"/>
  <c r="AK1376" i="3"/>
  <c r="AK1377" i="3"/>
  <c r="AK1378" i="3"/>
  <c r="AK1379" i="3"/>
  <c r="AK1380" i="3"/>
  <c r="AK1381" i="3"/>
  <c r="AK1382" i="3"/>
  <c r="AK1383" i="3"/>
  <c r="AK1384" i="3"/>
  <c r="AK1385" i="3"/>
  <c r="AK1386" i="3"/>
  <c r="AK1387" i="3"/>
  <c r="AK1388" i="3"/>
  <c r="AK1389" i="3"/>
  <c r="AK1390" i="3"/>
  <c r="AK1391" i="3"/>
  <c r="AK1392" i="3"/>
  <c r="AK1393" i="3"/>
  <c r="AK1394" i="3"/>
  <c r="AK1395" i="3"/>
  <c r="AK1396" i="3"/>
  <c r="AK1397" i="3"/>
  <c r="AK1398" i="3"/>
  <c r="AK1399" i="3"/>
  <c r="AK1400" i="3"/>
  <c r="AK1401" i="3"/>
  <c r="AK1402" i="3"/>
  <c r="AK1403" i="3"/>
  <c r="AK1404" i="3"/>
  <c r="AK1405" i="3"/>
  <c r="AK1406" i="3"/>
  <c r="AK1407" i="3"/>
  <c r="AK1408" i="3"/>
  <c r="AK1409" i="3"/>
  <c r="AK1410" i="3"/>
  <c r="AK1411" i="3"/>
  <c r="AK1412" i="3"/>
  <c r="AK1413" i="3"/>
  <c r="AK1414" i="3"/>
  <c r="AK1415" i="3"/>
  <c r="AK1416" i="3"/>
  <c r="AK1417" i="3"/>
  <c r="AK1418" i="3"/>
  <c r="AK1419" i="3"/>
  <c r="AK1420" i="3"/>
  <c r="AK1421" i="3"/>
  <c r="AK1422" i="3"/>
  <c r="AK1423" i="3"/>
  <c r="AK1424" i="3"/>
  <c r="AK1425" i="3"/>
  <c r="AK1426" i="3"/>
  <c r="AK1427" i="3"/>
  <c r="AK1428" i="3"/>
  <c r="AK1429" i="3"/>
  <c r="AK1430" i="3"/>
  <c r="AK1431" i="3"/>
  <c r="AK1432" i="3"/>
  <c r="AK1433" i="3"/>
  <c r="AK1434" i="3"/>
  <c r="AK1435" i="3"/>
  <c r="AK1436" i="3"/>
  <c r="AK1437" i="3"/>
  <c r="AK1438" i="3"/>
  <c r="AK1439" i="3"/>
  <c r="AK1440" i="3"/>
  <c r="AK1441" i="3"/>
  <c r="AK1442" i="3"/>
  <c r="AK1443" i="3"/>
  <c r="AK1444" i="3"/>
  <c r="AK1445" i="3"/>
  <c r="AK1446" i="3"/>
  <c r="AK1447" i="3"/>
  <c r="AK1448" i="3"/>
  <c r="AK1449" i="3"/>
  <c r="AK1450" i="3"/>
  <c r="AK1451" i="3"/>
  <c r="AK1452" i="3"/>
  <c r="AK1453" i="3"/>
  <c r="AK1454" i="3"/>
  <c r="AK1455" i="3"/>
  <c r="AK1456" i="3"/>
  <c r="AK1457" i="3"/>
  <c r="AK1458" i="3"/>
  <c r="AK1459" i="3"/>
  <c r="AK1460" i="3"/>
  <c r="AK1461" i="3"/>
  <c r="AK1462" i="3"/>
  <c r="AK1463" i="3"/>
  <c r="AK1464" i="3"/>
  <c r="AK1465" i="3"/>
  <c r="AK1466" i="3"/>
  <c r="AK1467" i="3"/>
  <c r="AK1468" i="3"/>
  <c r="AK1469" i="3"/>
  <c r="AK1470" i="3"/>
  <c r="AK1471" i="3"/>
  <c r="AK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889" i="3"/>
  <c r="AJ890" i="3"/>
  <c r="AJ891" i="3"/>
  <c r="AJ892" i="3"/>
  <c r="AJ893" i="3"/>
  <c r="AJ894" i="3"/>
  <c r="AJ895" i="3"/>
  <c r="AJ896" i="3"/>
  <c r="AJ897" i="3"/>
  <c r="AJ898" i="3"/>
  <c r="AJ899" i="3"/>
  <c r="AJ900" i="3"/>
  <c r="AJ901" i="3"/>
  <c r="AJ902" i="3"/>
  <c r="AJ903" i="3"/>
  <c r="AJ904" i="3"/>
  <c r="AJ905" i="3"/>
  <c r="AJ906" i="3"/>
  <c r="AJ907" i="3"/>
  <c r="AJ908" i="3"/>
  <c r="AJ909" i="3"/>
  <c r="AJ910" i="3"/>
  <c r="AJ911" i="3"/>
  <c r="AJ912" i="3"/>
  <c r="AJ913" i="3"/>
  <c r="AJ914" i="3"/>
  <c r="AJ915" i="3"/>
  <c r="AJ916" i="3"/>
  <c r="AJ917" i="3"/>
  <c r="AJ918" i="3"/>
  <c r="AJ919" i="3"/>
  <c r="AJ920" i="3"/>
  <c r="AJ921" i="3"/>
  <c r="AJ922" i="3"/>
  <c r="AJ923" i="3"/>
  <c r="AJ924" i="3"/>
  <c r="AJ925" i="3"/>
  <c r="AJ926" i="3"/>
  <c r="AJ927" i="3"/>
  <c r="AJ928" i="3"/>
  <c r="AJ929" i="3"/>
  <c r="AJ930" i="3"/>
  <c r="AJ931" i="3"/>
  <c r="AJ932" i="3"/>
  <c r="AJ933" i="3"/>
  <c r="AJ934" i="3"/>
  <c r="AJ935" i="3"/>
  <c r="AJ936" i="3"/>
  <c r="AJ937" i="3"/>
  <c r="AJ938" i="3"/>
  <c r="AJ939" i="3"/>
  <c r="AJ940" i="3"/>
  <c r="AJ941" i="3"/>
  <c r="AJ942" i="3"/>
  <c r="AJ943" i="3"/>
  <c r="AJ944" i="3"/>
  <c r="AJ945" i="3"/>
  <c r="AJ946" i="3"/>
  <c r="AJ947" i="3"/>
  <c r="AJ948" i="3"/>
  <c r="AJ949" i="3"/>
  <c r="AJ950" i="3"/>
  <c r="AJ951" i="3"/>
  <c r="AJ952" i="3"/>
  <c r="AJ953" i="3"/>
  <c r="AJ954" i="3"/>
  <c r="AJ955" i="3"/>
  <c r="AJ956" i="3"/>
  <c r="AJ957" i="3"/>
  <c r="AJ958" i="3"/>
  <c r="AJ959" i="3"/>
  <c r="AJ960" i="3"/>
  <c r="AJ961" i="3"/>
  <c r="AJ962" i="3"/>
  <c r="AJ963" i="3"/>
  <c r="AJ964" i="3"/>
  <c r="AJ965" i="3"/>
  <c r="AJ966" i="3"/>
  <c r="AJ967" i="3"/>
  <c r="AJ968" i="3"/>
  <c r="AJ969" i="3"/>
  <c r="AJ970" i="3"/>
  <c r="AJ971" i="3"/>
  <c r="AJ972" i="3"/>
  <c r="AJ973" i="3"/>
  <c r="AJ974" i="3"/>
  <c r="AJ975" i="3"/>
  <c r="AJ976" i="3"/>
  <c r="AJ977" i="3"/>
  <c r="AJ978" i="3"/>
  <c r="AJ979" i="3"/>
  <c r="AJ980" i="3"/>
  <c r="AJ981" i="3"/>
  <c r="AJ982" i="3"/>
  <c r="AJ983" i="3"/>
  <c r="AJ984" i="3"/>
  <c r="AJ985" i="3"/>
  <c r="AJ986" i="3"/>
  <c r="AJ987" i="3"/>
  <c r="AJ988" i="3"/>
  <c r="AJ989" i="3"/>
  <c r="AJ990" i="3"/>
  <c r="AJ991" i="3"/>
  <c r="AJ992" i="3"/>
  <c r="AJ993" i="3"/>
  <c r="AJ994" i="3"/>
  <c r="AJ995" i="3"/>
  <c r="AJ996" i="3"/>
  <c r="AJ997" i="3"/>
  <c r="AJ998" i="3"/>
  <c r="AJ999" i="3"/>
  <c r="AJ1000" i="3"/>
  <c r="AJ1001" i="3"/>
  <c r="AJ1002" i="3"/>
  <c r="AJ1003" i="3"/>
  <c r="AJ1004" i="3"/>
  <c r="AJ1005" i="3"/>
  <c r="AJ1006" i="3"/>
  <c r="AJ1007" i="3"/>
  <c r="AJ1008" i="3"/>
  <c r="AJ1009" i="3"/>
  <c r="AJ1010" i="3"/>
  <c r="AJ1011" i="3"/>
  <c r="AJ1012" i="3"/>
  <c r="AJ1013" i="3"/>
  <c r="AJ1014" i="3"/>
  <c r="AJ1015" i="3"/>
  <c r="AJ1016" i="3"/>
  <c r="AJ1017" i="3"/>
  <c r="AJ1018" i="3"/>
  <c r="AJ1019" i="3"/>
  <c r="AJ1020" i="3"/>
  <c r="AJ1021" i="3"/>
  <c r="AJ1022" i="3"/>
  <c r="AJ1023" i="3"/>
  <c r="AJ1024" i="3"/>
  <c r="AJ1025" i="3"/>
  <c r="AJ1026" i="3"/>
  <c r="AJ1027" i="3"/>
  <c r="AJ1028" i="3"/>
  <c r="AJ1029" i="3"/>
  <c r="AJ1030" i="3"/>
  <c r="AJ1031" i="3"/>
  <c r="AJ1032" i="3"/>
  <c r="AJ1033" i="3"/>
  <c r="AJ1034" i="3"/>
  <c r="AJ1035" i="3"/>
  <c r="AJ1036" i="3"/>
  <c r="AJ1037" i="3"/>
  <c r="AJ1038" i="3"/>
  <c r="AJ1039" i="3"/>
  <c r="AJ1040" i="3"/>
  <c r="AJ1041" i="3"/>
  <c r="AJ1042" i="3"/>
  <c r="AJ1043" i="3"/>
  <c r="AJ1044" i="3"/>
  <c r="AJ1045" i="3"/>
  <c r="AJ1046" i="3"/>
  <c r="AJ1047" i="3"/>
  <c r="AJ1048" i="3"/>
  <c r="AJ1049" i="3"/>
  <c r="AJ1050" i="3"/>
  <c r="AJ1051" i="3"/>
  <c r="AJ1052" i="3"/>
  <c r="AJ1053" i="3"/>
  <c r="AJ1054" i="3"/>
  <c r="AJ1055" i="3"/>
  <c r="AJ1056" i="3"/>
  <c r="AJ1057" i="3"/>
  <c r="AJ1058" i="3"/>
  <c r="AJ1059" i="3"/>
  <c r="AJ1060" i="3"/>
  <c r="AJ1061" i="3"/>
  <c r="AJ1062" i="3"/>
  <c r="AJ1063" i="3"/>
  <c r="AJ1064" i="3"/>
  <c r="AJ1065" i="3"/>
  <c r="AJ1066" i="3"/>
  <c r="AJ1067" i="3"/>
  <c r="AJ1068" i="3"/>
  <c r="AJ1069" i="3"/>
  <c r="AJ1070" i="3"/>
  <c r="AJ1071" i="3"/>
  <c r="AJ1072" i="3"/>
  <c r="AJ1073" i="3"/>
  <c r="AJ1074" i="3"/>
  <c r="AJ1075" i="3"/>
  <c r="AJ1076" i="3"/>
  <c r="AJ1077" i="3"/>
  <c r="AJ1078" i="3"/>
  <c r="AJ1079" i="3"/>
  <c r="AJ1080" i="3"/>
  <c r="AJ1081" i="3"/>
  <c r="AJ1082" i="3"/>
  <c r="AJ1083" i="3"/>
  <c r="AJ1084" i="3"/>
  <c r="AJ1085" i="3"/>
  <c r="AJ1086" i="3"/>
  <c r="AJ1087" i="3"/>
  <c r="AJ1088" i="3"/>
  <c r="AJ1089" i="3"/>
  <c r="AJ1090" i="3"/>
  <c r="AJ1091" i="3"/>
  <c r="AJ1092" i="3"/>
  <c r="AJ1093" i="3"/>
  <c r="AJ1094" i="3"/>
  <c r="AJ1095" i="3"/>
  <c r="AJ1096" i="3"/>
  <c r="AJ1097" i="3"/>
  <c r="AJ1098" i="3"/>
  <c r="AJ1099" i="3"/>
  <c r="AJ1100" i="3"/>
  <c r="AJ1101" i="3"/>
  <c r="AJ1102" i="3"/>
  <c r="AJ1103" i="3"/>
  <c r="AJ1104" i="3"/>
  <c r="AJ1105" i="3"/>
  <c r="AJ1106" i="3"/>
  <c r="AJ1107" i="3"/>
  <c r="AJ1108" i="3"/>
  <c r="AJ1109" i="3"/>
  <c r="AJ1110" i="3"/>
  <c r="AJ1111" i="3"/>
  <c r="AJ1112" i="3"/>
  <c r="AJ1113" i="3"/>
  <c r="AJ1114" i="3"/>
  <c r="AJ1115" i="3"/>
  <c r="AJ1116" i="3"/>
  <c r="AJ1117" i="3"/>
  <c r="AJ1118" i="3"/>
  <c r="AJ1119" i="3"/>
  <c r="AJ1120" i="3"/>
  <c r="AJ1121" i="3"/>
  <c r="AJ1122" i="3"/>
  <c r="AJ1123" i="3"/>
  <c r="AJ1124" i="3"/>
  <c r="AJ1125" i="3"/>
  <c r="AJ1126" i="3"/>
  <c r="AJ1127" i="3"/>
  <c r="AJ1128" i="3"/>
  <c r="AJ1129" i="3"/>
  <c r="AJ1130" i="3"/>
  <c r="AJ1131" i="3"/>
  <c r="AJ1132" i="3"/>
  <c r="AJ1133" i="3"/>
  <c r="AJ1134" i="3"/>
  <c r="AJ1135" i="3"/>
  <c r="AJ1136" i="3"/>
  <c r="AJ1137" i="3"/>
  <c r="AJ1138" i="3"/>
  <c r="AJ1139" i="3"/>
  <c r="AJ1140" i="3"/>
  <c r="AJ1141" i="3"/>
  <c r="AJ1142" i="3"/>
  <c r="AJ1143" i="3"/>
  <c r="AJ1144" i="3"/>
  <c r="AJ1145" i="3"/>
  <c r="AJ1146" i="3"/>
  <c r="AJ1147" i="3"/>
  <c r="AJ1148" i="3"/>
  <c r="AJ1149" i="3"/>
  <c r="AJ1150" i="3"/>
  <c r="AJ1151" i="3"/>
  <c r="AJ1152" i="3"/>
  <c r="AJ1153" i="3"/>
  <c r="AJ1154" i="3"/>
  <c r="AJ1155" i="3"/>
  <c r="AJ1156" i="3"/>
  <c r="AJ1157" i="3"/>
  <c r="AJ1158" i="3"/>
  <c r="AJ1159" i="3"/>
  <c r="AJ1160" i="3"/>
  <c r="AJ1161" i="3"/>
  <c r="AJ1162" i="3"/>
  <c r="AJ1163" i="3"/>
  <c r="AJ1164" i="3"/>
  <c r="AJ1165" i="3"/>
  <c r="AJ1166" i="3"/>
  <c r="AJ1167" i="3"/>
  <c r="AJ1168" i="3"/>
  <c r="AJ1169" i="3"/>
  <c r="AJ1170" i="3"/>
  <c r="AJ1171" i="3"/>
  <c r="AJ1172" i="3"/>
  <c r="AJ1173" i="3"/>
  <c r="AJ1174" i="3"/>
  <c r="AJ1175" i="3"/>
  <c r="AJ1176" i="3"/>
  <c r="AJ1177" i="3"/>
  <c r="AJ1178" i="3"/>
  <c r="AJ1179" i="3"/>
  <c r="AJ1180" i="3"/>
  <c r="AJ1181" i="3"/>
  <c r="AJ1182" i="3"/>
  <c r="AJ1183" i="3"/>
  <c r="AJ1184" i="3"/>
  <c r="AJ1185" i="3"/>
  <c r="AJ1186" i="3"/>
  <c r="AJ1187" i="3"/>
  <c r="AJ1188" i="3"/>
  <c r="AJ1189" i="3"/>
  <c r="AJ1190" i="3"/>
  <c r="AJ1191" i="3"/>
  <c r="AJ1192" i="3"/>
  <c r="AJ1193" i="3"/>
  <c r="AJ1194" i="3"/>
  <c r="AJ1195" i="3"/>
  <c r="AJ1196" i="3"/>
  <c r="AJ1197" i="3"/>
  <c r="AJ1198" i="3"/>
  <c r="AJ1199" i="3"/>
  <c r="AJ1200" i="3"/>
  <c r="AJ1201" i="3"/>
  <c r="AJ1202" i="3"/>
  <c r="AJ1203" i="3"/>
  <c r="AJ1204" i="3"/>
  <c r="AJ1205" i="3"/>
  <c r="AJ1206" i="3"/>
  <c r="AJ1207" i="3"/>
  <c r="AJ1208" i="3"/>
  <c r="AJ1209" i="3"/>
  <c r="AJ1210" i="3"/>
  <c r="AJ1211" i="3"/>
  <c r="AJ1212" i="3"/>
  <c r="AJ1213" i="3"/>
  <c r="AJ1214" i="3"/>
  <c r="AJ1215" i="3"/>
  <c r="AJ1216" i="3"/>
  <c r="AJ1217" i="3"/>
  <c r="AJ1218" i="3"/>
  <c r="AJ1219" i="3"/>
  <c r="AJ1220" i="3"/>
  <c r="AJ1221" i="3"/>
  <c r="AJ1222" i="3"/>
  <c r="AJ1223" i="3"/>
  <c r="AJ1224" i="3"/>
  <c r="AJ1225" i="3"/>
  <c r="AJ1226" i="3"/>
  <c r="AJ1227" i="3"/>
  <c r="AJ1228" i="3"/>
  <c r="AJ1229" i="3"/>
  <c r="AJ1230" i="3"/>
  <c r="AJ1231" i="3"/>
  <c r="AJ1232" i="3"/>
  <c r="AJ1233" i="3"/>
  <c r="AJ1234" i="3"/>
  <c r="AJ1235" i="3"/>
  <c r="AJ1236" i="3"/>
  <c r="AJ1237" i="3"/>
  <c r="AJ1238" i="3"/>
  <c r="AJ1239" i="3"/>
  <c r="AJ1240" i="3"/>
  <c r="AJ1241" i="3"/>
  <c r="AJ1242" i="3"/>
  <c r="AJ1243" i="3"/>
  <c r="AJ1244" i="3"/>
  <c r="AJ1245" i="3"/>
  <c r="AJ1246" i="3"/>
  <c r="AJ1247" i="3"/>
  <c r="AJ1248" i="3"/>
  <c r="AJ1249" i="3"/>
  <c r="AJ1250" i="3"/>
  <c r="AJ1251" i="3"/>
  <c r="AJ1252" i="3"/>
  <c r="AJ1253" i="3"/>
  <c r="AJ1254" i="3"/>
  <c r="AJ1255" i="3"/>
  <c r="AJ1256" i="3"/>
  <c r="AJ1257" i="3"/>
  <c r="AJ1258" i="3"/>
  <c r="AJ1259" i="3"/>
  <c r="AJ1260" i="3"/>
  <c r="AJ1261" i="3"/>
  <c r="AJ1262" i="3"/>
  <c r="AJ1263" i="3"/>
  <c r="AJ1264" i="3"/>
  <c r="AJ1265" i="3"/>
  <c r="AJ1266" i="3"/>
  <c r="AJ1267" i="3"/>
  <c r="AJ1268" i="3"/>
  <c r="AJ1269" i="3"/>
  <c r="AJ1270" i="3"/>
  <c r="AJ1271" i="3"/>
  <c r="AJ1272" i="3"/>
  <c r="AJ1273" i="3"/>
  <c r="AJ1274" i="3"/>
  <c r="AJ1275" i="3"/>
  <c r="AJ1276" i="3"/>
  <c r="AJ1277" i="3"/>
  <c r="AJ1278" i="3"/>
  <c r="AJ1279" i="3"/>
  <c r="AJ1280" i="3"/>
  <c r="AJ1281" i="3"/>
  <c r="AJ1282" i="3"/>
  <c r="AJ1283" i="3"/>
  <c r="AJ1284" i="3"/>
  <c r="AJ1285" i="3"/>
  <c r="AJ1286" i="3"/>
  <c r="AJ1287" i="3"/>
  <c r="AJ1288" i="3"/>
  <c r="AJ1289" i="3"/>
  <c r="AJ1290" i="3"/>
  <c r="AJ1291" i="3"/>
  <c r="AJ1292" i="3"/>
  <c r="AJ1293" i="3"/>
  <c r="AJ1294" i="3"/>
  <c r="AJ1295" i="3"/>
  <c r="AJ1296" i="3"/>
  <c r="AJ1297" i="3"/>
  <c r="AJ1298" i="3"/>
  <c r="AJ1299" i="3"/>
  <c r="AJ1300" i="3"/>
  <c r="AJ1301" i="3"/>
  <c r="AJ1302" i="3"/>
  <c r="AJ1303" i="3"/>
  <c r="AJ1304" i="3"/>
  <c r="AJ1305" i="3"/>
  <c r="AJ1306" i="3"/>
  <c r="AJ1307" i="3"/>
  <c r="AJ1308" i="3"/>
  <c r="AJ1309" i="3"/>
  <c r="AJ1310" i="3"/>
  <c r="AJ1311" i="3"/>
  <c r="AJ1312" i="3"/>
  <c r="AJ1313" i="3"/>
  <c r="AJ1314" i="3"/>
  <c r="AJ1315" i="3"/>
  <c r="AJ1316" i="3"/>
  <c r="AJ1317" i="3"/>
  <c r="AJ1318" i="3"/>
  <c r="AJ1319" i="3"/>
  <c r="AJ1320" i="3"/>
  <c r="AJ1321" i="3"/>
  <c r="AJ1322" i="3"/>
  <c r="AJ1323" i="3"/>
  <c r="AJ1324" i="3"/>
  <c r="AJ1325" i="3"/>
  <c r="AJ1326" i="3"/>
  <c r="AJ1327" i="3"/>
  <c r="AJ1328" i="3"/>
  <c r="AJ1329" i="3"/>
  <c r="AJ1330" i="3"/>
  <c r="AJ1331" i="3"/>
  <c r="AJ1332" i="3"/>
  <c r="AJ1333" i="3"/>
  <c r="AJ1334" i="3"/>
  <c r="AJ1335" i="3"/>
  <c r="AJ1336" i="3"/>
  <c r="AJ1337" i="3"/>
  <c r="AJ1338" i="3"/>
  <c r="AJ1339" i="3"/>
  <c r="AJ1340" i="3"/>
  <c r="AJ1341" i="3"/>
  <c r="AJ1342" i="3"/>
  <c r="AJ1343" i="3"/>
  <c r="AJ1344" i="3"/>
  <c r="AJ1345" i="3"/>
  <c r="AJ1346" i="3"/>
  <c r="AJ1347" i="3"/>
  <c r="AJ1348" i="3"/>
  <c r="AJ1349" i="3"/>
  <c r="AJ1350" i="3"/>
  <c r="AJ1351" i="3"/>
  <c r="AJ1352" i="3"/>
  <c r="AJ1353" i="3"/>
  <c r="AJ1354" i="3"/>
  <c r="AJ1355" i="3"/>
  <c r="AJ1356" i="3"/>
  <c r="AJ1357" i="3"/>
  <c r="AJ1358" i="3"/>
  <c r="AJ1359" i="3"/>
  <c r="AJ1360" i="3"/>
  <c r="AJ1361" i="3"/>
  <c r="AJ1362" i="3"/>
  <c r="AJ1363" i="3"/>
  <c r="AJ1364" i="3"/>
  <c r="AJ1365" i="3"/>
  <c r="AJ1366" i="3"/>
  <c r="AJ1367" i="3"/>
  <c r="AJ1368" i="3"/>
  <c r="AJ1369" i="3"/>
  <c r="AJ1370" i="3"/>
  <c r="AJ1371" i="3"/>
  <c r="AJ1372" i="3"/>
  <c r="AJ1373" i="3"/>
  <c r="AJ1374" i="3"/>
  <c r="AJ1375" i="3"/>
  <c r="AJ1376" i="3"/>
  <c r="AJ1377" i="3"/>
  <c r="AJ1378" i="3"/>
  <c r="AJ1379" i="3"/>
  <c r="AJ1380" i="3"/>
  <c r="AJ1381" i="3"/>
  <c r="AJ1382" i="3"/>
  <c r="AJ1383" i="3"/>
  <c r="AJ1384" i="3"/>
  <c r="AJ1385" i="3"/>
  <c r="AJ1386" i="3"/>
  <c r="AJ1387" i="3"/>
  <c r="AJ1388" i="3"/>
  <c r="AJ1389" i="3"/>
  <c r="AJ1390" i="3"/>
  <c r="AJ1391" i="3"/>
  <c r="AJ1392" i="3"/>
  <c r="AJ1393" i="3"/>
  <c r="AJ1394" i="3"/>
  <c r="AJ1395" i="3"/>
  <c r="AJ1396" i="3"/>
  <c r="AJ1397" i="3"/>
  <c r="AJ1398" i="3"/>
  <c r="AJ1399" i="3"/>
  <c r="AJ1400" i="3"/>
  <c r="AJ1401" i="3"/>
  <c r="AJ1402" i="3"/>
  <c r="AJ1403" i="3"/>
  <c r="AJ1404" i="3"/>
  <c r="AJ1405" i="3"/>
  <c r="AJ1406" i="3"/>
  <c r="AJ1407" i="3"/>
  <c r="AJ1408" i="3"/>
  <c r="AJ1409" i="3"/>
  <c r="AJ1410" i="3"/>
  <c r="AJ1411" i="3"/>
  <c r="AJ1412" i="3"/>
  <c r="AJ1413" i="3"/>
  <c r="AJ1414" i="3"/>
  <c r="AJ1415" i="3"/>
  <c r="AJ1416" i="3"/>
  <c r="AJ1417" i="3"/>
  <c r="AJ1418" i="3"/>
  <c r="AJ1419" i="3"/>
  <c r="AJ1420" i="3"/>
  <c r="AJ1421" i="3"/>
  <c r="AJ1422" i="3"/>
  <c r="AJ1423" i="3"/>
  <c r="AJ1424" i="3"/>
  <c r="AJ1425" i="3"/>
  <c r="AJ1426" i="3"/>
  <c r="AJ1427" i="3"/>
  <c r="AJ1428" i="3"/>
  <c r="AJ1429" i="3"/>
  <c r="AJ1430" i="3"/>
  <c r="AJ1431" i="3"/>
  <c r="AJ1432" i="3"/>
  <c r="AJ1433" i="3"/>
  <c r="AJ1434" i="3"/>
  <c r="AJ1435" i="3"/>
  <c r="AJ1436" i="3"/>
  <c r="AJ1437" i="3"/>
  <c r="AJ1438" i="3"/>
  <c r="AJ1439" i="3"/>
  <c r="AJ1440" i="3"/>
  <c r="AJ1441" i="3"/>
  <c r="AJ1442" i="3"/>
  <c r="AJ1443" i="3"/>
  <c r="AJ1444" i="3"/>
  <c r="AJ1445" i="3"/>
  <c r="AJ1446" i="3"/>
  <c r="AJ1447" i="3"/>
  <c r="AJ1448" i="3"/>
  <c r="AJ1449" i="3"/>
  <c r="AJ1450" i="3"/>
  <c r="AJ1451" i="3"/>
  <c r="AJ1452" i="3"/>
  <c r="AJ1453" i="3"/>
  <c r="AJ1454" i="3"/>
  <c r="AJ1455" i="3"/>
  <c r="AJ1456" i="3"/>
  <c r="AJ1457" i="3"/>
  <c r="AJ1458" i="3"/>
  <c r="AJ1459" i="3"/>
  <c r="AJ1460" i="3"/>
  <c r="AJ1461" i="3"/>
  <c r="AJ1462" i="3"/>
  <c r="AJ1463" i="3"/>
  <c r="AJ1464" i="3"/>
  <c r="AJ1465" i="3"/>
  <c r="AJ1466" i="3"/>
  <c r="AJ1467" i="3"/>
  <c r="AJ1468" i="3"/>
  <c r="AJ1469" i="3"/>
  <c r="AJ1470" i="3"/>
  <c r="AJ1471" i="3"/>
  <c r="AJ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922" i="3"/>
  <c r="AI923" i="3"/>
  <c r="AI924" i="3"/>
  <c r="AI925" i="3"/>
  <c r="AI926" i="3"/>
  <c r="AI927" i="3"/>
  <c r="AI928" i="3"/>
  <c r="AI929" i="3"/>
  <c r="AI930" i="3"/>
  <c r="AI931" i="3"/>
  <c r="AI932" i="3"/>
  <c r="AI933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I950" i="3"/>
  <c r="AI951" i="3"/>
  <c r="AI952" i="3"/>
  <c r="AI953" i="3"/>
  <c r="AI954" i="3"/>
  <c r="AI955" i="3"/>
  <c r="AI956" i="3"/>
  <c r="AI957" i="3"/>
  <c r="AI958" i="3"/>
  <c r="AI959" i="3"/>
  <c r="AI960" i="3"/>
  <c r="AI961" i="3"/>
  <c r="AI962" i="3"/>
  <c r="AI963" i="3"/>
  <c r="AI964" i="3"/>
  <c r="AI965" i="3"/>
  <c r="AI966" i="3"/>
  <c r="AI967" i="3"/>
  <c r="AI968" i="3"/>
  <c r="AI969" i="3"/>
  <c r="AI970" i="3"/>
  <c r="AI971" i="3"/>
  <c r="AI972" i="3"/>
  <c r="AI973" i="3"/>
  <c r="AI974" i="3"/>
  <c r="AI975" i="3"/>
  <c r="AI976" i="3"/>
  <c r="AI977" i="3"/>
  <c r="AI978" i="3"/>
  <c r="AI979" i="3"/>
  <c r="AI980" i="3"/>
  <c r="AI981" i="3"/>
  <c r="AI982" i="3"/>
  <c r="AI983" i="3"/>
  <c r="AI984" i="3"/>
  <c r="AI985" i="3"/>
  <c r="AI986" i="3"/>
  <c r="AI987" i="3"/>
  <c r="AI988" i="3"/>
  <c r="AI989" i="3"/>
  <c r="AI990" i="3"/>
  <c r="AI991" i="3"/>
  <c r="AI992" i="3"/>
  <c r="AI993" i="3"/>
  <c r="AI994" i="3"/>
  <c r="AI995" i="3"/>
  <c r="AI996" i="3"/>
  <c r="AI997" i="3"/>
  <c r="AI998" i="3"/>
  <c r="AI999" i="3"/>
  <c r="AI1000" i="3"/>
  <c r="AI1001" i="3"/>
  <c r="AI1002" i="3"/>
  <c r="AI1003" i="3"/>
  <c r="AI1004" i="3"/>
  <c r="AI1005" i="3"/>
  <c r="AI1006" i="3"/>
  <c r="AI1007" i="3"/>
  <c r="AI1008" i="3"/>
  <c r="AI1009" i="3"/>
  <c r="AI1010" i="3"/>
  <c r="AI1011" i="3"/>
  <c r="AI1012" i="3"/>
  <c r="AI1013" i="3"/>
  <c r="AI1014" i="3"/>
  <c r="AI1015" i="3"/>
  <c r="AI1016" i="3"/>
  <c r="AI1017" i="3"/>
  <c r="AI1018" i="3"/>
  <c r="AI1019" i="3"/>
  <c r="AI1020" i="3"/>
  <c r="AI1021" i="3"/>
  <c r="AI1022" i="3"/>
  <c r="AI1023" i="3"/>
  <c r="AI1024" i="3"/>
  <c r="AI1025" i="3"/>
  <c r="AI1026" i="3"/>
  <c r="AI1027" i="3"/>
  <c r="AI1028" i="3"/>
  <c r="AI1029" i="3"/>
  <c r="AI1030" i="3"/>
  <c r="AI1031" i="3"/>
  <c r="AI1032" i="3"/>
  <c r="AI1033" i="3"/>
  <c r="AI1034" i="3"/>
  <c r="AI1035" i="3"/>
  <c r="AI1036" i="3"/>
  <c r="AI1037" i="3"/>
  <c r="AI1038" i="3"/>
  <c r="AI1039" i="3"/>
  <c r="AI1040" i="3"/>
  <c r="AI1041" i="3"/>
  <c r="AI1042" i="3"/>
  <c r="AI1043" i="3"/>
  <c r="AI1044" i="3"/>
  <c r="AI1045" i="3"/>
  <c r="AI1046" i="3"/>
  <c r="AI1047" i="3"/>
  <c r="AI1048" i="3"/>
  <c r="AI1049" i="3"/>
  <c r="AI1050" i="3"/>
  <c r="AI1051" i="3"/>
  <c r="AI1052" i="3"/>
  <c r="AI1053" i="3"/>
  <c r="AI1054" i="3"/>
  <c r="AI1055" i="3"/>
  <c r="AI1056" i="3"/>
  <c r="AI1057" i="3"/>
  <c r="AI1058" i="3"/>
  <c r="AI1059" i="3"/>
  <c r="AI1060" i="3"/>
  <c r="AI1061" i="3"/>
  <c r="AI1062" i="3"/>
  <c r="AI1063" i="3"/>
  <c r="AI1064" i="3"/>
  <c r="AI1065" i="3"/>
  <c r="AI1066" i="3"/>
  <c r="AI1067" i="3"/>
  <c r="AI1068" i="3"/>
  <c r="AI1069" i="3"/>
  <c r="AI1070" i="3"/>
  <c r="AI1071" i="3"/>
  <c r="AI1072" i="3"/>
  <c r="AI1073" i="3"/>
  <c r="AI1074" i="3"/>
  <c r="AI1075" i="3"/>
  <c r="AI1076" i="3"/>
  <c r="AI1077" i="3"/>
  <c r="AI1078" i="3"/>
  <c r="AI1079" i="3"/>
  <c r="AI1080" i="3"/>
  <c r="AI1081" i="3"/>
  <c r="AI1082" i="3"/>
  <c r="AI1083" i="3"/>
  <c r="AI1084" i="3"/>
  <c r="AI1085" i="3"/>
  <c r="AI1086" i="3"/>
  <c r="AI1087" i="3"/>
  <c r="AI1088" i="3"/>
  <c r="AI1089" i="3"/>
  <c r="AI1090" i="3"/>
  <c r="AI1091" i="3"/>
  <c r="AI1092" i="3"/>
  <c r="AI1093" i="3"/>
  <c r="AI1094" i="3"/>
  <c r="AI1095" i="3"/>
  <c r="AI1096" i="3"/>
  <c r="AI1097" i="3"/>
  <c r="AI1098" i="3"/>
  <c r="AI1099" i="3"/>
  <c r="AI1100" i="3"/>
  <c r="AI1101" i="3"/>
  <c r="AI1102" i="3"/>
  <c r="AI1103" i="3"/>
  <c r="AI1104" i="3"/>
  <c r="AI1105" i="3"/>
  <c r="AI1106" i="3"/>
  <c r="AI1107" i="3"/>
  <c r="AI1108" i="3"/>
  <c r="AI1109" i="3"/>
  <c r="AI1110" i="3"/>
  <c r="AI1111" i="3"/>
  <c r="AI1112" i="3"/>
  <c r="AI1113" i="3"/>
  <c r="AI1114" i="3"/>
  <c r="AI1115" i="3"/>
  <c r="AI1116" i="3"/>
  <c r="AI1117" i="3"/>
  <c r="AI1118" i="3"/>
  <c r="AI1119" i="3"/>
  <c r="AI1120" i="3"/>
  <c r="AI1121" i="3"/>
  <c r="AI1122" i="3"/>
  <c r="AI1123" i="3"/>
  <c r="AI1124" i="3"/>
  <c r="AI1125" i="3"/>
  <c r="AI1126" i="3"/>
  <c r="AI1127" i="3"/>
  <c r="AI1128" i="3"/>
  <c r="AI1129" i="3"/>
  <c r="AI1130" i="3"/>
  <c r="AI1131" i="3"/>
  <c r="AI1132" i="3"/>
  <c r="AI1133" i="3"/>
  <c r="AI1134" i="3"/>
  <c r="AI1135" i="3"/>
  <c r="AI1136" i="3"/>
  <c r="AI1137" i="3"/>
  <c r="AI1138" i="3"/>
  <c r="AI1139" i="3"/>
  <c r="AI1140" i="3"/>
  <c r="AI1141" i="3"/>
  <c r="AI1142" i="3"/>
  <c r="AI1143" i="3"/>
  <c r="AI1144" i="3"/>
  <c r="AI1145" i="3"/>
  <c r="AI1146" i="3"/>
  <c r="AI1147" i="3"/>
  <c r="AI1148" i="3"/>
  <c r="AI1149" i="3"/>
  <c r="AI1150" i="3"/>
  <c r="AI1151" i="3"/>
  <c r="AI1152" i="3"/>
  <c r="AI1153" i="3"/>
  <c r="AI1154" i="3"/>
  <c r="AI1155" i="3"/>
  <c r="AI1156" i="3"/>
  <c r="AI1157" i="3"/>
  <c r="AI1158" i="3"/>
  <c r="AI1159" i="3"/>
  <c r="AI1160" i="3"/>
  <c r="AI1161" i="3"/>
  <c r="AI1162" i="3"/>
  <c r="AI1163" i="3"/>
  <c r="AI1164" i="3"/>
  <c r="AI1165" i="3"/>
  <c r="AI1166" i="3"/>
  <c r="AI1167" i="3"/>
  <c r="AI1168" i="3"/>
  <c r="AI1169" i="3"/>
  <c r="AI1170" i="3"/>
  <c r="AI1171" i="3"/>
  <c r="AI1172" i="3"/>
  <c r="AI1173" i="3"/>
  <c r="AI1174" i="3"/>
  <c r="AI1175" i="3"/>
  <c r="AI1176" i="3"/>
  <c r="AI1177" i="3"/>
  <c r="AI1178" i="3"/>
  <c r="AI1179" i="3"/>
  <c r="AI1180" i="3"/>
  <c r="AI1181" i="3"/>
  <c r="AI1182" i="3"/>
  <c r="AI1183" i="3"/>
  <c r="AI1184" i="3"/>
  <c r="AI1185" i="3"/>
  <c r="AI1186" i="3"/>
  <c r="AI1187" i="3"/>
  <c r="AI1188" i="3"/>
  <c r="AI1189" i="3"/>
  <c r="AI1190" i="3"/>
  <c r="AI1191" i="3"/>
  <c r="AI1192" i="3"/>
  <c r="AI1193" i="3"/>
  <c r="AI1194" i="3"/>
  <c r="AI1195" i="3"/>
  <c r="AI1196" i="3"/>
  <c r="AI1197" i="3"/>
  <c r="AI1198" i="3"/>
  <c r="AI1199" i="3"/>
  <c r="AI1200" i="3"/>
  <c r="AI1201" i="3"/>
  <c r="AI1202" i="3"/>
  <c r="AI1203" i="3"/>
  <c r="AI1204" i="3"/>
  <c r="AI1205" i="3"/>
  <c r="AI1206" i="3"/>
  <c r="AI1207" i="3"/>
  <c r="AI1208" i="3"/>
  <c r="AI1209" i="3"/>
  <c r="AI1210" i="3"/>
  <c r="AI1211" i="3"/>
  <c r="AI1212" i="3"/>
  <c r="AI1213" i="3"/>
  <c r="AI1214" i="3"/>
  <c r="AI1215" i="3"/>
  <c r="AI1216" i="3"/>
  <c r="AI1217" i="3"/>
  <c r="AI1218" i="3"/>
  <c r="AI1219" i="3"/>
  <c r="AI1220" i="3"/>
  <c r="AI1221" i="3"/>
  <c r="AI1222" i="3"/>
  <c r="AI1223" i="3"/>
  <c r="AI1224" i="3"/>
  <c r="AI1225" i="3"/>
  <c r="AI1226" i="3"/>
  <c r="AI1227" i="3"/>
  <c r="AI1228" i="3"/>
  <c r="AI1229" i="3"/>
  <c r="AI1230" i="3"/>
  <c r="AI1231" i="3"/>
  <c r="AI1232" i="3"/>
  <c r="AI1233" i="3"/>
  <c r="AI1234" i="3"/>
  <c r="AI1235" i="3"/>
  <c r="AI1236" i="3"/>
  <c r="AI1237" i="3"/>
  <c r="AI1238" i="3"/>
  <c r="AI1239" i="3"/>
  <c r="AI1240" i="3"/>
  <c r="AI1241" i="3"/>
  <c r="AI1242" i="3"/>
  <c r="AI1243" i="3"/>
  <c r="AI1244" i="3"/>
  <c r="AI1245" i="3"/>
  <c r="AI1246" i="3"/>
  <c r="AI1247" i="3"/>
  <c r="AI1248" i="3"/>
  <c r="AI1249" i="3"/>
  <c r="AI1250" i="3"/>
  <c r="AI1251" i="3"/>
  <c r="AI1252" i="3"/>
  <c r="AI1253" i="3"/>
  <c r="AI1254" i="3"/>
  <c r="AI1255" i="3"/>
  <c r="AI1256" i="3"/>
  <c r="AI1257" i="3"/>
  <c r="AI1258" i="3"/>
  <c r="AI1259" i="3"/>
  <c r="AI1260" i="3"/>
  <c r="AI1261" i="3"/>
  <c r="AI1262" i="3"/>
  <c r="AI1263" i="3"/>
  <c r="AI1264" i="3"/>
  <c r="AI1265" i="3"/>
  <c r="AI1266" i="3"/>
  <c r="AI1267" i="3"/>
  <c r="AI1268" i="3"/>
  <c r="AI1269" i="3"/>
  <c r="AI1270" i="3"/>
  <c r="AI1271" i="3"/>
  <c r="AI1272" i="3"/>
  <c r="AI1273" i="3"/>
  <c r="AI1274" i="3"/>
  <c r="AI1275" i="3"/>
  <c r="AI1276" i="3"/>
  <c r="AI1277" i="3"/>
  <c r="AI1278" i="3"/>
  <c r="AI1279" i="3"/>
  <c r="AI1280" i="3"/>
  <c r="AI1281" i="3"/>
  <c r="AI1282" i="3"/>
  <c r="AI1283" i="3"/>
  <c r="AI1284" i="3"/>
  <c r="AI1285" i="3"/>
  <c r="AI1286" i="3"/>
  <c r="AI1287" i="3"/>
  <c r="AI1288" i="3"/>
  <c r="AI1289" i="3"/>
  <c r="AI1290" i="3"/>
  <c r="AI1291" i="3"/>
  <c r="AI1292" i="3"/>
  <c r="AI1293" i="3"/>
  <c r="AI1294" i="3"/>
  <c r="AI1295" i="3"/>
  <c r="AI1296" i="3"/>
  <c r="AI1297" i="3"/>
  <c r="AI1298" i="3"/>
  <c r="AI1299" i="3"/>
  <c r="AI1300" i="3"/>
  <c r="AI1301" i="3"/>
  <c r="AI1302" i="3"/>
  <c r="AI1303" i="3"/>
  <c r="AI1304" i="3"/>
  <c r="AI1305" i="3"/>
  <c r="AI1306" i="3"/>
  <c r="AI1307" i="3"/>
  <c r="AI1308" i="3"/>
  <c r="AI1309" i="3"/>
  <c r="AI1310" i="3"/>
  <c r="AI1311" i="3"/>
  <c r="AI1312" i="3"/>
  <c r="AI1313" i="3"/>
  <c r="AI1314" i="3"/>
  <c r="AI1315" i="3"/>
  <c r="AI1316" i="3"/>
  <c r="AI1317" i="3"/>
  <c r="AI1318" i="3"/>
  <c r="AI1319" i="3"/>
  <c r="AI1320" i="3"/>
  <c r="AI1321" i="3"/>
  <c r="AI1322" i="3"/>
  <c r="AI1323" i="3"/>
  <c r="AI1324" i="3"/>
  <c r="AI1325" i="3"/>
  <c r="AI1326" i="3"/>
  <c r="AI1327" i="3"/>
  <c r="AI1328" i="3"/>
  <c r="AI1329" i="3"/>
  <c r="AI1330" i="3"/>
  <c r="AI1331" i="3"/>
  <c r="AI1332" i="3"/>
  <c r="AI1333" i="3"/>
  <c r="AI1334" i="3"/>
  <c r="AI1335" i="3"/>
  <c r="AI1336" i="3"/>
  <c r="AI1337" i="3"/>
  <c r="AI1338" i="3"/>
  <c r="AI1339" i="3"/>
  <c r="AI1340" i="3"/>
  <c r="AI1341" i="3"/>
  <c r="AI1342" i="3"/>
  <c r="AI1343" i="3"/>
  <c r="AI1344" i="3"/>
  <c r="AI1345" i="3"/>
  <c r="AI1346" i="3"/>
  <c r="AI1347" i="3"/>
  <c r="AI1348" i="3"/>
  <c r="AI1349" i="3"/>
  <c r="AI1350" i="3"/>
  <c r="AI1351" i="3"/>
  <c r="AI1352" i="3"/>
  <c r="AI1353" i="3"/>
  <c r="AI1354" i="3"/>
  <c r="AI1355" i="3"/>
  <c r="AI1356" i="3"/>
  <c r="AI1357" i="3"/>
  <c r="AI1358" i="3"/>
  <c r="AI1359" i="3"/>
  <c r="AI1360" i="3"/>
  <c r="AI1361" i="3"/>
  <c r="AI1362" i="3"/>
  <c r="AI1363" i="3"/>
  <c r="AI1364" i="3"/>
  <c r="AI1365" i="3"/>
  <c r="AI1366" i="3"/>
  <c r="AI1367" i="3"/>
  <c r="AI1368" i="3"/>
  <c r="AI1369" i="3"/>
  <c r="AI1370" i="3"/>
  <c r="AI1371" i="3"/>
  <c r="AI1372" i="3"/>
  <c r="AI1373" i="3"/>
  <c r="AI1374" i="3"/>
  <c r="AI1375" i="3"/>
  <c r="AI1376" i="3"/>
  <c r="AI1377" i="3"/>
  <c r="AI1378" i="3"/>
  <c r="AI1379" i="3"/>
  <c r="AI1380" i="3"/>
  <c r="AI1381" i="3"/>
  <c r="AI1382" i="3"/>
  <c r="AI1383" i="3"/>
  <c r="AI1384" i="3"/>
  <c r="AI1385" i="3"/>
  <c r="AI1386" i="3"/>
  <c r="AI1387" i="3"/>
  <c r="AI1388" i="3"/>
  <c r="AI1389" i="3"/>
  <c r="AI1390" i="3"/>
  <c r="AI1391" i="3"/>
  <c r="AI1392" i="3"/>
  <c r="AI1393" i="3"/>
  <c r="AI1394" i="3"/>
  <c r="AI1395" i="3"/>
  <c r="AI1396" i="3"/>
  <c r="AI1397" i="3"/>
  <c r="AI1398" i="3"/>
  <c r="AI1399" i="3"/>
  <c r="AI1400" i="3"/>
  <c r="AI1401" i="3"/>
  <c r="AI1402" i="3"/>
  <c r="AI1403" i="3"/>
  <c r="AI1404" i="3"/>
  <c r="AI1405" i="3"/>
  <c r="AI1406" i="3"/>
  <c r="AI1407" i="3"/>
  <c r="AI1408" i="3"/>
  <c r="AI1409" i="3"/>
  <c r="AI1410" i="3"/>
  <c r="AI1411" i="3"/>
  <c r="AI1412" i="3"/>
  <c r="AI1413" i="3"/>
  <c r="AI1414" i="3"/>
  <c r="AI1415" i="3"/>
  <c r="AI1416" i="3"/>
  <c r="AI1417" i="3"/>
  <c r="AI1418" i="3"/>
  <c r="AI1419" i="3"/>
  <c r="AI1420" i="3"/>
  <c r="AI1421" i="3"/>
  <c r="AI1422" i="3"/>
  <c r="AI1423" i="3"/>
  <c r="AI1424" i="3"/>
  <c r="AI1425" i="3"/>
  <c r="AI1426" i="3"/>
  <c r="AI1427" i="3"/>
  <c r="AI1428" i="3"/>
  <c r="AI1429" i="3"/>
  <c r="AI1430" i="3"/>
  <c r="AI1431" i="3"/>
  <c r="AI1432" i="3"/>
  <c r="AI1433" i="3"/>
  <c r="AI1434" i="3"/>
  <c r="AI1435" i="3"/>
  <c r="AI1436" i="3"/>
  <c r="AI1437" i="3"/>
  <c r="AI1438" i="3"/>
  <c r="AI1439" i="3"/>
  <c r="AI1440" i="3"/>
  <c r="AI1441" i="3"/>
  <c r="AI1442" i="3"/>
  <c r="AI1443" i="3"/>
  <c r="AI1444" i="3"/>
  <c r="AI1445" i="3"/>
  <c r="AI1446" i="3"/>
  <c r="AI1447" i="3"/>
  <c r="AI1448" i="3"/>
  <c r="AI1449" i="3"/>
  <c r="AI1450" i="3"/>
  <c r="AI1451" i="3"/>
  <c r="AI1452" i="3"/>
  <c r="AI1453" i="3"/>
  <c r="AI1454" i="3"/>
  <c r="AI1455" i="3"/>
  <c r="AI1456" i="3"/>
  <c r="AI1457" i="3"/>
  <c r="AI1458" i="3"/>
  <c r="AI1459" i="3"/>
  <c r="AI1460" i="3"/>
  <c r="AI1461" i="3"/>
  <c r="AI1462" i="3"/>
  <c r="AI1463" i="3"/>
  <c r="AI1464" i="3"/>
  <c r="AI1465" i="3"/>
  <c r="AI1466" i="3"/>
  <c r="AI1467" i="3"/>
  <c r="AI1468" i="3"/>
  <c r="AI1469" i="3"/>
  <c r="AI1470" i="3"/>
  <c r="AI1471" i="3"/>
  <c r="AI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H850" i="3"/>
  <c r="AH851" i="3"/>
  <c r="AH852" i="3"/>
  <c r="AH853" i="3"/>
  <c r="AH854" i="3"/>
  <c r="AH855" i="3"/>
  <c r="AH856" i="3"/>
  <c r="AH857" i="3"/>
  <c r="AH858" i="3"/>
  <c r="AH859" i="3"/>
  <c r="AH860" i="3"/>
  <c r="AH861" i="3"/>
  <c r="AH862" i="3"/>
  <c r="AH863" i="3"/>
  <c r="AH864" i="3"/>
  <c r="AH865" i="3"/>
  <c r="AH866" i="3"/>
  <c r="AH867" i="3"/>
  <c r="AH868" i="3"/>
  <c r="AH869" i="3"/>
  <c r="AH870" i="3"/>
  <c r="AH871" i="3"/>
  <c r="AH872" i="3"/>
  <c r="AH873" i="3"/>
  <c r="AH874" i="3"/>
  <c r="AH875" i="3"/>
  <c r="AH876" i="3"/>
  <c r="AH877" i="3"/>
  <c r="AH878" i="3"/>
  <c r="AH879" i="3"/>
  <c r="AH880" i="3"/>
  <c r="AH881" i="3"/>
  <c r="AH882" i="3"/>
  <c r="AH883" i="3"/>
  <c r="AH884" i="3"/>
  <c r="AH885" i="3"/>
  <c r="AH886" i="3"/>
  <c r="AH887" i="3"/>
  <c r="AH888" i="3"/>
  <c r="AH889" i="3"/>
  <c r="AH890" i="3"/>
  <c r="AH891" i="3"/>
  <c r="AH892" i="3"/>
  <c r="AH893" i="3"/>
  <c r="AH894" i="3"/>
  <c r="AH895" i="3"/>
  <c r="AH896" i="3"/>
  <c r="AH897" i="3"/>
  <c r="AH898" i="3"/>
  <c r="AH899" i="3"/>
  <c r="AH900" i="3"/>
  <c r="AH901" i="3"/>
  <c r="AH902" i="3"/>
  <c r="AH903" i="3"/>
  <c r="AH904" i="3"/>
  <c r="AH905" i="3"/>
  <c r="AH906" i="3"/>
  <c r="AH907" i="3"/>
  <c r="AH908" i="3"/>
  <c r="AH909" i="3"/>
  <c r="AH910" i="3"/>
  <c r="AH911" i="3"/>
  <c r="AH912" i="3"/>
  <c r="AH913" i="3"/>
  <c r="AH914" i="3"/>
  <c r="AH915" i="3"/>
  <c r="AH916" i="3"/>
  <c r="AH917" i="3"/>
  <c r="AH918" i="3"/>
  <c r="AH919" i="3"/>
  <c r="AH920" i="3"/>
  <c r="AH921" i="3"/>
  <c r="AH922" i="3"/>
  <c r="AH923" i="3"/>
  <c r="AH924" i="3"/>
  <c r="AH925" i="3"/>
  <c r="AH926" i="3"/>
  <c r="AH927" i="3"/>
  <c r="AH928" i="3"/>
  <c r="AH929" i="3"/>
  <c r="AH930" i="3"/>
  <c r="AH931" i="3"/>
  <c r="AH932" i="3"/>
  <c r="AH933" i="3"/>
  <c r="AH934" i="3"/>
  <c r="AH935" i="3"/>
  <c r="AH936" i="3"/>
  <c r="AH937" i="3"/>
  <c r="AH938" i="3"/>
  <c r="AH939" i="3"/>
  <c r="AH940" i="3"/>
  <c r="AH941" i="3"/>
  <c r="AH942" i="3"/>
  <c r="AH943" i="3"/>
  <c r="AH944" i="3"/>
  <c r="AH945" i="3"/>
  <c r="AH946" i="3"/>
  <c r="AH947" i="3"/>
  <c r="AH948" i="3"/>
  <c r="AH949" i="3"/>
  <c r="AH950" i="3"/>
  <c r="AH951" i="3"/>
  <c r="AH952" i="3"/>
  <c r="AH953" i="3"/>
  <c r="AH954" i="3"/>
  <c r="AH955" i="3"/>
  <c r="AH956" i="3"/>
  <c r="AH957" i="3"/>
  <c r="AH958" i="3"/>
  <c r="AH959" i="3"/>
  <c r="AH960" i="3"/>
  <c r="AH961" i="3"/>
  <c r="AH962" i="3"/>
  <c r="AH963" i="3"/>
  <c r="AH964" i="3"/>
  <c r="AH965" i="3"/>
  <c r="AH966" i="3"/>
  <c r="AH967" i="3"/>
  <c r="AH968" i="3"/>
  <c r="AH969" i="3"/>
  <c r="AH970" i="3"/>
  <c r="AH971" i="3"/>
  <c r="AH972" i="3"/>
  <c r="AH973" i="3"/>
  <c r="AH974" i="3"/>
  <c r="AH975" i="3"/>
  <c r="AH976" i="3"/>
  <c r="AH977" i="3"/>
  <c r="AH978" i="3"/>
  <c r="AH979" i="3"/>
  <c r="AH980" i="3"/>
  <c r="AH981" i="3"/>
  <c r="AH982" i="3"/>
  <c r="AH983" i="3"/>
  <c r="AH984" i="3"/>
  <c r="AH985" i="3"/>
  <c r="AH986" i="3"/>
  <c r="AH987" i="3"/>
  <c r="AH988" i="3"/>
  <c r="AH989" i="3"/>
  <c r="AH990" i="3"/>
  <c r="AH991" i="3"/>
  <c r="AH992" i="3"/>
  <c r="AH993" i="3"/>
  <c r="AH994" i="3"/>
  <c r="AH995" i="3"/>
  <c r="AH996" i="3"/>
  <c r="AH997" i="3"/>
  <c r="AH998" i="3"/>
  <c r="AH999" i="3"/>
  <c r="AH1000" i="3"/>
  <c r="AH1001" i="3"/>
  <c r="AH1002" i="3"/>
  <c r="AH1003" i="3"/>
  <c r="AH1004" i="3"/>
  <c r="AH1005" i="3"/>
  <c r="AH1006" i="3"/>
  <c r="AH1007" i="3"/>
  <c r="AH1008" i="3"/>
  <c r="AH1009" i="3"/>
  <c r="AH1010" i="3"/>
  <c r="AH1011" i="3"/>
  <c r="AH1012" i="3"/>
  <c r="AH1013" i="3"/>
  <c r="AH1014" i="3"/>
  <c r="AH1015" i="3"/>
  <c r="AH1016" i="3"/>
  <c r="AH1017" i="3"/>
  <c r="AH1018" i="3"/>
  <c r="AH1019" i="3"/>
  <c r="AH1020" i="3"/>
  <c r="AH1021" i="3"/>
  <c r="AH1022" i="3"/>
  <c r="AH1023" i="3"/>
  <c r="AH1024" i="3"/>
  <c r="AH1025" i="3"/>
  <c r="AH1026" i="3"/>
  <c r="AH1027" i="3"/>
  <c r="AH1028" i="3"/>
  <c r="AH1029" i="3"/>
  <c r="AH1030" i="3"/>
  <c r="AH1031" i="3"/>
  <c r="AH1032" i="3"/>
  <c r="AH1033" i="3"/>
  <c r="AH1034" i="3"/>
  <c r="AH1035" i="3"/>
  <c r="AH1036" i="3"/>
  <c r="AH1037" i="3"/>
  <c r="AH1038" i="3"/>
  <c r="AH1039" i="3"/>
  <c r="AH1040" i="3"/>
  <c r="AH1041" i="3"/>
  <c r="AH1042" i="3"/>
  <c r="AH1043" i="3"/>
  <c r="AH1044" i="3"/>
  <c r="AH1045" i="3"/>
  <c r="AH1046" i="3"/>
  <c r="AH1047" i="3"/>
  <c r="AH1048" i="3"/>
  <c r="AH1049" i="3"/>
  <c r="AH1050" i="3"/>
  <c r="AH1051" i="3"/>
  <c r="AH1052" i="3"/>
  <c r="AH1053" i="3"/>
  <c r="AH1054" i="3"/>
  <c r="AH1055" i="3"/>
  <c r="AH1056" i="3"/>
  <c r="AH1057" i="3"/>
  <c r="AH1058" i="3"/>
  <c r="AH1059" i="3"/>
  <c r="AH1060" i="3"/>
  <c r="AH1061" i="3"/>
  <c r="AH1062" i="3"/>
  <c r="AH1063" i="3"/>
  <c r="AH1064" i="3"/>
  <c r="AH1065" i="3"/>
  <c r="AH1066" i="3"/>
  <c r="AH1067" i="3"/>
  <c r="AH1068" i="3"/>
  <c r="AH1069" i="3"/>
  <c r="AH1070" i="3"/>
  <c r="AH1071" i="3"/>
  <c r="AH1072" i="3"/>
  <c r="AH1073" i="3"/>
  <c r="AH1074" i="3"/>
  <c r="AH1075" i="3"/>
  <c r="AH1076" i="3"/>
  <c r="AH1077" i="3"/>
  <c r="AH1078" i="3"/>
  <c r="AH1079" i="3"/>
  <c r="AH1080" i="3"/>
  <c r="AH1081" i="3"/>
  <c r="AH1082" i="3"/>
  <c r="AH1083" i="3"/>
  <c r="AH1084" i="3"/>
  <c r="AH1085" i="3"/>
  <c r="AH1086" i="3"/>
  <c r="AH1087" i="3"/>
  <c r="AH1088" i="3"/>
  <c r="AH1089" i="3"/>
  <c r="AH1090" i="3"/>
  <c r="AH1091" i="3"/>
  <c r="AH1092" i="3"/>
  <c r="AH1093" i="3"/>
  <c r="AH1094" i="3"/>
  <c r="AH1095" i="3"/>
  <c r="AH1096" i="3"/>
  <c r="AH1097" i="3"/>
  <c r="AH1098" i="3"/>
  <c r="AH1099" i="3"/>
  <c r="AH1100" i="3"/>
  <c r="AH1101" i="3"/>
  <c r="AH1102" i="3"/>
  <c r="AH1103" i="3"/>
  <c r="AH1104" i="3"/>
  <c r="AH1105" i="3"/>
  <c r="AH1106" i="3"/>
  <c r="AH1107" i="3"/>
  <c r="AH1108" i="3"/>
  <c r="AH1109" i="3"/>
  <c r="AH1110" i="3"/>
  <c r="AH1111" i="3"/>
  <c r="AH1112" i="3"/>
  <c r="AH1113" i="3"/>
  <c r="AH1114" i="3"/>
  <c r="AH1115" i="3"/>
  <c r="AH1116" i="3"/>
  <c r="AH1117" i="3"/>
  <c r="AH1118" i="3"/>
  <c r="AH1119" i="3"/>
  <c r="AH1120" i="3"/>
  <c r="AH1121" i="3"/>
  <c r="AH1122" i="3"/>
  <c r="AH1123" i="3"/>
  <c r="AH1124" i="3"/>
  <c r="AH1125" i="3"/>
  <c r="AH1126" i="3"/>
  <c r="AH1127" i="3"/>
  <c r="AH1128" i="3"/>
  <c r="AH1129" i="3"/>
  <c r="AH1130" i="3"/>
  <c r="AH1131" i="3"/>
  <c r="AH1132" i="3"/>
  <c r="AH1133" i="3"/>
  <c r="AH1134" i="3"/>
  <c r="AH1135" i="3"/>
  <c r="AH1136" i="3"/>
  <c r="AH1137" i="3"/>
  <c r="AH1138" i="3"/>
  <c r="AH1139" i="3"/>
  <c r="AH1140" i="3"/>
  <c r="AH1141" i="3"/>
  <c r="AH1142" i="3"/>
  <c r="AH1143" i="3"/>
  <c r="AH1144" i="3"/>
  <c r="AH1145" i="3"/>
  <c r="AH1146" i="3"/>
  <c r="AH1147" i="3"/>
  <c r="AH1148" i="3"/>
  <c r="AH1149" i="3"/>
  <c r="AH1150" i="3"/>
  <c r="AH1151" i="3"/>
  <c r="AH1152" i="3"/>
  <c r="AH1153" i="3"/>
  <c r="AH1154" i="3"/>
  <c r="AH1155" i="3"/>
  <c r="AH1156" i="3"/>
  <c r="AH1157" i="3"/>
  <c r="AH1158" i="3"/>
  <c r="AH1159" i="3"/>
  <c r="AH1160" i="3"/>
  <c r="AH1161" i="3"/>
  <c r="AH1162" i="3"/>
  <c r="AH1163" i="3"/>
  <c r="AH1164" i="3"/>
  <c r="AH1165" i="3"/>
  <c r="AH1166" i="3"/>
  <c r="AH1167" i="3"/>
  <c r="AH1168" i="3"/>
  <c r="AH1169" i="3"/>
  <c r="AH1170" i="3"/>
  <c r="AH1171" i="3"/>
  <c r="AH1172" i="3"/>
  <c r="AH1173" i="3"/>
  <c r="AH1174" i="3"/>
  <c r="AH1175" i="3"/>
  <c r="AH1176" i="3"/>
  <c r="AH1177" i="3"/>
  <c r="AH1178" i="3"/>
  <c r="AH1179" i="3"/>
  <c r="AH1180" i="3"/>
  <c r="AH1181" i="3"/>
  <c r="AH1182" i="3"/>
  <c r="AH1183" i="3"/>
  <c r="AH1184" i="3"/>
  <c r="AH1185" i="3"/>
  <c r="AH1186" i="3"/>
  <c r="AH1187" i="3"/>
  <c r="AH1188" i="3"/>
  <c r="AH1189" i="3"/>
  <c r="AH1190" i="3"/>
  <c r="AH1191" i="3"/>
  <c r="AH1192" i="3"/>
  <c r="AH1193" i="3"/>
  <c r="AH1194" i="3"/>
  <c r="AH1195" i="3"/>
  <c r="AH1196" i="3"/>
  <c r="AH1197" i="3"/>
  <c r="AH1198" i="3"/>
  <c r="AH1199" i="3"/>
  <c r="AH1200" i="3"/>
  <c r="AH1201" i="3"/>
  <c r="AH1202" i="3"/>
  <c r="AH1203" i="3"/>
  <c r="AH1204" i="3"/>
  <c r="AH1205" i="3"/>
  <c r="AH1206" i="3"/>
  <c r="AH1207" i="3"/>
  <c r="AH1208" i="3"/>
  <c r="AH1209" i="3"/>
  <c r="AH1210" i="3"/>
  <c r="AH1211" i="3"/>
  <c r="AH1212" i="3"/>
  <c r="AH1213" i="3"/>
  <c r="AH1214" i="3"/>
  <c r="AH1215" i="3"/>
  <c r="AH1216" i="3"/>
  <c r="AH1217" i="3"/>
  <c r="AH1218" i="3"/>
  <c r="AH1219" i="3"/>
  <c r="AH1220" i="3"/>
  <c r="AH1221" i="3"/>
  <c r="AH1222" i="3"/>
  <c r="AH1223" i="3"/>
  <c r="AH1224" i="3"/>
  <c r="AH1225" i="3"/>
  <c r="AH1226" i="3"/>
  <c r="AH1227" i="3"/>
  <c r="AH1228" i="3"/>
  <c r="AH1229" i="3"/>
  <c r="AH1230" i="3"/>
  <c r="AH1231" i="3"/>
  <c r="AH1232" i="3"/>
  <c r="AH1233" i="3"/>
  <c r="AH1234" i="3"/>
  <c r="AH1235" i="3"/>
  <c r="AH1236" i="3"/>
  <c r="AH1237" i="3"/>
  <c r="AH1238" i="3"/>
  <c r="AH1239" i="3"/>
  <c r="AH1240" i="3"/>
  <c r="AH1241" i="3"/>
  <c r="AH1242" i="3"/>
  <c r="AH1243" i="3"/>
  <c r="AH1244" i="3"/>
  <c r="AH1245" i="3"/>
  <c r="AH1246" i="3"/>
  <c r="AH1247" i="3"/>
  <c r="AH1248" i="3"/>
  <c r="AH1249" i="3"/>
  <c r="AH1250" i="3"/>
  <c r="AH1251" i="3"/>
  <c r="AH1252" i="3"/>
  <c r="AH1253" i="3"/>
  <c r="AH1254" i="3"/>
  <c r="AH1255" i="3"/>
  <c r="AH1256" i="3"/>
  <c r="AH1257" i="3"/>
  <c r="AH1258" i="3"/>
  <c r="AH1259" i="3"/>
  <c r="AH1260" i="3"/>
  <c r="AH1261" i="3"/>
  <c r="AH1262" i="3"/>
  <c r="AH1263" i="3"/>
  <c r="AH1264" i="3"/>
  <c r="AH1265" i="3"/>
  <c r="AH1266" i="3"/>
  <c r="AH1267" i="3"/>
  <c r="AH1268" i="3"/>
  <c r="AH1269" i="3"/>
  <c r="AH1270" i="3"/>
  <c r="AH1271" i="3"/>
  <c r="AH1272" i="3"/>
  <c r="AH1273" i="3"/>
  <c r="AH1274" i="3"/>
  <c r="AH1275" i="3"/>
  <c r="AH1276" i="3"/>
  <c r="AH1277" i="3"/>
  <c r="AH1278" i="3"/>
  <c r="AH1279" i="3"/>
  <c r="AH1280" i="3"/>
  <c r="AH1281" i="3"/>
  <c r="AH1282" i="3"/>
  <c r="AH1283" i="3"/>
  <c r="AH1284" i="3"/>
  <c r="AH1285" i="3"/>
  <c r="AH1286" i="3"/>
  <c r="AH1287" i="3"/>
  <c r="AH1288" i="3"/>
  <c r="AH1289" i="3"/>
  <c r="AH1290" i="3"/>
  <c r="AH1291" i="3"/>
  <c r="AH1292" i="3"/>
  <c r="AH1293" i="3"/>
  <c r="AH1294" i="3"/>
  <c r="AH1295" i="3"/>
  <c r="AH1296" i="3"/>
  <c r="AH1297" i="3"/>
  <c r="AH1298" i="3"/>
  <c r="AH1299" i="3"/>
  <c r="AH1300" i="3"/>
  <c r="AH1301" i="3"/>
  <c r="AH1302" i="3"/>
  <c r="AH1303" i="3"/>
  <c r="AH1304" i="3"/>
  <c r="AH1305" i="3"/>
  <c r="AH1306" i="3"/>
  <c r="AH1307" i="3"/>
  <c r="AH1308" i="3"/>
  <c r="AH1309" i="3"/>
  <c r="AH1310" i="3"/>
  <c r="AH1311" i="3"/>
  <c r="AH1312" i="3"/>
  <c r="AH1313" i="3"/>
  <c r="AH1314" i="3"/>
  <c r="AH1315" i="3"/>
  <c r="AH1316" i="3"/>
  <c r="AH1317" i="3"/>
  <c r="AH1318" i="3"/>
  <c r="AH1319" i="3"/>
  <c r="AH1320" i="3"/>
  <c r="AH1321" i="3"/>
  <c r="AH1322" i="3"/>
  <c r="AH1323" i="3"/>
  <c r="AH1324" i="3"/>
  <c r="AH1325" i="3"/>
  <c r="AH1326" i="3"/>
  <c r="AH1327" i="3"/>
  <c r="AH1328" i="3"/>
  <c r="AH1329" i="3"/>
  <c r="AH1330" i="3"/>
  <c r="AH1331" i="3"/>
  <c r="AH1332" i="3"/>
  <c r="AH1333" i="3"/>
  <c r="AH1334" i="3"/>
  <c r="AH1335" i="3"/>
  <c r="AH1336" i="3"/>
  <c r="AH1337" i="3"/>
  <c r="AH1338" i="3"/>
  <c r="AH1339" i="3"/>
  <c r="AH1340" i="3"/>
  <c r="AH1341" i="3"/>
  <c r="AH1342" i="3"/>
  <c r="AH1343" i="3"/>
  <c r="AH1344" i="3"/>
  <c r="AH1345" i="3"/>
  <c r="AH1346" i="3"/>
  <c r="AH1347" i="3"/>
  <c r="AH1348" i="3"/>
  <c r="AH1349" i="3"/>
  <c r="AH1350" i="3"/>
  <c r="AH1351" i="3"/>
  <c r="AH1352" i="3"/>
  <c r="AH1353" i="3"/>
  <c r="AH1354" i="3"/>
  <c r="AH1355" i="3"/>
  <c r="AH1356" i="3"/>
  <c r="AH1357" i="3"/>
  <c r="AH1358" i="3"/>
  <c r="AH1359" i="3"/>
  <c r="AH1360" i="3"/>
  <c r="AH1361" i="3"/>
  <c r="AH1362" i="3"/>
  <c r="AH1363" i="3"/>
  <c r="AH1364" i="3"/>
  <c r="AH1365" i="3"/>
  <c r="AH1366" i="3"/>
  <c r="AH1367" i="3"/>
  <c r="AH1368" i="3"/>
  <c r="AH1369" i="3"/>
  <c r="AH1370" i="3"/>
  <c r="AH1371" i="3"/>
  <c r="AH1372" i="3"/>
  <c r="AH1373" i="3"/>
  <c r="AH1374" i="3"/>
  <c r="AH1375" i="3"/>
  <c r="AH1376" i="3"/>
  <c r="AH1377" i="3"/>
  <c r="AH1378" i="3"/>
  <c r="AH1379" i="3"/>
  <c r="AH1380" i="3"/>
  <c r="AH1381" i="3"/>
  <c r="AH1382" i="3"/>
  <c r="AH1383" i="3"/>
  <c r="AH1384" i="3"/>
  <c r="AH1385" i="3"/>
  <c r="AH1386" i="3"/>
  <c r="AH1387" i="3"/>
  <c r="AH1388" i="3"/>
  <c r="AH1389" i="3"/>
  <c r="AH1390" i="3"/>
  <c r="AH1391" i="3"/>
  <c r="AH1392" i="3"/>
  <c r="AH1393" i="3"/>
  <c r="AH1394" i="3"/>
  <c r="AH1395" i="3"/>
  <c r="AH1396" i="3"/>
  <c r="AH1397" i="3"/>
  <c r="AH1398" i="3"/>
  <c r="AH1399" i="3"/>
  <c r="AH1400" i="3"/>
  <c r="AH1401" i="3"/>
  <c r="AH1402" i="3"/>
  <c r="AH1403" i="3"/>
  <c r="AH1404" i="3"/>
  <c r="AH1405" i="3"/>
  <c r="AH1406" i="3"/>
  <c r="AH1407" i="3"/>
  <c r="AH1408" i="3"/>
  <c r="AH1409" i="3"/>
  <c r="AH1410" i="3"/>
  <c r="AH1411" i="3"/>
  <c r="AH1412" i="3"/>
  <c r="AH1413" i="3"/>
  <c r="AH1414" i="3"/>
  <c r="AH1415" i="3"/>
  <c r="AH1416" i="3"/>
  <c r="AH1417" i="3"/>
  <c r="AH1418" i="3"/>
  <c r="AH1419" i="3"/>
  <c r="AH1420" i="3"/>
  <c r="AH1421" i="3"/>
  <c r="AH1422" i="3"/>
  <c r="AH1423" i="3"/>
  <c r="AH1424" i="3"/>
  <c r="AH1425" i="3"/>
  <c r="AH1426" i="3"/>
  <c r="AH1427" i="3"/>
  <c r="AH1428" i="3"/>
  <c r="AH1429" i="3"/>
  <c r="AH1430" i="3"/>
  <c r="AH1431" i="3"/>
  <c r="AH1432" i="3"/>
  <c r="AH1433" i="3"/>
  <c r="AH1434" i="3"/>
  <c r="AH1435" i="3"/>
  <c r="AH1436" i="3"/>
  <c r="AH1437" i="3"/>
  <c r="AH1438" i="3"/>
  <c r="AH1439" i="3"/>
  <c r="AH1440" i="3"/>
  <c r="AH1441" i="3"/>
  <c r="AH1442" i="3"/>
  <c r="AH1443" i="3"/>
  <c r="AH1444" i="3"/>
  <c r="AH1445" i="3"/>
  <c r="AH1446" i="3"/>
  <c r="AH1447" i="3"/>
  <c r="AH1448" i="3"/>
  <c r="AH1449" i="3"/>
  <c r="AH1450" i="3"/>
  <c r="AH1451" i="3"/>
  <c r="AH1452" i="3"/>
  <c r="AH1453" i="3"/>
  <c r="AH1454" i="3"/>
  <c r="AH1455" i="3"/>
  <c r="AH1456" i="3"/>
  <c r="AH1457" i="3"/>
  <c r="AH1458" i="3"/>
  <c r="AH1459" i="3"/>
  <c r="AH1460" i="3"/>
  <c r="AH1461" i="3"/>
  <c r="AH1462" i="3"/>
  <c r="AH1463" i="3"/>
  <c r="AH1464" i="3"/>
  <c r="AH1465" i="3"/>
  <c r="AH1466" i="3"/>
  <c r="AH1467" i="3"/>
  <c r="AH1468" i="3"/>
  <c r="AH1469" i="3"/>
  <c r="AH1470" i="3"/>
  <c r="AH1471" i="3"/>
  <c r="AH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G1005" i="3"/>
  <c r="AG1006" i="3"/>
  <c r="AG1007" i="3"/>
  <c r="AG1008" i="3"/>
  <c r="AG1009" i="3"/>
  <c r="AG1010" i="3"/>
  <c r="AG1011" i="3"/>
  <c r="AG1012" i="3"/>
  <c r="AG1013" i="3"/>
  <c r="AG1014" i="3"/>
  <c r="AG1015" i="3"/>
  <c r="AG1016" i="3"/>
  <c r="AG1017" i="3"/>
  <c r="AG1018" i="3"/>
  <c r="AG1019" i="3"/>
  <c r="AG1020" i="3"/>
  <c r="AG1021" i="3"/>
  <c r="AG1022" i="3"/>
  <c r="AG1023" i="3"/>
  <c r="AG1024" i="3"/>
  <c r="AG1025" i="3"/>
  <c r="AG1026" i="3"/>
  <c r="AG1027" i="3"/>
  <c r="AG1028" i="3"/>
  <c r="AG1029" i="3"/>
  <c r="AG1030" i="3"/>
  <c r="AG1031" i="3"/>
  <c r="AG1032" i="3"/>
  <c r="AG1033" i="3"/>
  <c r="AG1034" i="3"/>
  <c r="AG1035" i="3"/>
  <c r="AG1036" i="3"/>
  <c r="AG1037" i="3"/>
  <c r="AG1038" i="3"/>
  <c r="AG1039" i="3"/>
  <c r="AG1040" i="3"/>
  <c r="AG1041" i="3"/>
  <c r="AG1042" i="3"/>
  <c r="AG1043" i="3"/>
  <c r="AG1044" i="3"/>
  <c r="AG1045" i="3"/>
  <c r="AG1046" i="3"/>
  <c r="AG1047" i="3"/>
  <c r="AG1048" i="3"/>
  <c r="AG1049" i="3"/>
  <c r="AG1050" i="3"/>
  <c r="AG1051" i="3"/>
  <c r="AG1052" i="3"/>
  <c r="AG1053" i="3"/>
  <c r="AG1054" i="3"/>
  <c r="AG1055" i="3"/>
  <c r="AG1056" i="3"/>
  <c r="AG1057" i="3"/>
  <c r="AG1058" i="3"/>
  <c r="AG1059" i="3"/>
  <c r="AG1060" i="3"/>
  <c r="AG1061" i="3"/>
  <c r="AG1062" i="3"/>
  <c r="AG1063" i="3"/>
  <c r="AG1064" i="3"/>
  <c r="AG1065" i="3"/>
  <c r="AG1066" i="3"/>
  <c r="AG1067" i="3"/>
  <c r="AG1068" i="3"/>
  <c r="AG1069" i="3"/>
  <c r="AG1070" i="3"/>
  <c r="AG1071" i="3"/>
  <c r="AG1072" i="3"/>
  <c r="AG1073" i="3"/>
  <c r="AG1074" i="3"/>
  <c r="AG1075" i="3"/>
  <c r="AG1076" i="3"/>
  <c r="AG1077" i="3"/>
  <c r="AG1078" i="3"/>
  <c r="AG1079" i="3"/>
  <c r="AG1080" i="3"/>
  <c r="AG1081" i="3"/>
  <c r="AG1082" i="3"/>
  <c r="AG1083" i="3"/>
  <c r="AG1084" i="3"/>
  <c r="AG1085" i="3"/>
  <c r="AG1086" i="3"/>
  <c r="AG1087" i="3"/>
  <c r="AG1088" i="3"/>
  <c r="AG1089" i="3"/>
  <c r="AG1090" i="3"/>
  <c r="AG1091" i="3"/>
  <c r="AG1092" i="3"/>
  <c r="AG1093" i="3"/>
  <c r="AG1094" i="3"/>
  <c r="AG1095" i="3"/>
  <c r="AG1096" i="3"/>
  <c r="AG1097" i="3"/>
  <c r="AG1098" i="3"/>
  <c r="AG1099" i="3"/>
  <c r="AG1100" i="3"/>
  <c r="AG1101" i="3"/>
  <c r="AG1102" i="3"/>
  <c r="AG1103" i="3"/>
  <c r="AG1104" i="3"/>
  <c r="AG1105" i="3"/>
  <c r="AG1106" i="3"/>
  <c r="AG1107" i="3"/>
  <c r="AG1108" i="3"/>
  <c r="AG1109" i="3"/>
  <c r="AG1110" i="3"/>
  <c r="AG1111" i="3"/>
  <c r="AG1112" i="3"/>
  <c r="AG1113" i="3"/>
  <c r="AG1114" i="3"/>
  <c r="AG1115" i="3"/>
  <c r="AG1116" i="3"/>
  <c r="AG1117" i="3"/>
  <c r="AG1118" i="3"/>
  <c r="AG1119" i="3"/>
  <c r="AG1120" i="3"/>
  <c r="AG1121" i="3"/>
  <c r="AG1122" i="3"/>
  <c r="AG1123" i="3"/>
  <c r="AG1124" i="3"/>
  <c r="AG1125" i="3"/>
  <c r="AG1126" i="3"/>
  <c r="AG1127" i="3"/>
  <c r="AG1128" i="3"/>
  <c r="AG1129" i="3"/>
  <c r="AG1130" i="3"/>
  <c r="AG1131" i="3"/>
  <c r="AG1132" i="3"/>
  <c r="AG1133" i="3"/>
  <c r="AG1134" i="3"/>
  <c r="AG1135" i="3"/>
  <c r="AG1136" i="3"/>
  <c r="AG1137" i="3"/>
  <c r="AG1138" i="3"/>
  <c r="AG1139" i="3"/>
  <c r="AG1140" i="3"/>
  <c r="AG1141" i="3"/>
  <c r="AG1142" i="3"/>
  <c r="AG1143" i="3"/>
  <c r="AG1144" i="3"/>
  <c r="AG1145" i="3"/>
  <c r="AG1146" i="3"/>
  <c r="AG1147" i="3"/>
  <c r="AG1148" i="3"/>
  <c r="AG1149" i="3"/>
  <c r="AG1150" i="3"/>
  <c r="AG1151" i="3"/>
  <c r="AG1152" i="3"/>
  <c r="AG1153" i="3"/>
  <c r="AG1154" i="3"/>
  <c r="AG1155" i="3"/>
  <c r="AG1156" i="3"/>
  <c r="AG1157" i="3"/>
  <c r="AG1158" i="3"/>
  <c r="AG1159" i="3"/>
  <c r="AG1160" i="3"/>
  <c r="AG1161" i="3"/>
  <c r="AG1162" i="3"/>
  <c r="AG1163" i="3"/>
  <c r="AG1164" i="3"/>
  <c r="AG1165" i="3"/>
  <c r="AG1166" i="3"/>
  <c r="AG1167" i="3"/>
  <c r="AG1168" i="3"/>
  <c r="AG1169" i="3"/>
  <c r="AG1170" i="3"/>
  <c r="AG1171" i="3"/>
  <c r="AG1172" i="3"/>
  <c r="AG1173" i="3"/>
  <c r="AG1174" i="3"/>
  <c r="AG1175" i="3"/>
  <c r="AG1176" i="3"/>
  <c r="AG1177" i="3"/>
  <c r="AG1178" i="3"/>
  <c r="AG1179" i="3"/>
  <c r="AG1180" i="3"/>
  <c r="AG1181" i="3"/>
  <c r="AG1182" i="3"/>
  <c r="AG1183" i="3"/>
  <c r="AG1184" i="3"/>
  <c r="AG1185" i="3"/>
  <c r="AG1186" i="3"/>
  <c r="AG1187" i="3"/>
  <c r="AG1188" i="3"/>
  <c r="AG1189" i="3"/>
  <c r="AG1190" i="3"/>
  <c r="AG1191" i="3"/>
  <c r="AG1192" i="3"/>
  <c r="AG1193" i="3"/>
  <c r="AG1194" i="3"/>
  <c r="AG1195" i="3"/>
  <c r="AG1196" i="3"/>
  <c r="AG1197" i="3"/>
  <c r="AG1198" i="3"/>
  <c r="AG1199" i="3"/>
  <c r="AG1200" i="3"/>
  <c r="AG1201" i="3"/>
  <c r="AG1202" i="3"/>
  <c r="AG1203" i="3"/>
  <c r="AG1204" i="3"/>
  <c r="AG1205" i="3"/>
  <c r="AG1206" i="3"/>
  <c r="AG1207" i="3"/>
  <c r="AG1208" i="3"/>
  <c r="AG1209" i="3"/>
  <c r="AG1210" i="3"/>
  <c r="AG1211" i="3"/>
  <c r="AG1212" i="3"/>
  <c r="AG1213" i="3"/>
  <c r="AG1214" i="3"/>
  <c r="AG1215" i="3"/>
  <c r="AG1216" i="3"/>
  <c r="AG1217" i="3"/>
  <c r="AG1218" i="3"/>
  <c r="AG1219" i="3"/>
  <c r="AG1220" i="3"/>
  <c r="AG1221" i="3"/>
  <c r="AG1222" i="3"/>
  <c r="AG1223" i="3"/>
  <c r="AG1224" i="3"/>
  <c r="AG1225" i="3"/>
  <c r="AG1226" i="3"/>
  <c r="AG1227" i="3"/>
  <c r="AG1228" i="3"/>
  <c r="AG1229" i="3"/>
  <c r="AG1230" i="3"/>
  <c r="AG1231" i="3"/>
  <c r="AG1232" i="3"/>
  <c r="AG1233" i="3"/>
  <c r="AG1234" i="3"/>
  <c r="AG1235" i="3"/>
  <c r="AG1236" i="3"/>
  <c r="AG1237" i="3"/>
  <c r="AG1238" i="3"/>
  <c r="AG1239" i="3"/>
  <c r="AG1240" i="3"/>
  <c r="AG1241" i="3"/>
  <c r="AG1242" i="3"/>
  <c r="AG1243" i="3"/>
  <c r="AG1244" i="3"/>
  <c r="AG1245" i="3"/>
  <c r="AG1246" i="3"/>
  <c r="AG1247" i="3"/>
  <c r="AG1248" i="3"/>
  <c r="AG1249" i="3"/>
  <c r="AG1250" i="3"/>
  <c r="AG1251" i="3"/>
  <c r="AG1252" i="3"/>
  <c r="AG1253" i="3"/>
  <c r="AG1254" i="3"/>
  <c r="AG1255" i="3"/>
  <c r="AG1256" i="3"/>
  <c r="AG1257" i="3"/>
  <c r="AG1258" i="3"/>
  <c r="AG1259" i="3"/>
  <c r="AG1260" i="3"/>
  <c r="AG1261" i="3"/>
  <c r="AG1262" i="3"/>
  <c r="AG1263" i="3"/>
  <c r="AG1264" i="3"/>
  <c r="AG1265" i="3"/>
  <c r="AG1266" i="3"/>
  <c r="AG1267" i="3"/>
  <c r="AG1268" i="3"/>
  <c r="AG1269" i="3"/>
  <c r="AG1270" i="3"/>
  <c r="AG1271" i="3"/>
  <c r="AG1272" i="3"/>
  <c r="AG1273" i="3"/>
  <c r="AG1274" i="3"/>
  <c r="AG1275" i="3"/>
  <c r="AG1276" i="3"/>
  <c r="AG1277" i="3"/>
  <c r="AG1278" i="3"/>
  <c r="AG1279" i="3"/>
  <c r="AG1280" i="3"/>
  <c r="AG1281" i="3"/>
  <c r="AG1282" i="3"/>
  <c r="AG1283" i="3"/>
  <c r="AG1284" i="3"/>
  <c r="AG1285" i="3"/>
  <c r="AG1286" i="3"/>
  <c r="AG1287" i="3"/>
  <c r="AG1288" i="3"/>
  <c r="AG1289" i="3"/>
  <c r="AG1290" i="3"/>
  <c r="AG1291" i="3"/>
  <c r="AG1292" i="3"/>
  <c r="AG1293" i="3"/>
  <c r="AG1294" i="3"/>
  <c r="AG1295" i="3"/>
  <c r="AG1296" i="3"/>
  <c r="AG1297" i="3"/>
  <c r="AG1298" i="3"/>
  <c r="AG1299" i="3"/>
  <c r="AG1300" i="3"/>
  <c r="AG1301" i="3"/>
  <c r="AG1302" i="3"/>
  <c r="AG1303" i="3"/>
  <c r="AG1304" i="3"/>
  <c r="AG1305" i="3"/>
  <c r="AG1306" i="3"/>
  <c r="AG1307" i="3"/>
  <c r="AG1308" i="3"/>
  <c r="AG1309" i="3"/>
  <c r="AG1310" i="3"/>
  <c r="AG1311" i="3"/>
  <c r="AG1312" i="3"/>
  <c r="AG1313" i="3"/>
  <c r="AG1314" i="3"/>
  <c r="AG1315" i="3"/>
  <c r="AG1316" i="3"/>
  <c r="AG1317" i="3"/>
  <c r="AG1318" i="3"/>
  <c r="AG1319" i="3"/>
  <c r="AG1320" i="3"/>
  <c r="AG1321" i="3"/>
  <c r="AG1322" i="3"/>
  <c r="AG1323" i="3"/>
  <c r="AG1324" i="3"/>
  <c r="AG1325" i="3"/>
  <c r="AG1326" i="3"/>
  <c r="AG1327" i="3"/>
  <c r="AG1328" i="3"/>
  <c r="AG1329" i="3"/>
  <c r="AG1330" i="3"/>
  <c r="AG1331" i="3"/>
  <c r="AG1332" i="3"/>
  <c r="AG1333" i="3"/>
  <c r="AG1334" i="3"/>
  <c r="AG1335" i="3"/>
  <c r="AG1336" i="3"/>
  <c r="AG1337" i="3"/>
  <c r="AG1338" i="3"/>
  <c r="AG1339" i="3"/>
  <c r="AG1340" i="3"/>
  <c r="AG1341" i="3"/>
  <c r="AG1342" i="3"/>
  <c r="AG1343" i="3"/>
  <c r="AG1344" i="3"/>
  <c r="AG1345" i="3"/>
  <c r="AG1346" i="3"/>
  <c r="AG1347" i="3"/>
  <c r="AG1348" i="3"/>
  <c r="AG1349" i="3"/>
  <c r="AG1350" i="3"/>
  <c r="AG1351" i="3"/>
  <c r="AG1352" i="3"/>
  <c r="AG1353" i="3"/>
  <c r="AG1354" i="3"/>
  <c r="AG1355" i="3"/>
  <c r="AG1356" i="3"/>
  <c r="AG1357" i="3"/>
  <c r="AG1358" i="3"/>
  <c r="AG1359" i="3"/>
  <c r="AG1360" i="3"/>
  <c r="AG1361" i="3"/>
  <c r="AG1362" i="3"/>
  <c r="AG1363" i="3"/>
  <c r="AG1364" i="3"/>
  <c r="AG1365" i="3"/>
  <c r="AG1366" i="3"/>
  <c r="AG1367" i="3"/>
  <c r="AG1368" i="3"/>
  <c r="AG1369" i="3"/>
  <c r="AG1370" i="3"/>
  <c r="AG1371" i="3"/>
  <c r="AG1372" i="3"/>
  <c r="AG1373" i="3"/>
  <c r="AG1374" i="3"/>
  <c r="AG1375" i="3"/>
  <c r="AG1376" i="3"/>
  <c r="AG1377" i="3"/>
  <c r="AG1378" i="3"/>
  <c r="AG1379" i="3"/>
  <c r="AG1380" i="3"/>
  <c r="AG1381" i="3"/>
  <c r="AG1382" i="3"/>
  <c r="AG1383" i="3"/>
  <c r="AG1384" i="3"/>
  <c r="AG1385" i="3"/>
  <c r="AG1386" i="3"/>
  <c r="AG1387" i="3"/>
  <c r="AG1388" i="3"/>
  <c r="AG1389" i="3"/>
  <c r="AG1390" i="3"/>
  <c r="AG1391" i="3"/>
  <c r="AG1392" i="3"/>
  <c r="AG1393" i="3"/>
  <c r="AG1394" i="3"/>
  <c r="AG1395" i="3"/>
  <c r="AG1396" i="3"/>
  <c r="AG1397" i="3"/>
  <c r="AG1398" i="3"/>
  <c r="AG1399" i="3"/>
  <c r="AG1400" i="3"/>
  <c r="AG1401" i="3"/>
  <c r="AG1402" i="3"/>
  <c r="AG1403" i="3"/>
  <c r="AG1404" i="3"/>
  <c r="AG1405" i="3"/>
  <c r="AG1406" i="3"/>
  <c r="AG1407" i="3"/>
  <c r="AG1408" i="3"/>
  <c r="AG1409" i="3"/>
  <c r="AG1410" i="3"/>
  <c r="AG1411" i="3"/>
  <c r="AG1412" i="3"/>
  <c r="AG1413" i="3"/>
  <c r="AG1414" i="3"/>
  <c r="AG1415" i="3"/>
  <c r="AG1416" i="3"/>
  <c r="AG1417" i="3"/>
  <c r="AG1418" i="3"/>
  <c r="AG1419" i="3"/>
  <c r="AG1420" i="3"/>
  <c r="AG1421" i="3"/>
  <c r="AG1422" i="3"/>
  <c r="AG1423" i="3"/>
  <c r="AG1424" i="3"/>
  <c r="AG1425" i="3"/>
  <c r="AG1426" i="3"/>
  <c r="AG1427" i="3"/>
  <c r="AG1428" i="3"/>
  <c r="AG1429" i="3"/>
  <c r="AG1430" i="3"/>
  <c r="AG1431" i="3"/>
  <c r="AG1432" i="3"/>
  <c r="AG1433" i="3"/>
  <c r="AG1434" i="3"/>
  <c r="AG1435" i="3"/>
  <c r="AG1436" i="3"/>
  <c r="AG1437" i="3"/>
  <c r="AG1438" i="3"/>
  <c r="AG1439" i="3"/>
  <c r="AG1440" i="3"/>
  <c r="AG1441" i="3"/>
  <c r="AG1442" i="3"/>
  <c r="AG1443" i="3"/>
  <c r="AG1444" i="3"/>
  <c r="AG1445" i="3"/>
  <c r="AG1446" i="3"/>
  <c r="AG1447" i="3"/>
  <c r="AG1448" i="3"/>
  <c r="AG1449" i="3"/>
  <c r="AG1450" i="3"/>
  <c r="AG1451" i="3"/>
  <c r="AG1452" i="3"/>
  <c r="AG1453" i="3"/>
  <c r="AG1454" i="3"/>
  <c r="AG1455" i="3"/>
  <c r="AG1456" i="3"/>
  <c r="AG1457" i="3"/>
  <c r="AG1458" i="3"/>
  <c r="AG1459" i="3"/>
  <c r="AG1460" i="3"/>
  <c r="AG1461" i="3"/>
  <c r="AG1462" i="3"/>
  <c r="AG1463" i="3"/>
  <c r="AG1464" i="3"/>
  <c r="AG1465" i="3"/>
  <c r="AG1466" i="3"/>
  <c r="AG1467" i="3"/>
  <c r="AG1468" i="3"/>
  <c r="AG1469" i="3"/>
  <c r="AG1470" i="3"/>
  <c r="AG1471" i="3"/>
  <c r="AG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921" i="3"/>
  <c r="AF922" i="3"/>
  <c r="AF923" i="3"/>
  <c r="AF924" i="3"/>
  <c r="AF925" i="3"/>
  <c r="AF926" i="3"/>
  <c r="AF927" i="3"/>
  <c r="AF928" i="3"/>
  <c r="AF929" i="3"/>
  <c r="AF930" i="3"/>
  <c r="AF931" i="3"/>
  <c r="AF932" i="3"/>
  <c r="AF933" i="3"/>
  <c r="AF934" i="3"/>
  <c r="AF935" i="3"/>
  <c r="AF936" i="3"/>
  <c r="AF937" i="3"/>
  <c r="AF938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1005" i="3"/>
  <c r="AF1006" i="3"/>
  <c r="AF1007" i="3"/>
  <c r="AF1008" i="3"/>
  <c r="AF1009" i="3"/>
  <c r="AF1010" i="3"/>
  <c r="AF1011" i="3"/>
  <c r="AF1012" i="3"/>
  <c r="AF1013" i="3"/>
  <c r="AF1014" i="3"/>
  <c r="AF1015" i="3"/>
  <c r="AF1016" i="3"/>
  <c r="AF1017" i="3"/>
  <c r="AF1018" i="3"/>
  <c r="AF1019" i="3"/>
  <c r="AF1020" i="3"/>
  <c r="AF1021" i="3"/>
  <c r="AF1022" i="3"/>
  <c r="AF1023" i="3"/>
  <c r="AF1024" i="3"/>
  <c r="AF1025" i="3"/>
  <c r="AF1026" i="3"/>
  <c r="AF1027" i="3"/>
  <c r="AF1028" i="3"/>
  <c r="AF1029" i="3"/>
  <c r="AF1030" i="3"/>
  <c r="AF1031" i="3"/>
  <c r="AF1032" i="3"/>
  <c r="AF1033" i="3"/>
  <c r="AF1034" i="3"/>
  <c r="AF1035" i="3"/>
  <c r="AF1036" i="3"/>
  <c r="AF1037" i="3"/>
  <c r="AF1038" i="3"/>
  <c r="AF1039" i="3"/>
  <c r="AF1040" i="3"/>
  <c r="AF1041" i="3"/>
  <c r="AF1042" i="3"/>
  <c r="AF1043" i="3"/>
  <c r="AF1044" i="3"/>
  <c r="AF1045" i="3"/>
  <c r="AF1046" i="3"/>
  <c r="AF1047" i="3"/>
  <c r="AF1048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1073" i="3"/>
  <c r="AF1074" i="3"/>
  <c r="AF1075" i="3"/>
  <c r="AF1076" i="3"/>
  <c r="AF1077" i="3"/>
  <c r="AF1078" i="3"/>
  <c r="AF1079" i="3"/>
  <c r="AF1080" i="3"/>
  <c r="AF1081" i="3"/>
  <c r="AF1082" i="3"/>
  <c r="AF1083" i="3"/>
  <c r="AF1084" i="3"/>
  <c r="AF1085" i="3"/>
  <c r="AF1086" i="3"/>
  <c r="AF1087" i="3"/>
  <c r="AF1088" i="3"/>
  <c r="AF1089" i="3"/>
  <c r="AF1090" i="3"/>
  <c r="AF1091" i="3"/>
  <c r="AF1092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1214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1339" i="3"/>
  <c r="AF1340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1365" i="3"/>
  <c r="AF1366" i="3"/>
  <c r="AF1367" i="3"/>
  <c r="AF1368" i="3"/>
  <c r="AF1369" i="3"/>
  <c r="AF1370" i="3"/>
  <c r="AF1371" i="3"/>
  <c r="AF1372" i="3"/>
  <c r="AF1373" i="3"/>
  <c r="AF1374" i="3"/>
  <c r="AF1375" i="3"/>
  <c r="AF1376" i="3"/>
  <c r="AF1377" i="3"/>
  <c r="AF1378" i="3"/>
  <c r="AF1379" i="3"/>
  <c r="AF1380" i="3"/>
  <c r="AF1381" i="3"/>
  <c r="AF1382" i="3"/>
  <c r="AF1383" i="3"/>
  <c r="AF1384" i="3"/>
  <c r="AF1385" i="3"/>
  <c r="AF1386" i="3"/>
  <c r="AF1387" i="3"/>
  <c r="AF1388" i="3"/>
  <c r="AF1389" i="3"/>
  <c r="AF1390" i="3"/>
  <c r="AF1391" i="3"/>
  <c r="AF1392" i="3"/>
  <c r="AF1393" i="3"/>
  <c r="AF1394" i="3"/>
  <c r="AF1395" i="3"/>
  <c r="AF1396" i="3"/>
  <c r="AF1397" i="3"/>
  <c r="AF1398" i="3"/>
  <c r="AF1399" i="3"/>
  <c r="AF1400" i="3"/>
  <c r="AF1401" i="3"/>
  <c r="AF1402" i="3"/>
  <c r="AF1403" i="3"/>
  <c r="AF1404" i="3"/>
  <c r="AF1405" i="3"/>
  <c r="AF1406" i="3"/>
  <c r="AF1407" i="3"/>
  <c r="AF1408" i="3"/>
  <c r="AF1409" i="3"/>
  <c r="AF1410" i="3"/>
  <c r="AF1411" i="3"/>
  <c r="AF1412" i="3"/>
  <c r="AF1413" i="3"/>
  <c r="AF1414" i="3"/>
  <c r="AF1415" i="3"/>
  <c r="AF1416" i="3"/>
  <c r="AF1417" i="3"/>
  <c r="AF1418" i="3"/>
  <c r="AF1419" i="3"/>
  <c r="AF1420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1453" i="3"/>
  <c r="AF1454" i="3"/>
  <c r="AF1455" i="3"/>
  <c r="AF1456" i="3"/>
  <c r="AF1457" i="3"/>
  <c r="AF1458" i="3"/>
  <c r="AF1459" i="3"/>
  <c r="AF1460" i="3"/>
  <c r="AF1461" i="3"/>
  <c r="AF1462" i="3"/>
  <c r="AF1463" i="3"/>
  <c r="AF1464" i="3"/>
  <c r="AF1465" i="3"/>
  <c r="AF1466" i="3"/>
  <c r="AF1467" i="3"/>
  <c r="AF1468" i="3"/>
  <c r="AF1469" i="3"/>
  <c r="AF1470" i="3"/>
  <c r="AF1471" i="3"/>
  <c r="AF2" i="3"/>
  <c r="F4" i="9" l="1"/>
</calcChain>
</file>

<file path=xl/sharedStrings.xml><?xml version="1.0" encoding="utf-8"?>
<sst xmlns="http://schemas.openxmlformats.org/spreadsheetml/2006/main" count="25630" uniqueCount="282">
  <si>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</si>
  <si>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</si>
  <si>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</si>
  <si>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</si>
  <si>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</si>
  <si>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</si>
  <si>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</si>
  <si>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</si>
  <si>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</si>
  <si>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</si>
  <si>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</si>
  <si>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</si>
  <si>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</si>
  <si>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</si>
  <si>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</si>
  <si>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</si>
  <si>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</si>
  <si>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</si>
  <si>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</si>
  <si>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</si>
  <si>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</si>
  <si>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</si>
  <si>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</si>
  <si>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</si>
  <si>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</si>
  <si>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</si>
  <si>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</si>
  <si>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</si>
  <si>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</si>
  <si>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</si>
  <si>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</si>
  <si>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</si>
  <si>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</si>
  <si>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</si>
  <si>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</si>
  <si>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</si>
  <si>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</si>
  <si>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</si>
  <si>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</si>
  <si>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</si>
  <si>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</si>
  <si>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</si>
  <si>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</si>
  <si>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</si>
  <si>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</si>
  <si>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</si>
  <si>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</si>
  <si>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</si>
  <si>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</si>
  <si>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</si>
  <si>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</si>
  <si>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</si>
  <si>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</si>
  <si>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</si>
  <si>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</si>
  <si>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</si>
  <si>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</si>
  <si>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</si>
  <si>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</si>
  <si>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</si>
  <si>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</si>
  <si>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</si>
  <si>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Column_Name</t>
  </si>
  <si>
    <t>Data_Type</t>
  </si>
  <si>
    <t>Description</t>
  </si>
  <si>
    <t>Values/Range</t>
  </si>
  <si>
    <t>Analysis_Decision</t>
  </si>
  <si>
    <t>Numeric</t>
  </si>
  <si>
    <t>Employee age in years</t>
  </si>
  <si>
    <t>18-60</t>
  </si>
  <si>
    <t>Keep — segment by age group</t>
  </si>
  <si>
    <t>Text</t>
  </si>
  <si>
    <t>Whether employee left</t>
  </si>
  <si>
    <t>Yes/No</t>
  </si>
  <si>
    <t>Keep — create binary flag</t>
  </si>
  <si>
    <t>Frequency of work travel</t>
  </si>
  <si>
    <t>Non-Travel, Travel_Rarely, Travel_Frequently</t>
  </si>
  <si>
    <t>Keep</t>
  </si>
  <si>
    <t>Daily compensation rate (USD)</t>
  </si>
  <si>
    <t>Employee's department</t>
  </si>
  <si>
    <t>Distance to workplace (miles, assumed)</t>
  </si>
  <si>
    <t>102–1499</t>
  </si>
  <si>
    <t>HR, R&amp;D, Sales</t>
  </si>
  <si>
    <t>1–29</t>
  </si>
  <si>
    <t>Keep — note: does not reconcile with MonthlyIncome</t>
  </si>
  <si>
    <t>Numeric (coded)</t>
  </si>
  <si>
    <t>Highest education level</t>
  </si>
  <si>
    <t>Field of study</t>
  </si>
  <si>
    <t>1=Below College, 2=College, 3=Bachelor, 4=Master, 5=Doctor</t>
  </si>
  <si>
    <t>Life Sciences, Medical, etc.</t>
  </si>
  <si>
    <t>Keep — create labeled column</t>
  </si>
  <si>
    <t>Constant column</t>
  </si>
  <si>
    <t>All = 1</t>
  </si>
  <si>
    <t>DROP — no analytical value</t>
  </si>
  <si>
    <t>Unique employee ID</t>
  </si>
  <si>
    <t>1–2068</t>
  </si>
  <si>
    <t>Keep for dedup check only — exclude from analysis</t>
  </si>
  <si>
    <t>1=Low, 2=Medium, 3=High, 4=Very High</t>
  </si>
  <si>
    <t>Satisfaction with work environment</t>
  </si>
  <si>
    <t>Employee gender</t>
  </si>
  <si>
    <t>Male / Female</t>
  </si>
  <si>
    <t>Hourly compensation rate (USD)</t>
  </si>
  <si>
    <t>30–100</t>
  </si>
  <si>
    <t>Degree of job involvement</t>
  </si>
  <si>
    <t>Hierarchical job band</t>
  </si>
  <si>
    <t>1=Entry, 2=Junior, 3=Mid, 4=Senior, 5=Executive</t>
  </si>
  <si>
    <t>Employee's job title</t>
  </si>
  <si>
    <t>9 unique roles</t>
  </si>
  <si>
    <t>Satisfaction with job</t>
  </si>
  <si>
    <t>Marital status</t>
  </si>
  <si>
    <t>Single, Married, Divorced</t>
  </si>
  <si>
    <t>Gross monthly salary (USD)</t>
  </si>
  <si>
    <t>1009–19999</t>
  </si>
  <si>
    <t>Keep — PRIMARY compensation metric</t>
  </si>
  <si>
    <t>Undefined compensation metric</t>
  </si>
  <si>
    <t>2094–26999</t>
  </si>
  <si>
    <t>DROP — cannot be reliably interpreted</t>
  </si>
  <si>
    <t>Number of prior employers</t>
  </si>
  <si>
    <t>0–9</t>
  </si>
  <si>
    <t>All = Y</t>
  </si>
  <si>
    <t>Whether employee works overtime</t>
  </si>
  <si>
    <t>Yes / No</t>
  </si>
  <si>
    <t>Last appraisal salary increase %</t>
  </si>
  <si>
    <t>11–25</t>
  </si>
  <si>
    <t>Keep — stored as whole number not %</t>
  </si>
  <si>
    <t>Manager rating of employee</t>
  </si>
  <si>
    <t>3=Excellent, 4=Outstanding</t>
  </si>
  <si>
    <t>Keep — document: only values 3 &amp; 4 exist</t>
  </si>
  <si>
    <t>Satisfaction with workplace relationships</t>
  </si>
  <si>
    <t>All = 80</t>
  </si>
  <si>
    <t>Stock option grant level</t>
  </si>
  <si>
    <t>0=None, 1=Low, 2=Medium, 3=High</t>
  </si>
  <si>
    <t>Total career experience (years)</t>
  </si>
  <si>
    <t>0–40</t>
  </si>
  <si>
    <t>Number of training sessions last year</t>
  </si>
  <si>
    <t>0–6</t>
  </si>
  <si>
    <t>Keep — unit = sessions not hours</t>
  </si>
  <si>
    <t>Self-rated work-life balance</t>
  </si>
  <si>
    <t>1=Bad, 2=Good, 3=Better, 4=Best</t>
  </si>
  <si>
    <t>Tenure at current company (years)</t>
  </si>
  <si>
    <t>Years in current role</t>
  </si>
  <si>
    <t>0–18</t>
  </si>
  <si>
    <t>Years since last promotion</t>
  </si>
  <si>
    <t>0–15</t>
  </si>
  <si>
    <t>Years with current manager</t>
  </si>
  <si>
    <t>0–17</t>
  </si>
  <si>
    <t>Attrition_Flag</t>
  </si>
  <si>
    <t>OverTime_Flag</t>
  </si>
  <si>
    <t>Education_Label</t>
  </si>
  <si>
    <t>EnvironmentSatisfaction_Label</t>
  </si>
  <si>
    <t>JobInvolvement_Label</t>
  </si>
  <si>
    <t>JobLevel_Label</t>
  </si>
  <si>
    <t>JobSatisfaction_Label</t>
  </si>
  <si>
    <t>RelationshipSatisfaction_Label</t>
  </si>
  <si>
    <t>StockOptionLevel_Label</t>
  </si>
  <si>
    <t>WorkLifeBalance_Label</t>
  </si>
  <si>
    <t>Age_Group</t>
  </si>
  <si>
    <t>Income_Band</t>
  </si>
  <si>
    <t>Tenure_Group</t>
  </si>
  <si>
    <t>Cleaning Log</t>
  </si>
  <si>
    <t>Step</t>
  </si>
  <si>
    <t>Issue</t>
  </si>
  <si>
    <t>Action Taken</t>
  </si>
  <si>
    <t>Reason</t>
  </si>
  <si>
    <t>No duplicates found</t>
  </si>
  <si>
    <t>No action needed</t>
  </si>
  <si>
    <t>Verified 1,470 unique employee records</t>
  </si>
  <si>
    <t>No null values found</t>
  </si>
  <si>
    <t>Dataset complete — no missing data</t>
  </si>
  <si>
    <t>EmployeeCount, StandardHours, Over18 — all constant values</t>
  </si>
  <si>
    <t>Columns deleted</t>
  </si>
  <si>
    <t>Zero analytical value — would pollute pivot tables</t>
  </si>
  <si>
    <t>MonthlyRate — undefined metric</t>
  </si>
  <si>
    <t>Column deleted</t>
  </si>
  <si>
    <t>Cannot be reliably interpreted — documented in Data Dictionary</t>
  </si>
  <si>
    <t>Attrition stored as text Yes/No</t>
  </si>
  <si>
    <t>Created Attrition_Flag (1/0)</t>
  </si>
  <si>
    <t>Enables numeric attrition rate calculations</t>
  </si>
  <si>
    <t>OverTime stored as text Yes/No</t>
  </si>
  <si>
    <t>Created OverTime_Flag (1/0)</t>
  </si>
  <si>
    <t>Enables overtime frequency analysis</t>
  </si>
  <si>
    <t>Education, JobLevel, satisfaction columns stored as numeric codes</t>
  </si>
  <si>
    <t>Created 8 labeled text columns</t>
  </si>
  <si>
    <t>Makes charts and pivot tables readable without decoder</t>
  </si>
  <si>
    <t>Age as raw numbers</t>
  </si>
  <si>
    <t>Created Age_Group bands</t>
  </si>
  <si>
    <t>Enables lifecycle pattern analysis</t>
  </si>
  <si>
    <t>MonthlyIncome as raw numbers</t>
  </si>
  <si>
    <t>Created Income_Band groups</t>
  </si>
  <si>
    <t>Enables compensation segment analysis</t>
  </si>
  <si>
    <t>YearsAtCompany as raw numbers</t>
  </si>
  <si>
    <t>Created Tenure_Group bands</t>
  </si>
  <si>
    <t>Enables tenure-based attrition pattern analysis</t>
  </si>
  <si>
    <t>Grand Total</t>
  </si>
  <si>
    <t>Total Employees</t>
  </si>
  <si>
    <t>Employees Left</t>
  </si>
  <si>
    <t>Attrition Rate %</t>
  </si>
  <si>
    <t>Job Role Attrition Rate — Sorted by Risk (High to Low)</t>
  </si>
  <si>
    <t>Department wise Attrition Rate — Sorted by Risk (High to Low)</t>
  </si>
  <si>
    <t>Gender wise Attrition Rate — Sorted by Risk (High to Low)</t>
  </si>
  <si>
    <t>BQ 1 -- Attrition rate by Department, Job Role, Gender</t>
  </si>
  <si>
    <t>Working Pivot</t>
  </si>
  <si>
    <t>Delta vs Benchmark (pp)</t>
  </si>
  <si>
    <t>BQ 2 -- What demographic and job profile characterizes employees most likely to leave?</t>
  </si>
  <si>
    <t>25-34</t>
  </si>
  <si>
    <t>35-44</t>
  </si>
  <si>
    <t>45-54</t>
  </si>
  <si>
    <t>55+</t>
  </si>
  <si>
    <t>Under 25</t>
  </si>
  <si>
    <t>Age Group Attrition Rate — Sorted by Risk (High to Low)</t>
  </si>
  <si>
    <t>Marital Status Attrition Rate — Sorted by Risk (High to Low)</t>
  </si>
  <si>
    <t>Bachelor</t>
  </si>
  <si>
    <t>Below College</t>
  </si>
  <si>
    <t>College</t>
  </si>
  <si>
    <t>Doctor</t>
  </si>
  <si>
    <t>Master</t>
  </si>
  <si>
    <t>Education Label Attrition Rate — Sorted by Risk (High to Low)</t>
  </si>
  <si>
    <t>0-2 Years</t>
  </si>
  <si>
    <t>11-20 Years</t>
  </si>
  <si>
    <t>20+ Years</t>
  </si>
  <si>
    <t>3-5 Years</t>
  </si>
  <si>
    <t>6-10 Years</t>
  </si>
  <si>
    <t>Tenure Group Attrition Rate — Sorted Chronologically (Lifecycle View)</t>
  </si>
  <si>
    <t>BQ 3 -- Do compensation, overtime, and job level drive attrition?</t>
  </si>
  <si>
    <t>High</t>
  </si>
  <si>
    <t>Low</t>
  </si>
  <si>
    <t>Lower-Mid</t>
  </si>
  <si>
    <t>Upper-Mid</t>
  </si>
  <si>
    <t>Entry</t>
  </si>
  <si>
    <t>Executive</t>
  </si>
  <si>
    <t>Junior</t>
  </si>
  <si>
    <t>Mid-Level</t>
  </si>
  <si>
    <t>Senior</t>
  </si>
  <si>
    <t>Job Level vs Attrition Sorted by Risk — (High to Low)</t>
  </si>
  <si>
    <t>Overtime vs Attrition Sorted by Risk — (High to Low)</t>
  </si>
  <si>
    <t>Income Band vs Attrition Sorted by Risk — (High to Low)</t>
  </si>
  <si>
    <t>Overtime × Attrition Cross-tab</t>
  </si>
  <si>
    <t>Very High</t>
  </si>
  <si>
    <t>Medium</t>
  </si>
  <si>
    <t>Good</t>
  </si>
  <si>
    <t>Better</t>
  </si>
  <si>
    <t>Best</t>
  </si>
  <si>
    <t>Bad</t>
  </si>
  <si>
    <t>BQ 4 -- Do satisfaction scores predict attrition better than compensation?</t>
  </si>
  <si>
    <t>Environment Satisfaction Attrition Rate — Sorted by Risk (High to Low)</t>
  </si>
  <si>
    <t>Work Life Balance Attrition Rate — Sorted by Risk (High to Low)</t>
  </si>
  <si>
    <t>Job Satisfaction Attrition Rate — Sorted by Risk (High to Low)</t>
  </si>
  <si>
    <t>Relationship Satisfaction Attrition Rate — Sorted by Risk (High to Low)</t>
  </si>
  <si>
    <t>Job Involvement Attrition Rate — Sorted by Risk (High to Low)</t>
  </si>
  <si>
    <t>BQ5: What is the estimated annual cost of attrition, and which department and role carries the highest financial risk?</t>
  </si>
  <si>
    <t>Employees Lost</t>
  </si>
  <si>
    <t>Average Monthly Income</t>
  </si>
  <si>
    <t>Est. Annual Attrition Cost</t>
  </si>
  <si>
    <t>Cost by Department</t>
  </si>
  <si>
    <t>Cost by Job Role</t>
  </si>
  <si>
    <t>⚠ Disclaimer: Cost estimates assume 100% annual salary replacement cost per industry standard</t>
  </si>
  <si>
    <t>midpoint (SHRM, 2023). Actual costs vary by role, seniority, and recruitment channel. Estimates</t>
  </si>
  <si>
    <t>exclude productivity loss during vacancy and team morale impact</t>
  </si>
  <si>
    <t xml:space="preserve">Est. Annual Attrition Cost </t>
  </si>
  <si>
    <t>Created Custom Columns in PowerBi during Project Phase 4</t>
  </si>
  <si>
    <t>Additional grouping and sort columns created in Power BI Power Query during Phase 4 dashboard development. These columns exist only in the Power BI data model and were not added back to the Excel cleaned dataset.</t>
  </si>
  <si>
    <t>Additional sort columns created in Power BI Power Query during Phase 4 dashboard development. These columns exist only in the Power BI data model and were not added back to the Excel cleaned dataset.</t>
  </si>
  <si>
    <t>Sort Order Issue for columns like Age_Group, Tenure</t>
  </si>
  <si>
    <t>YearsWithCurrManager, YearsSinceLastPromotion, NumberOfCompaniesWorked were not grouped into categorical data for viz</t>
  </si>
  <si>
    <t xml:space="preserve"> </t>
  </si>
  <si>
    <t>Tenure_Sort</t>
  </si>
  <si>
    <t>Sort key for Tenure_Group</t>
  </si>
  <si>
    <t>Created in Power BI Power Query for chronological sort</t>
  </si>
  <si>
    <t>Age_Sort</t>
  </si>
  <si>
    <t>Sort key for Age_Group</t>
  </si>
  <si>
    <t>Promotion_Group</t>
  </si>
  <si>
    <t>Grouped YearsSinceLastPromotion</t>
  </si>
  <si>
    <t>0-1, 2-5, 6-10, 10+ Years</t>
  </si>
  <si>
    <t>Created in Power BI Power Query</t>
  </si>
  <si>
    <t>Promotion_Sort</t>
  </si>
  <si>
    <t>Sort key for Promotion_Group</t>
  </si>
  <si>
    <t>NumCompanies_Group</t>
  </si>
  <si>
    <t>Grouped NumCompaniesWorked</t>
  </si>
  <si>
    <t>0, 1-2, 3-5, 6+</t>
  </si>
  <si>
    <t>NumCompanies_Sort</t>
  </si>
  <si>
    <t>Sort key for NumCompanies_Group</t>
  </si>
  <si>
    <t>Structural validation completed: 0 duplicates, 0 null values, all data types correctly formatted. Dataset ready for transformation. (before PowerBI)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</si>
</sst>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[$$-409]#,##0"/>
    <numFmt numFmtId="166" formatCode="[$$-409]#,##0_ ;\-[$$-409]#,##0\ "/>
    <numFmt numFmtId="173" formatCode="\1\-\4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1" applyNumberFormat="1" applyFont="1"/>
    <xf numFmtId="164" fontId="16" fillId="0" borderId="0" xfId="1" applyNumberFormat="1" applyFont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165" fontId="0" fillId="0" borderId="0" xfId="0" applyNumberFormat="1"/>
    <xf numFmtId="166" fontId="0" fillId="0" borderId="0" xfId="0" applyNumberFormat="1"/>
    <xf numFmtId="166" fontId="16" fillId="0" borderId="0" xfId="0" applyNumberFormat="1" applyFont="1"/>
    <xf numFmtId="166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0" fillId="33" borderId="0" xfId="0" applyFill="1"/>
    <xf numFmtId="173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166" formatCode="[$$-409]#,##0_ ;\-[$$-409]#,##0\ "/>
    </dxf>
    <dxf>
      <numFmt numFmtId="165" formatCode="[$$-409]#,##0"/>
    </dxf>
    <dxf>
      <numFmt numFmtId="165" formatCode="[$$-409]#,##0"/>
    </dxf>
    <dxf>
      <numFmt numFmtId="165" formatCode="[$$-409]#,##0"/>
    </dxf>
  </dxfs>
  <tableStyles count="0" defaultTableStyle="TableStyleMedium2" defaultPivotStyle="PivotStyleLight16"/>
  <colors>
    <mruColors>
      <color rgb="FFF8696B"/>
      <color rgb="FF63BE7B"/>
      <color rgb="FF99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Lall" refreshedDate="46172.969828009256" createdVersion="8" refreshedVersion="8" minRefreshableVersion="3" recordCount="1470" xr:uid="{FB1F4283-084B-4B98-82FE-C17AC42EC612}">
  <cacheSource type="worksheet">
    <worksheetSource ref="A1:AR1471" sheet="Cleaned_Data"/>
  </cacheSource>
  <cacheFields count="44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 count="2">
        <n v="1"/>
        <n v="0"/>
      </sharedItems>
    </cacheField>
    <cacheField name="OverTime_Flag" numFmtId="0">
      <sharedItems containsSemiMixedTypes="0" containsString="0" containsNumber="1" containsInteger="1" minValue="0" maxValue="1" count="2">
        <n v="1"/>
        <n v="0"/>
      </sharedItems>
    </cacheField>
    <cacheField name="Education_Label" numFmtId="0">
      <sharedItems count="5">
        <s v="College"/>
        <s v="Below College"/>
        <s v="Master"/>
        <s v="Bachelor"/>
        <s v="Doctor"/>
      </sharedItems>
    </cacheField>
    <cacheField name="EnvironmentSatisfaction_Label" numFmtId="0">
      <sharedItems count="4">
        <s v="Medium"/>
        <s v="High"/>
        <s v="Very High"/>
        <s v="Low"/>
      </sharedItems>
    </cacheField>
    <cacheField name="JobInvolvement_Label" numFmtId="0">
      <sharedItems count="4">
        <s v="High"/>
        <s v="Medium"/>
        <s v="Very High"/>
        <s v="Low"/>
      </sharedItems>
    </cacheField>
    <cacheField name="JobLevel_Label" numFmtId="0">
      <sharedItems count="5">
        <s v="Junior"/>
        <s v="Entry"/>
        <s v="Mid-Level"/>
        <s v="Senior"/>
        <s v="Executive"/>
      </sharedItems>
    </cacheField>
    <cacheField name="JobSatisfaction_Label" numFmtId="0">
      <sharedItems count="4">
        <s v="Very High"/>
        <s v="Medium"/>
        <s v="High"/>
        <s v="Low"/>
      </sharedItems>
    </cacheField>
    <cacheField name="RelationshipSatisfaction_Label" numFmtId="0">
      <sharedItems count="4">
        <s v="Low"/>
        <s v="Very High"/>
        <s v="Medium"/>
        <s v="High"/>
      </sharedItems>
    </cacheField>
    <cacheField name="StockOptionLevel_Label" numFmtId="0">
      <sharedItems/>
    </cacheField>
    <cacheField name="WorkLifeBalance_Label" numFmtId="0">
      <sharedItems count="4">
        <s v="Bad"/>
        <s v="Better"/>
        <s v="Good"/>
        <s v="Best"/>
      </sharedItems>
    </cacheField>
    <cacheField name="Age_Group" numFmtId="0">
      <sharedItems count="5">
        <s v="35-44"/>
        <s v="45-54"/>
        <s v="25-34"/>
        <s v="55+"/>
        <s v="Under 25"/>
      </sharedItems>
    </cacheField>
    <cacheField name="Income_Band" numFmtId="0">
      <sharedItems count="4">
        <s v="Lower-Mid"/>
        <s v="Low"/>
        <s v="Upper-Mid"/>
        <s v="High"/>
      </sharedItems>
    </cacheField>
    <cacheField name="Tenure_Group" numFmtId="0">
      <sharedItems count="5">
        <s v="6-10 Years"/>
        <s v="0-2 Years"/>
        <s v="3-5 Years"/>
        <s v="20+ Years"/>
        <s v="11-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x v="0"/>
    <n v="94"/>
    <n v="3"/>
    <n v="2"/>
    <x v="0"/>
    <n v="4"/>
    <x v="0"/>
    <n v="5993"/>
    <n v="8"/>
    <x v="0"/>
    <n v="11"/>
    <n v="3"/>
    <n v="1"/>
    <n v="0"/>
    <n v="8"/>
    <n v="0"/>
    <n v="1"/>
    <n v="6"/>
    <n v="4"/>
    <n v="0"/>
    <n v="5"/>
    <x v="0"/>
    <x v="0"/>
    <x v="0"/>
    <x v="0"/>
    <x v="0"/>
    <x v="0"/>
    <x v="0"/>
    <x v="0"/>
    <s v="No Options"/>
    <x v="0"/>
    <x v="0"/>
    <x v="0"/>
    <x v="0"/>
  </r>
  <r>
    <n v="49"/>
    <x v="1"/>
    <s v="Travel_Frequently"/>
    <n v="279"/>
    <x v="1"/>
    <n v="8"/>
    <n v="1"/>
    <s v="Life Sciences"/>
    <n v="2"/>
    <n v="3"/>
    <x v="1"/>
    <n v="61"/>
    <n v="2"/>
    <n v="2"/>
    <x v="1"/>
    <n v="2"/>
    <x v="1"/>
    <n v="5130"/>
    <n v="1"/>
    <x v="1"/>
    <n v="23"/>
    <n v="4"/>
    <n v="4"/>
    <n v="1"/>
    <n v="10"/>
    <n v="3"/>
    <n v="3"/>
    <n v="10"/>
    <n v="7"/>
    <n v="1"/>
    <n v="7"/>
    <x v="1"/>
    <x v="1"/>
    <x v="1"/>
    <x v="1"/>
    <x v="1"/>
    <x v="0"/>
    <x v="1"/>
    <x v="1"/>
    <s v="Low"/>
    <x v="1"/>
    <x v="1"/>
    <x v="0"/>
    <x v="0"/>
  </r>
  <r>
    <n v="37"/>
    <x v="0"/>
    <s v="Travel_Rarely"/>
    <n v="1373"/>
    <x v="1"/>
    <n v="2"/>
    <n v="2"/>
    <s v="Other"/>
    <n v="4"/>
    <n v="4"/>
    <x v="1"/>
    <n v="92"/>
    <n v="2"/>
    <n v="1"/>
    <x v="2"/>
    <n v="3"/>
    <x v="0"/>
    <n v="2090"/>
    <n v="6"/>
    <x v="0"/>
    <n v="15"/>
    <n v="3"/>
    <n v="2"/>
    <n v="0"/>
    <n v="7"/>
    <n v="3"/>
    <n v="3"/>
    <n v="0"/>
    <n v="0"/>
    <n v="0"/>
    <n v="0"/>
    <x v="0"/>
    <x v="0"/>
    <x v="0"/>
    <x v="2"/>
    <x v="1"/>
    <x v="1"/>
    <x v="2"/>
    <x v="2"/>
    <s v="No Options"/>
    <x v="1"/>
    <x v="0"/>
    <x v="1"/>
    <x v="1"/>
  </r>
  <r>
    <n v="33"/>
    <x v="1"/>
    <s v="Travel_Frequently"/>
    <n v="1392"/>
    <x v="1"/>
    <n v="3"/>
    <n v="4"/>
    <s v="Life Sciences"/>
    <n v="5"/>
    <n v="4"/>
    <x v="0"/>
    <n v="56"/>
    <n v="3"/>
    <n v="1"/>
    <x v="1"/>
    <n v="3"/>
    <x v="1"/>
    <n v="2909"/>
    <n v="1"/>
    <x v="0"/>
    <n v="11"/>
    <n v="3"/>
    <n v="3"/>
    <n v="0"/>
    <n v="8"/>
    <n v="3"/>
    <n v="3"/>
    <n v="8"/>
    <n v="7"/>
    <n v="3"/>
    <n v="0"/>
    <x v="1"/>
    <x v="0"/>
    <x v="2"/>
    <x v="2"/>
    <x v="0"/>
    <x v="1"/>
    <x v="2"/>
    <x v="3"/>
    <s v="No Options"/>
    <x v="1"/>
    <x v="2"/>
    <x v="1"/>
    <x v="0"/>
  </r>
  <r>
    <n v="27"/>
    <x v="1"/>
    <s v="Travel_Rarely"/>
    <n v="591"/>
    <x v="1"/>
    <n v="2"/>
    <n v="1"/>
    <s v="Medical"/>
    <n v="7"/>
    <n v="1"/>
    <x v="1"/>
    <n v="40"/>
    <n v="3"/>
    <n v="1"/>
    <x v="2"/>
    <n v="2"/>
    <x v="1"/>
    <n v="3468"/>
    <n v="9"/>
    <x v="1"/>
    <n v="12"/>
    <n v="3"/>
    <n v="4"/>
    <n v="1"/>
    <n v="6"/>
    <n v="3"/>
    <n v="3"/>
    <n v="2"/>
    <n v="2"/>
    <n v="2"/>
    <n v="2"/>
    <x v="1"/>
    <x v="1"/>
    <x v="1"/>
    <x v="3"/>
    <x v="0"/>
    <x v="1"/>
    <x v="1"/>
    <x v="1"/>
    <s v="Low"/>
    <x v="1"/>
    <x v="2"/>
    <x v="0"/>
    <x v="1"/>
  </r>
  <r>
    <n v="32"/>
    <x v="1"/>
    <s v="Travel_Frequently"/>
    <n v="1005"/>
    <x v="1"/>
    <n v="2"/>
    <n v="2"/>
    <s v="Life Sciences"/>
    <n v="8"/>
    <n v="4"/>
    <x v="1"/>
    <n v="79"/>
    <n v="3"/>
    <n v="1"/>
    <x v="2"/>
    <n v="4"/>
    <x v="0"/>
    <n v="3068"/>
    <n v="0"/>
    <x v="1"/>
    <n v="13"/>
    <n v="3"/>
    <n v="3"/>
    <n v="0"/>
    <n v="8"/>
    <n v="2"/>
    <n v="2"/>
    <n v="7"/>
    <n v="7"/>
    <n v="3"/>
    <n v="6"/>
    <x v="1"/>
    <x v="1"/>
    <x v="0"/>
    <x v="2"/>
    <x v="0"/>
    <x v="1"/>
    <x v="0"/>
    <x v="3"/>
    <s v="No Options"/>
    <x v="2"/>
    <x v="2"/>
    <x v="0"/>
    <x v="0"/>
  </r>
  <r>
    <n v="59"/>
    <x v="1"/>
    <s v="Travel_Rarely"/>
    <n v="1324"/>
    <x v="1"/>
    <n v="3"/>
    <n v="3"/>
    <s v="Medical"/>
    <n v="10"/>
    <n v="3"/>
    <x v="0"/>
    <n v="81"/>
    <n v="4"/>
    <n v="1"/>
    <x v="2"/>
    <n v="1"/>
    <x v="1"/>
    <n v="2670"/>
    <n v="4"/>
    <x v="0"/>
    <n v="20"/>
    <n v="4"/>
    <n v="1"/>
    <n v="3"/>
    <n v="12"/>
    <n v="3"/>
    <n v="2"/>
    <n v="1"/>
    <n v="0"/>
    <n v="0"/>
    <n v="0"/>
    <x v="1"/>
    <x v="0"/>
    <x v="3"/>
    <x v="1"/>
    <x v="2"/>
    <x v="1"/>
    <x v="3"/>
    <x v="0"/>
    <s v="High"/>
    <x v="2"/>
    <x v="3"/>
    <x v="1"/>
    <x v="1"/>
  </r>
  <r>
    <n v="30"/>
    <x v="1"/>
    <s v="Travel_Rarely"/>
    <n v="1358"/>
    <x v="1"/>
    <n v="24"/>
    <n v="1"/>
    <s v="Life Sciences"/>
    <n v="11"/>
    <n v="4"/>
    <x v="1"/>
    <n v="67"/>
    <n v="3"/>
    <n v="1"/>
    <x v="2"/>
    <n v="3"/>
    <x v="2"/>
    <n v="2693"/>
    <n v="1"/>
    <x v="1"/>
    <n v="22"/>
    <n v="4"/>
    <n v="2"/>
    <n v="1"/>
    <n v="1"/>
    <n v="2"/>
    <n v="3"/>
    <n v="1"/>
    <n v="0"/>
    <n v="0"/>
    <n v="0"/>
    <x v="1"/>
    <x v="1"/>
    <x v="1"/>
    <x v="2"/>
    <x v="0"/>
    <x v="1"/>
    <x v="2"/>
    <x v="2"/>
    <s v="Low"/>
    <x v="1"/>
    <x v="2"/>
    <x v="1"/>
    <x v="1"/>
  </r>
  <r>
    <n v="38"/>
    <x v="1"/>
    <s v="Travel_Frequently"/>
    <n v="216"/>
    <x v="1"/>
    <n v="23"/>
    <n v="3"/>
    <s v="Life Sciences"/>
    <n v="12"/>
    <n v="4"/>
    <x v="1"/>
    <n v="44"/>
    <n v="2"/>
    <n v="3"/>
    <x v="3"/>
    <n v="3"/>
    <x v="0"/>
    <n v="9526"/>
    <n v="0"/>
    <x v="1"/>
    <n v="21"/>
    <n v="4"/>
    <n v="2"/>
    <n v="0"/>
    <n v="10"/>
    <n v="2"/>
    <n v="3"/>
    <n v="9"/>
    <n v="7"/>
    <n v="1"/>
    <n v="8"/>
    <x v="1"/>
    <x v="1"/>
    <x v="3"/>
    <x v="2"/>
    <x v="1"/>
    <x v="2"/>
    <x v="2"/>
    <x v="2"/>
    <s v="No Options"/>
    <x v="1"/>
    <x v="0"/>
    <x v="2"/>
    <x v="0"/>
  </r>
  <r>
    <n v="36"/>
    <x v="1"/>
    <s v="Travel_Rarely"/>
    <n v="1299"/>
    <x v="1"/>
    <n v="27"/>
    <n v="3"/>
    <s v="Medical"/>
    <n v="13"/>
    <n v="3"/>
    <x v="1"/>
    <n v="94"/>
    <n v="3"/>
    <n v="2"/>
    <x v="4"/>
    <n v="3"/>
    <x v="1"/>
    <n v="5237"/>
    <n v="6"/>
    <x v="1"/>
    <n v="13"/>
    <n v="3"/>
    <n v="2"/>
    <n v="2"/>
    <n v="17"/>
    <n v="3"/>
    <n v="2"/>
    <n v="7"/>
    <n v="7"/>
    <n v="7"/>
    <n v="7"/>
    <x v="1"/>
    <x v="1"/>
    <x v="3"/>
    <x v="1"/>
    <x v="0"/>
    <x v="0"/>
    <x v="2"/>
    <x v="2"/>
    <s v="Medium"/>
    <x v="2"/>
    <x v="0"/>
    <x v="0"/>
    <x v="0"/>
  </r>
  <r>
    <n v="35"/>
    <x v="1"/>
    <s v="Travel_Rarely"/>
    <n v="809"/>
    <x v="1"/>
    <n v="16"/>
    <n v="3"/>
    <s v="Medical"/>
    <n v="14"/>
    <n v="1"/>
    <x v="1"/>
    <n v="84"/>
    <n v="4"/>
    <n v="1"/>
    <x v="2"/>
    <n v="2"/>
    <x v="1"/>
    <n v="2426"/>
    <n v="0"/>
    <x v="1"/>
    <n v="13"/>
    <n v="3"/>
    <n v="3"/>
    <n v="1"/>
    <n v="6"/>
    <n v="5"/>
    <n v="3"/>
    <n v="5"/>
    <n v="4"/>
    <n v="0"/>
    <n v="3"/>
    <x v="1"/>
    <x v="1"/>
    <x v="3"/>
    <x v="3"/>
    <x v="2"/>
    <x v="1"/>
    <x v="1"/>
    <x v="3"/>
    <s v="Low"/>
    <x v="1"/>
    <x v="0"/>
    <x v="1"/>
    <x v="2"/>
  </r>
  <r>
    <n v="29"/>
    <x v="1"/>
    <s v="Travel_Rarely"/>
    <n v="153"/>
    <x v="1"/>
    <n v="15"/>
    <n v="2"/>
    <s v="Life Sciences"/>
    <n v="15"/>
    <n v="4"/>
    <x v="0"/>
    <n v="49"/>
    <n v="2"/>
    <n v="2"/>
    <x v="2"/>
    <n v="3"/>
    <x v="0"/>
    <n v="4193"/>
    <n v="0"/>
    <x v="0"/>
    <n v="12"/>
    <n v="3"/>
    <n v="4"/>
    <n v="0"/>
    <n v="10"/>
    <n v="3"/>
    <n v="3"/>
    <n v="9"/>
    <n v="5"/>
    <n v="0"/>
    <n v="8"/>
    <x v="1"/>
    <x v="0"/>
    <x v="0"/>
    <x v="2"/>
    <x v="1"/>
    <x v="0"/>
    <x v="2"/>
    <x v="1"/>
    <s v="No Options"/>
    <x v="1"/>
    <x v="2"/>
    <x v="0"/>
    <x v="0"/>
  </r>
  <r>
    <n v="31"/>
    <x v="1"/>
    <s v="Travel_Rarely"/>
    <n v="670"/>
    <x v="1"/>
    <n v="26"/>
    <n v="1"/>
    <s v="Life Sciences"/>
    <n v="16"/>
    <n v="1"/>
    <x v="1"/>
    <n v="31"/>
    <n v="3"/>
    <n v="1"/>
    <x v="1"/>
    <n v="3"/>
    <x v="2"/>
    <n v="2911"/>
    <n v="1"/>
    <x v="1"/>
    <n v="17"/>
    <n v="3"/>
    <n v="4"/>
    <n v="1"/>
    <n v="5"/>
    <n v="1"/>
    <n v="2"/>
    <n v="5"/>
    <n v="2"/>
    <n v="4"/>
    <n v="3"/>
    <x v="1"/>
    <x v="1"/>
    <x v="1"/>
    <x v="3"/>
    <x v="0"/>
    <x v="1"/>
    <x v="2"/>
    <x v="1"/>
    <s v="Low"/>
    <x v="2"/>
    <x v="2"/>
    <x v="1"/>
    <x v="2"/>
  </r>
  <r>
    <n v="34"/>
    <x v="1"/>
    <s v="Travel_Rarely"/>
    <n v="1346"/>
    <x v="1"/>
    <n v="19"/>
    <n v="2"/>
    <s v="Medical"/>
    <n v="18"/>
    <n v="2"/>
    <x v="1"/>
    <n v="93"/>
    <n v="3"/>
    <n v="1"/>
    <x v="2"/>
    <n v="4"/>
    <x v="2"/>
    <n v="2661"/>
    <n v="0"/>
    <x v="1"/>
    <n v="11"/>
    <n v="3"/>
    <n v="3"/>
    <n v="1"/>
    <n v="3"/>
    <n v="2"/>
    <n v="3"/>
    <n v="2"/>
    <n v="2"/>
    <n v="1"/>
    <n v="2"/>
    <x v="1"/>
    <x v="1"/>
    <x v="0"/>
    <x v="0"/>
    <x v="0"/>
    <x v="1"/>
    <x v="0"/>
    <x v="3"/>
    <s v="Low"/>
    <x v="1"/>
    <x v="2"/>
    <x v="1"/>
    <x v="1"/>
  </r>
  <r>
    <n v="28"/>
    <x v="0"/>
    <s v="Travel_Rarely"/>
    <n v="103"/>
    <x v="1"/>
    <n v="24"/>
    <n v="3"/>
    <s v="Life Sciences"/>
    <n v="19"/>
    <n v="3"/>
    <x v="1"/>
    <n v="50"/>
    <n v="2"/>
    <n v="1"/>
    <x v="2"/>
    <n v="3"/>
    <x v="0"/>
    <n v="2028"/>
    <n v="5"/>
    <x v="0"/>
    <n v="14"/>
    <n v="3"/>
    <n v="2"/>
    <n v="0"/>
    <n v="6"/>
    <n v="4"/>
    <n v="3"/>
    <n v="4"/>
    <n v="2"/>
    <n v="0"/>
    <n v="3"/>
    <x v="0"/>
    <x v="0"/>
    <x v="3"/>
    <x v="1"/>
    <x v="1"/>
    <x v="1"/>
    <x v="2"/>
    <x v="2"/>
    <s v="No Options"/>
    <x v="1"/>
    <x v="2"/>
    <x v="1"/>
    <x v="2"/>
  </r>
  <r>
    <n v="29"/>
    <x v="1"/>
    <s v="Travel_Rarely"/>
    <n v="1389"/>
    <x v="1"/>
    <n v="21"/>
    <n v="4"/>
    <s v="Life Sciences"/>
    <n v="20"/>
    <n v="2"/>
    <x v="0"/>
    <n v="51"/>
    <n v="4"/>
    <n v="3"/>
    <x v="3"/>
    <n v="1"/>
    <x v="2"/>
    <n v="9980"/>
    <n v="1"/>
    <x v="1"/>
    <n v="11"/>
    <n v="3"/>
    <n v="3"/>
    <n v="1"/>
    <n v="10"/>
    <n v="1"/>
    <n v="3"/>
    <n v="10"/>
    <n v="9"/>
    <n v="8"/>
    <n v="8"/>
    <x v="1"/>
    <x v="1"/>
    <x v="2"/>
    <x v="0"/>
    <x v="2"/>
    <x v="2"/>
    <x v="3"/>
    <x v="3"/>
    <s v="Low"/>
    <x v="1"/>
    <x v="2"/>
    <x v="2"/>
    <x v="0"/>
  </r>
  <r>
    <n v="32"/>
    <x v="1"/>
    <s v="Travel_Rarely"/>
    <n v="334"/>
    <x v="1"/>
    <n v="5"/>
    <n v="2"/>
    <s v="Life Sciences"/>
    <n v="21"/>
    <n v="1"/>
    <x v="1"/>
    <n v="80"/>
    <n v="4"/>
    <n v="1"/>
    <x v="1"/>
    <n v="2"/>
    <x v="2"/>
    <n v="3298"/>
    <n v="0"/>
    <x v="0"/>
    <n v="12"/>
    <n v="3"/>
    <n v="4"/>
    <n v="2"/>
    <n v="7"/>
    <n v="5"/>
    <n v="2"/>
    <n v="6"/>
    <n v="2"/>
    <n v="0"/>
    <n v="5"/>
    <x v="1"/>
    <x v="0"/>
    <x v="0"/>
    <x v="3"/>
    <x v="2"/>
    <x v="1"/>
    <x v="1"/>
    <x v="1"/>
    <s v="Medium"/>
    <x v="2"/>
    <x v="2"/>
    <x v="0"/>
    <x v="0"/>
  </r>
  <r>
    <n v="22"/>
    <x v="1"/>
    <s v="Non-Travel"/>
    <n v="1123"/>
    <x v="1"/>
    <n v="16"/>
    <n v="2"/>
    <s v="Medical"/>
    <n v="22"/>
    <n v="4"/>
    <x v="1"/>
    <n v="96"/>
    <n v="4"/>
    <n v="1"/>
    <x v="2"/>
    <n v="4"/>
    <x v="2"/>
    <n v="2935"/>
    <n v="1"/>
    <x v="0"/>
    <n v="13"/>
    <n v="3"/>
    <n v="2"/>
    <n v="2"/>
    <n v="1"/>
    <n v="2"/>
    <n v="2"/>
    <n v="1"/>
    <n v="0"/>
    <n v="0"/>
    <n v="0"/>
    <x v="1"/>
    <x v="0"/>
    <x v="0"/>
    <x v="2"/>
    <x v="2"/>
    <x v="1"/>
    <x v="0"/>
    <x v="2"/>
    <s v="Medium"/>
    <x v="2"/>
    <x v="4"/>
    <x v="1"/>
    <x v="1"/>
  </r>
  <r>
    <n v="53"/>
    <x v="1"/>
    <s v="Travel_Rarely"/>
    <n v="1219"/>
    <x v="0"/>
    <n v="2"/>
    <n v="4"/>
    <s v="Life Sciences"/>
    <n v="23"/>
    <n v="1"/>
    <x v="0"/>
    <n v="78"/>
    <n v="2"/>
    <n v="4"/>
    <x v="5"/>
    <n v="4"/>
    <x v="1"/>
    <n v="15427"/>
    <n v="2"/>
    <x v="1"/>
    <n v="16"/>
    <n v="3"/>
    <n v="3"/>
    <n v="0"/>
    <n v="31"/>
    <n v="3"/>
    <n v="3"/>
    <n v="25"/>
    <n v="8"/>
    <n v="3"/>
    <n v="7"/>
    <x v="1"/>
    <x v="1"/>
    <x v="2"/>
    <x v="3"/>
    <x v="1"/>
    <x v="3"/>
    <x v="0"/>
    <x v="3"/>
    <s v="No Options"/>
    <x v="1"/>
    <x v="1"/>
    <x v="3"/>
    <x v="3"/>
  </r>
  <r>
    <n v="38"/>
    <x v="1"/>
    <s v="Travel_Rarely"/>
    <n v="371"/>
    <x v="1"/>
    <n v="2"/>
    <n v="3"/>
    <s v="Life Sciences"/>
    <n v="24"/>
    <n v="4"/>
    <x v="1"/>
    <n v="45"/>
    <n v="3"/>
    <n v="1"/>
    <x v="1"/>
    <n v="4"/>
    <x v="0"/>
    <n v="3944"/>
    <n v="5"/>
    <x v="0"/>
    <n v="11"/>
    <n v="3"/>
    <n v="3"/>
    <n v="0"/>
    <n v="6"/>
    <n v="3"/>
    <n v="3"/>
    <n v="3"/>
    <n v="2"/>
    <n v="1"/>
    <n v="2"/>
    <x v="1"/>
    <x v="0"/>
    <x v="3"/>
    <x v="2"/>
    <x v="0"/>
    <x v="1"/>
    <x v="0"/>
    <x v="3"/>
    <s v="No Options"/>
    <x v="1"/>
    <x v="0"/>
    <x v="0"/>
    <x v="2"/>
  </r>
  <r>
    <n v="24"/>
    <x v="1"/>
    <s v="Non-Travel"/>
    <n v="673"/>
    <x v="1"/>
    <n v="11"/>
    <n v="2"/>
    <s v="Other"/>
    <n v="26"/>
    <n v="1"/>
    <x v="0"/>
    <n v="96"/>
    <n v="4"/>
    <n v="2"/>
    <x v="3"/>
    <n v="3"/>
    <x v="2"/>
    <n v="4011"/>
    <n v="0"/>
    <x v="1"/>
    <n v="18"/>
    <n v="3"/>
    <n v="4"/>
    <n v="1"/>
    <n v="5"/>
    <n v="5"/>
    <n v="2"/>
    <n v="4"/>
    <n v="2"/>
    <n v="1"/>
    <n v="3"/>
    <x v="1"/>
    <x v="1"/>
    <x v="0"/>
    <x v="3"/>
    <x v="2"/>
    <x v="0"/>
    <x v="2"/>
    <x v="1"/>
    <s v="Low"/>
    <x v="2"/>
    <x v="4"/>
    <x v="0"/>
    <x v="2"/>
  </r>
  <r>
    <n v="36"/>
    <x v="0"/>
    <s v="Travel_Rarely"/>
    <n v="1218"/>
    <x v="0"/>
    <n v="9"/>
    <n v="4"/>
    <s v="Life Sciences"/>
    <n v="27"/>
    <n v="3"/>
    <x v="1"/>
    <n v="82"/>
    <n v="2"/>
    <n v="1"/>
    <x v="6"/>
    <n v="1"/>
    <x v="0"/>
    <n v="3407"/>
    <n v="7"/>
    <x v="1"/>
    <n v="23"/>
    <n v="4"/>
    <n v="2"/>
    <n v="0"/>
    <n v="10"/>
    <n v="4"/>
    <n v="3"/>
    <n v="5"/>
    <n v="3"/>
    <n v="0"/>
    <n v="3"/>
    <x v="0"/>
    <x v="1"/>
    <x v="2"/>
    <x v="1"/>
    <x v="1"/>
    <x v="1"/>
    <x v="3"/>
    <x v="2"/>
    <s v="No Options"/>
    <x v="1"/>
    <x v="0"/>
    <x v="0"/>
    <x v="2"/>
  </r>
  <r>
    <n v="34"/>
    <x v="1"/>
    <s v="Travel_Rarely"/>
    <n v="419"/>
    <x v="1"/>
    <n v="7"/>
    <n v="4"/>
    <s v="Life Sciences"/>
    <n v="28"/>
    <n v="1"/>
    <x v="0"/>
    <n v="53"/>
    <n v="3"/>
    <n v="3"/>
    <x v="7"/>
    <n v="2"/>
    <x v="0"/>
    <n v="11994"/>
    <n v="0"/>
    <x v="1"/>
    <n v="11"/>
    <n v="3"/>
    <n v="3"/>
    <n v="0"/>
    <n v="13"/>
    <n v="4"/>
    <n v="3"/>
    <n v="12"/>
    <n v="6"/>
    <n v="2"/>
    <n v="11"/>
    <x v="1"/>
    <x v="1"/>
    <x v="2"/>
    <x v="3"/>
    <x v="0"/>
    <x v="2"/>
    <x v="1"/>
    <x v="3"/>
    <s v="No Options"/>
    <x v="1"/>
    <x v="2"/>
    <x v="2"/>
    <x v="4"/>
  </r>
  <r>
    <n v="21"/>
    <x v="1"/>
    <s v="Travel_Rarely"/>
    <n v="391"/>
    <x v="1"/>
    <n v="15"/>
    <n v="2"/>
    <s v="Life Sciences"/>
    <n v="30"/>
    <n v="3"/>
    <x v="1"/>
    <n v="96"/>
    <n v="3"/>
    <n v="1"/>
    <x v="1"/>
    <n v="4"/>
    <x v="0"/>
    <n v="1232"/>
    <n v="1"/>
    <x v="1"/>
    <n v="14"/>
    <n v="3"/>
    <n v="4"/>
    <n v="0"/>
    <n v="0"/>
    <n v="6"/>
    <n v="3"/>
    <n v="0"/>
    <n v="0"/>
    <n v="0"/>
    <n v="0"/>
    <x v="1"/>
    <x v="1"/>
    <x v="0"/>
    <x v="1"/>
    <x v="0"/>
    <x v="1"/>
    <x v="0"/>
    <x v="1"/>
    <s v="No Options"/>
    <x v="1"/>
    <x v="4"/>
    <x v="1"/>
    <x v="1"/>
  </r>
  <r>
    <n v="34"/>
    <x v="0"/>
    <s v="Travel_Rarely"/>
    <n v="699"/>
    <x v="1"/>
    <n v="6"/>
    <n v="1"/>
    <s v="Medical"/>
    <n v="31"/>
    <n v="2"/>
    <x v="1"/>
    <n v="83"/>
    <n v="3"/>
    <n v="1"/>
    <x v="1"/>
    <n v="1"/>
    <x v="0"/>
    <n v="2960"/>
    <n v="2"/>
    <x v="1"/>
    <n v="11"/>
    <n v="3"/>
    <n v="3"/>
    <n v="0"/>
    <n v="8"/>
    <n v="2"/>
    <n v="3"/>
    <n v="4"/>
    <n v="2"/>
    <n v="1"/>
    <n v="3"/>
    <x v="0"/>
    <x v="1"/>
    <x v="1"/>
    <x v="0"/>
    <x v="0"/>
    <x v="1"/>
    <x v="3"/>
    <x v="3"/>
    <s v="No Options"/>
    <x v="1"/>
    <x v="2"/>
    <x v="1"/>
    <x v="2"/>
  </r>
  <r>
    <n v="53"/>
    <x v="1"/>
    <s v="Travel_Rarely"/>
    <n v="1282"/>
    <x v="1"/>
    <n v="5"/>
    <n v="3"/>
    <s v="Other"/>
    <n v="32"/>
    <n v="3"/>
    <x v="0"/>
    <n v="58"/>
    <n v="3"/>
    <n v="5"/>
    <x v="5"/>
    <n v="3"/>
    <x v="2"/>
    <n v="19094"/>
    <n v="4"/>
    <x v="1"/>
    <n v="11"/>
    <n v="3"/>
    <n v="4"/>
    <n v="1"/>
    <n v="26"/>
    <n v="3"/>
    <n v="2"/>
    <n v="14"/>
    <n v="13"/>
    <n v="4"/>
    <n v="8"/>
    <x v="1"/>
    <x v="1"/>
    <x v="3"/>
    <x v="1"/>
    <x v="0"/>
    <x v="4"/>
    <x v="2"/>
    <x v="1"/>
    <s v="Low"/>
    <x v="2"/>
    <x v="1"/>
    <x v="3"/>
    <x v="4"/>
  </r>
  <r>
    <n v="32"/>
    <x v="0"/>
    <s v="Travel_Frequently"/>
    <n v="1125"/>
    <x v="1"/>
    <n v="16"/>
    <n v="1"/>
    <s v="Life Sciences"/>
    <n v="33"/>
    <n v="2"/>
    <x v="0"/>
    <n v="72"/>
    <n v="1"/>
    <n v="1"/>
    <x v="1"/>
    <n v="1"/>
    <x v="0"/>
    <n v="3919"/>
    <n v="1"/>
    <x v="0"/>
    <n v="22"/>
    <n v="4"/>
    <n v="2"/>
    <n v="0"/>
    <n v="10"/>
    <n v="5"/>
    <n v="3"/>
    <n v="10"/>
    <n v="2"/>
    <n v="6"/>
    <n v="7"/>
    <x v="0"/>
    <x v="0"/>
    <x v="1"/>
    <x v="0"/>
    <x v="3"/>
    <x v="1"/>
    <x v="3"/>
    <x v="2"/>
    <s v="No Options"/>
    <x v="1"/>
    <x v="2"/>
    <x v="0"/>
    <x v="0"/>
  </r>
  <r>
    <n v="42"/>
    <x v="1"/>
    <s v="Travel_Rarely"/>
    <n v="691"/>
    <x v="0"/>
    <n v="8"/>
    <n v="4"/>
    <s v="Marketing"/>
    <n v="35"/>
    <n v="3"/>
    <x v="1"/>
    <n v="48"/>
    <n v="3"/>
    <n v="2"/>
    <x v="0"/>
    <n v="2"/>
    <x v="1"/>
    <n v="6825"/>
    <n v="0"/>
    <x v="1"/>
    <n v="11"/>
    <n v="3"/>
    <n v="4"/>
    <n v="1"/>
    <n v="10"/>
    <n v="2"/>
    <n v="3"/>
    <n v="9"/>
    <n v="7"/>
    <n v="4"/>
    <n v="2"/>
    <x v="1"/>
    <x v="1"/>
    <x v="2"/>
    <x v="1"/>
    <x v="0"/>
    <x v="0"/>
    <x v="1"/>
    <x v="1"/>
    <s v="Low"/>
    <x v="1"/>
    <x v="0"/>
    <x v="0"/>
    <x v="0"/>
  </r>
  <r>
    <n v="44"/>
    <x v="1"/>
    <s v="Travel_Rarely"/>
    <n v="477"/>
    <x v="1"/>
    <n v="7"/>
    <n v="4"/>
    <s v="Medical"/>
    <n v="36"/>
    <n v="1"/>
    <x v="0"/>
    <n v="42"/>
    <n v="2"/>
    <n v="3"/>
    <x v="4"/>
    <n v="4"/>
    <x v="1"/>
    <n v="10248"/>
    <n v="3"/>
    <x v="1"/>
    <n v="14"/>
    <n v="3"/>
    <n v="4"/>
    <n v="1"/>
    <n v="24"/>
    <n v="4"/>
    <n v="3"/>
    <n v="22"/>
    <n v="6"/>
    <n v="5"/>
    <n v="17"/>
    <x v="1"/>
    <x v="1"/>
    <x v="2"/>
    <x v="3"/>
    <x v="1"/>
    <x v="2"/>
    <x v="0"/>
    <x v="1"/>
    <s v="Low"/>
    <x v="1"/>
    <x v="0"/>
    <x v="2"/>
    <x v="3"/>
  </r>
  <r>
    <n v="46"/>
    <x v="1"/>
    <s v="Travel_Rarely"/>
    <n v="705"/>
    <x v="0"/>
    <n v="2"/>
    <n v="4"/>
    <s v="Marketing"/>
    <n v="38"/>
    <n v="2"/>
    <x v="0"/>
    <n v="83"/>
    <n v="3"/>
    <n v="5"/>
    <x v="5"/>
    <n v="1"/>
    <x v="0"/>
    <n v="18947"/>
    <n v="3"/>
    <x v="1"/>
    <n v="12"/>
    <n v="3"/>
    <n v="4"/>
    <n v="0"/>
    <n v="22"/>
    <n v="2"/>
    <n v="2"/>
    <n v="2"/>
    <n v="2"/>
    <n v="2"/>
    <n v="1"/>
    <x v="1"/>
    <x v="1"/>
    <x v="2"/>
    <x v="0"/>
    <x v="0"/>
    <x v="4"/>
    <x v="3"/>
    <x v="1"/>
    <s v="No Options"/>
    <x v="2"/>
    <x v="1"/>
    <x v="3"/>
    <x v="1"/>
  </r>
  <r>
    <n v="33"/>
    <x v="1"/>
    <s v="Travel_Rarely"/>
    <n v="924"/>
    <x v="1"/>
    <n v="2"/>
    <n v="3"/>
    <s v="Medical"/>
    <n v="39"/>
    <n v="3"/>
    <x v="1"/>
    <n v="78"/>
    <n v="3"/>
    <n v="1"/>
    <x v="2"/>
    <n v="4"/>
    <x v="0"/>
    <n v="2496"/>
    <n v="4"/>
    <x v="1"/>
    <n v="11"/>
    <n v="3"/>
    <n v="4"/>
    <n v="0"/>
    <n v="7"/>
    <n v="3"/>
    <n v="3"/>
    <n v="1"/>
    <n v="1"/>
    <n v="0"/>
    <n v="0"/>
    <x v="1"/>
    <x v="1"/>
    <x v="3"/>
    <x v="1"/>
    <x v="0"/>
    <x v="1"/>
    <x v="0"/>
    <x v="1"/>
    <s v="No Options"/>
    <x v="1"/>
    <x v="2"/>
    <x v="1"/>
    <x v="1"/>
  </r>
  <r>
    <n v="44"/>
    <x v="1"/>
    <s v="Travel_Rarely"/>
    <n v="1459"/>
    <x v="1"/>
    <n v="10"/>
    <n v="4"/>
    <s v="Other"/>
    <n v="40"/>
    <n v="4"/>
    <x v="1"/>
    <n v="41"/>
    <n v="3"/>
    <n v="2"/>
    <x v="4"/>
    <n v="4"/>
    <x v="1"/>
    <n v="6465"/>
    <n v="2"/>
    <x v="0"/>
    <n v="13"/>
    <n v="3"/>
    <n v="4"/>
    <n v="0"/>
    <n v="9"/>
    <n v="5"/>
    <n v="4"/>
    <n v="4"/>
    <n v="2"/>
    <n v="1"/>
    <n v="3"/>
    <x v="1"/>
    <x v="0"/>
    <x v="2"/>
    <x v="2"/>
    <x v="0"/>
    <x v="0"/>
    <x v="0"/>
    <x v="1"/>
    <s v="No Options"/>
    <x v="3"/>
    <x v="0"/>
    <x v="0"/>
    <x v="2"/>
  </r>
  <r>
    <n v="30"/>
    <x v="1"/>
    <s v="Travel_Rarely"/>
    <n v="125"/>
    <x v="1"/>
    <n v="9"/>
    <n v="2"/>
    <s v="Medical"/>
    <n v="41"/>
    <n v="4"/>
    <x v="1"/>
    <n v="83"/>
    <n v="2"/>
    <n v="1"/>
    <x v="2"/>
    <n v="3"/>
    <x v="0"/>
    <n v="2206"/>
    <n v="1"/>
    <x v="1"/>
    <n v="13"/>
    <n v="3"/>
    <n v="1"/>
    <n v="0"/>
    <n v="10"/>
    <n v="5"/>
    <n v="3"/>
    <n v="10"/>
    <n v="0"/>
    <n v="1"/>
    <n v="8"/>
    <x v="1"/>
    <x v="1"/>
    <x v="0"/>
    <x v="2"/>
    <x v="1"/>
    <x v="1"/>
    <x v="2"/>
    <x v="0"/>
    <s v="No Options"/>
    <x v="1"/>
    <x v="2"/>
    <x v="1"/>
    <x v="0"/>
  </r>
  <r>
    <n v="39"/>
    <x v="0"/>
    <s v="Travel_Rarely"/>
    <n v="895"/>
    <x v="0"/>
    <n v="5"/>
    <n v="3"/>
    <s v="Technical Degree"/>
    <n v="42"/>
    <n v="4"/>
    <x v="1"/>
    <n v="56"/>
    <n v="3"/>
    <n v="2"/>
    <x v="6"/>
    <n v="4"/>
    <x v="1"/>
    <n v="2086"/>
    <n v="3"/>
    <x v="1"/>
    <n v="14"/>
    <n v="3"/>
    <n v="3"/>
    <n v="1"/>
    <n v="19"/>
    <n v="6"/>
    <n v="4"/>
    <n v="1"/>
    <n v="0"/>
    <n v="0"/>
    <n v="0"/>
    <x v="0"/>
    <x v="1"/>
    <x v="3"/>
    <x v="2"/>
    <x v="0"/>
    <x v="0"/>
    <x v="0"/>
    <x v="3"/>
    <s v="Low"/>
    <x v="3"/>
    <x v="0"/>
    <x v="1"/>
    <x v="1"/>
  </r>
  <r>
    <n v="24"/>
    <x v="0"/>
    <s v="Travel_Rarely"/>
    <n v="813"/>
    <x v="1"/>
    <n v="1"/>
    <n v="3"/>
    <s v="Medical"/>
    <n v="45"/>
    <n v="2"/>
    <x v="1"/>
    <n v="61"/>
    <n v="3"/>
    <n v="1"/>
    <x v="1"/>
    <n v="4"/>
    <x v="1"/>
    <n v="2293"/>
    <n v="2"/>
    <x v="0"/>
    <n v="16"/>
    <n v="3"/>
    <n v="1"/>
    <n v="1"/>
    <n v="6"/>
    <n v="2"/>
    <n v="2"/>
    <n v="2"/>
    <n v="0"/>
    <n v="2"/>
    <n v="0"/>
    <x v="0"/>
    <x v="0"/>
    <x v="3"/>
    <x v="0"/>
    <x v="0"/>
    <x v="1"/>
    <x v="0"/>
    <x v="0"/>
    <s v="Low"/>
    <x v="2"/>
    <x v="4"/>
    <x v="1"/>
    <x v="1"/>
  </r>
  <r>
    <n v="43"/>
    <x v="1"/>
    <s v="Travel_Rarely"/>
    <n v="1273"/>
    <x v="1"/>
    <n v="2"/>
    <n v="2"/>
    <s v="Medical"/>
    <n v="46"/>
    <n v="4"/>
    <x v="0"/>
    <n v="72"/>
    <n v="4"/>
    <n v="1"/>
    <x v="1"/>
    <n v="3"/>
    <x v="2"/>
    <n v="2645"/>
    <n v="1"/>
    <x v="1"/>
    <n v="12"/>
    <n v="3"/>
    <n v="4"/>
    <n v="2"/>
    <n v="6"/>
    <n v="3"/>
    <n v="2"/>
    <n v="5"/>
    <n v="3"/>
    <n v="1"/>
    <n v="4"/>
    <x v="1"/>
    <x v="1"/>
    <x v="0"/>
    <x v="2"/>
    <x v="2"/>
    <x v="1"/>
    <x v="2"/>
    <x v="1"/>
    <s v="Medium"/>
    <x v="2"/>
    <x v="0"/>
    <x v="1"/>
    <x v="2"/>
  </r>
  <r>
    <n v="50"/>
    <x v="0"/>
    <s v="Travel_Rarely"/>
    <n v="869"/>
    <x v="0"/>
    <n v="3"/>
    <n v="2"/>
    <s v="Marketing"/>
    <n v="47"/>
    <n v="1"/>
    <x v="1"/>
    <n v="86"/>
    <n v="2"/>
    <n v="1"/>
    <x v="6"/>
    <n v="3"/>
    <x v="1"/>
    <n v="2683"/>
    <n v="1"/>
    <x v="0"/>
    <n v="14"/>
    <n v="3"/>
    <n v="3"/>
    <n v="0"/>
    <n v="3"/>
    <n v="2"/>
    <n v="3"/>
    <n v="3"/>
    <n v="2"/>
    <n v="0"/>
    <n v="2"/>
    <x v="0"/>
    <x v="0"/>
    <x v="0"/>
    <x v="3"/>
    <x v="1"/>
    <x v="1"/>
    <x v="2"/>
    <x v="3"/>
    <s v="No Options"/>
    <x v="1"/>
    <x v="1"/>
    <x v="1"/>
    <x v="2"/>
  </r>
  <r>
    <n v="35"/>
    <x v="1"/>
    <s v="Travel_Rarely"/>
    <n v="890"/>
    <x v="0"/>
    <n v="2"/>
    <n v="3"/>
    <s v="Marketing"/>
    <n v="49"/>
    <n v="4"/>
    <x v="0"/>
    <n v="97"/>
    <n v="3"/>
    <n v="1"/>
    <x v="6"/>
    <n v="4"/>
    <x v="1"/>
    <n v="2014"/>
    <n v="1"/>
    <x v="1"/>
    <n v="13"/>
    <n v="3"/>
    <n v="1"/>
    <n v="0"/>
    <n v="2"/>
    <n v="3"/>
    <n v="3"/>
    <n v="2"/>
    <n v="2"/>
    <n v="2"/>
    <n v="2"/>
    <x v="1"/>
    <x v="1"/>
    <x v="3"/>
    <x v="2"/>
    <x v="0"/>
    <x v="1"/>
    <x v="0"/>
    <x v="0"/>
    <s v="No Options"/>
    <x v="1"/>
    <x v="0"/>
    <x v="1"/>
    <x v="1"/>
  </r>
  <r>
    <n v="36"/>
    <x v="1"/>
    <s v="Travel_Rarely"/>
    <n v="852"/>
    <x v="1"/>
    <n v="5"/>
    <n v="4"/>
    <s v="Life Sciences"/>
    <n v="51"/>
    <n v="2"/>
    <x v="0"/>
    <n v="82"/>
    <n v="2"/>
    <n v="1"/>
    <x v="1"/>
    <n v="1"/>
    <x v="1"/>
    <n v="3419"/>
    <n v="9"/>
    <x v="0"/>
    <n v="14"/>
    <n v="3"/>
    <n v="4"/>
    <n v="1"/>
    <n v="6"/>
    <n v="3"/>
    <n v="4"/>
    <n v="1"/>
    <n v="1"/>
    <n v="0"/>
    <n v="0"/>
    <x v="1"/>
    <x v="0"/>
    <x v="2"/>
    <x v="0"/>
    <x v="1"/>
    <x v="1"/>
    <x v="3"/>
    <x v="1"/>
    <s v="Low"/>
    <x v="3"/>
    <x v="0"/>
    <x v="0"/>
    <x v="1"/>
  </r>
  <r>
    <n v="33"/>
    <x v="1"/>
    <s v="Travel_Frequently"/>
    <n v="1141"/>
    <x v="0"/>
    <n v="1"/>
    <n v="3"/>
    <s v="Life Sciences"/>
    <n v="52"/>
    <n v="3"/>
    <x v="0"/>
    <n v="42"/>
    <n v="4"/>
    <n v="2"/>
    <x v="0"/>
    <n v="1"/>
    <x v="1"/>
    <n v="5376"/>
    <n v="2"/>
    <x v="1"/>
    <n v="19"/>
    <n v="3"/>
    <n v="1"/>
    <n v="2"/>
    <n v="10"/>
    <n v="3"/>
    <n v="3"/>
    <n v="5"/>
    <n v="3"/>
    <n v="1"/>
    <n v="3"/>
    <x v="1"/>
    <x v="1"/>
    <x v="3"/>
    <x v="1"/>
    <x v="2"/>
    <x v="0"/>
    <x v="3"/>
    <x v="0"/>
    <s v="Medium"/>
    <x v="1"/>
    <x v="2"/>
    <x v="0"/>
    <x v="2"/>
  </r>
  <r>
    <n v="35"/>
    <x v="1"/>
    <s v="Travel_Rarely"/>
    <n v="464"/>
    <x v="1"/>
    <n v="4"/>
    <n v="2"/>
    <s v="Other"/>
    <n v="53"/>
    <n v="3"/>
    <x v="1"/>
    <n v="75"/>
    <n v="3"/>
    <n v="1"/>
    <x v="2"/>
    <n v="4"/>
    <x v="2"/>
    <n v="1951"/>
    <n v="1"/>
    <x v="1"/>
    <n v="12"/>
    <n v="3"/>
    <n v="3"/>
    <n v="1"/>
    <n v="1"/>
    <n v="3"/>
    <n v="3"/>
    <n v="1"/>
    <n v="0"/>
    <n v="0"/>
    <n v="0"/>
    <x v="1"/>
    <x v="1"/>
    <x v="0"/>
    <x v="1"/>
    <x v="0"/>
    <x v="1"/>
    <x v="0"/>
    <x v="3"/>
    <s v="Low"/>
    <x v="1"/>
    <x v="0"/>
    <x v="1"/>
    <x v="1"/>
  </r>
  <r>
    <n v="27"/>
    <x v="1"/>
    <s v="Travel_Rarely"/>
    <n v="1240"/>
    <x v="1"/>
    <n v="2"/>
    <n v="4"/>
    <s v="Life Sciences"/>
    <n v="54"/>
    <n v="4"/>
    <x v="0"/>
    <n v="33"/>
    <n v="3"/>
    <n v="1"/>
    <x v="2"/>
    <n v="1"/>
    <x v="2"/>
    <n v="2341"/>
    <n v="1"/>
    <x v="1"/>
    <n v="13"/>
    <n v="3"/>
    <n v="4"/>
    <n v="1"/>
    <n v="1"/>
    <n v="6"/>
    <n v="3"/>
    <n v="1"/>
    <n v="0"/>
    <n v="0"/>
    <n v="0"/>
    <x v="1"/>
    <x v="1"/>
    <x v="2"/>
    <x v="2"/>
    <x v="0"/>
    <x v="1"/>
    <x v="3"/>
    <x v="1"/>
    <s v="Low"/>
    <x v="1"/>
    <x v="2"/>
    <x v="1"/>
    <x v="1"/>
  </r>
  <r>
    <n v="26"/>
    <x v="0"/>
    <s v="Travel_Rarely"/>
    <n v="1357"/>
    <x v="1"/>
    <n v="25"/>
    <n v="3"/>
    <s v="Life Sciences"/>
    <n v="55"/>
    <n v="1"/>
    <x v="1"/>
    <n v="48"/>
    <n v="1"/>
    <n v="1"/>
    <x v="2"/>
    <n v="3"/>
    <x v="0"/>
    <n v="2293"/>
    <n v="1"/>
    <x v="1"/>
    <n v="12"/>
    <n v="3"/>
    <n v="3"/>
    <n v="0"/>
    <n v="1"/>
    <n v="2"/>
    <n v="2"/>
    <n v="1"/>
    <n v="0"/>
    <n v="0"/>
    <n v="1"/>
    <x v="0"/>
    <x v="1"/>
    <x v="3"/>
    <x v="3"/>
    <x v="3"/>
    <x v="1"/>
    <x v="2"/>
    <x v="3"/>
    <s v="No Options"/>
    <x v="2"/>
    <x v="2"/>
    <x v="1"/>
    <x v="1"/>
  </r>
  <r>
    <n v="27"/>
    <x v="1"/>
    <s v="Travel_Frequently"/>
    <n v="994"/>
    <x v="0"/>
    <n v="8"/>
    <n v="3"/>
    <s v="Life Sciences"/>
    <n v="56"/>
    <n v="4"/>
    <x v="1"/>
    <n v="37"/>
    <n v="3"/>
    <n v="3"/>
    <x v="0"/>
    <n v="3"/>
    <x v="0"/>
    <n v="8726"/>
    <n v="1"/>
    <x v="1"/>
    <n v="15"/>
    <n v="3"/>
    <n v="4"/>
    <n v="0"/>
    <n v="9"/>
    <n v="0"/>
    <n v="3"/>
    <n v="9"/>
    <n v="8"/>
    <n v="1"/>
    <n v="7"/>
    <x v="1"/>
    <x v="1"/>
    <x v="3"/>
    <x v="2"/>
    <x v="0"/>
    <x v="2"/>
    <x v="2"/>
    <x v="1"/>
    <s v="No Options"/>
    <x v="1"/>
    <x v="2"/>
    <x v="2"/>
    <x v="0"/>
  </r>
  <r>
    <n v="30"/>
    <x v="1"/>
    <s v="Travel_Frequently"/>
    <n v="721"/>
    <x v="1"/>
    <n v="1"/>
    <n v="2"/>
    <s v="Medical"/>
    <n v="57"/>
    <n v="3"/>
    <x v="0"/>
    <n v="58"/>
    <n v="3"/>
    <n v="2"/>
    <x v="2"/>
    <n v="4"/>
    <x v="0"/>
    <n v="4011"/>
    <n v="1"/>
    <x v="1"/>
    <n v="23"/>
    <n v="4"/>
    <n v="4"/>
    <n v="0"/>
    <n v="12"/>
    <n v="2"/>
    <n v="3"/>
    <n v="12"/>
    <n v="8"/>
    <n v="3"/>
    <n v="7"/>
    <x v="1"/>
    <x v="1"/>
    <x v="0"/>
    <x v="1"/>
    <x v="0"/>
    <x v="0"/>
    <x v="0"/>
    <x v="1"/>
    <s v="No Options"/>
    <x v="1"/>
    <x v="2"/>
    <x v="0"/>
    <x v="4"/>
  </r>
  <r>
    <n v="41"/>
    <x v="0"/>
    <s v="Travel_Rarely"/>
    <n v="1360"/>
    <x v="1"/>
    <n v="12"/>
    <n v="3"/>
    <s v="Technical Degree"/>
    <n v="58"/>
    <n v="2"/>
    <x v="0"/>
    <n v="49"/>
    <n v="3"/>
    <n v="5"/>
    <x v="7"/>
    <n v="3"/>
    <x v="1"/>
    <n v="19545"/>
    <n v="1"/>
    <x v="1"/>
    <n v="12"/>
    <n v="3"/>
    <n v="4"/>
    <n v="0"/>
    <n v="23"/>
    <n v="0"/>
    <n v="3"/>
    <n v="22"/>
    <n v="15"/>
    <n v="15"/>
    <n v="8"/>
    <x v="0"/>
    <x v="1"/>
    <x v="3"/>
    <x v="0"/>
    <x v="0"/>
    <x v="4"/>
    <x v="2"/>
    <x v="1"/>
    <s v="No Options"/>
    <x v="1"/>
    <x v="0"/>
    <x v="3"/>
    <x v="3"/>
  </r>
  <r>
    <n v="34"/>
    <x v="1"/>
    <s v="Non-Travel"/>
    <n v="1065"/>
    <x v="0"/>
    <n v="23"/>
    <n v="4"/>
    <s v="Marketing"/>
    <n v="60"/>
    <n v="2"/>
    <x v="1"/>
    <n v="72"/>
    <n v="3"/>
    <n v="2"/>
    <x v="0"/>
    <n v="3"/>
    <x v="0"/>
    <n v="4568"/>
    <n v="0"/>
    <x v="1"/>
    <n v="20"/>
    <n v="4"/>
    <n v="3"/>
    <n v="0"/>
    <n v="10"/>
    <n v="2"/>
    <n v="3"/>
    <n v="9"/>
    <n v="5"/>
    <n v="8"/>
    <n v="7"/>
    <x v="1"/>
    <x v="1"/>
    <x v="2"/>
    <x v="0"/>
    <x v="0"/>
    <x v="0"/>
    <x v="2"/>
    <x v="3"/>
    <s v="No Options"/>
    <x v="1"/>
    <x v="2"/>
    <x v="0"/>
    <x v="0"/>
  </r>
  <r>
    <n v="37"/>
    <x v="1"/>
    <s v="Travel_Rarely"/>
    <n v="408"/>
    <x v="1"/>
    <n v="19"/>
    <n v="2"/>
    <s v="Life Sciences"/>
    <n v="61"/>
    <n v="2"/>
    <x v="1"/>
    <n v="73"/>
    <n v="3"/>
    <n v="1"/>
    <x v="1"/>
    <n v="2"/>
    <x v="1"/>
    <n v="3022"/>
    <n v="4"/>
    <x v="1"/>
    <n v="21"/>
    <n v="4"/>
    <n v="1"/>
    <n v="0"/>
    <n v="8"/>
    <n v="1"/>
    <n v="3"/>
    <n v="1"/>
    <n v="0"/>
    <n v="0"/>
    <n v="0"/>
    <x v="1"/>
    <x v="1"/>
    <x v="0"/>
    <x v="0"/>
    <x v="0"/>
    <x v="1"/>
    <x v="1"/>
    <x v="0"/>
    <s v="No Options"/>
    <x v="1"/>
    <x v="0"/>
    <x v="0"/>
    <x v="1"/>
  </r>
  <r>
    <n v="46"/>
    <x v="1"/>
    <s v="Travel_Frequently"/>
    <n v="1211"/>
    <x v="0"/>
    <n v="5"/>
    <n v="4"/>
    <s v="Marketing"/>
    <n v="62"/>
    <n v="1"/>
    <x v="1"/>
    <n v="98"/>
    <n v="3"/>
    <n v="2"/>
    <x v="0"/>
    <n v="4"/>
    <x v="0"/>
    <n v="5772"/>
    <n v="4"/>
    <x v="0"/>
    <n v="21"/>
    <n v="4"/>
    <n v="3"/>
    <n v="0"/>
    <n v="14"/>
    <n v="4"/>
    <n v="3"/>
    <n v="9"/>
    <n v="6"/>
    <n v="0"/>
    <n v="8"/>
    <x v="1"/>
    <x v="0"/>
    <x v="2"/>
    <x v="3"/>
    <x v="0"/>
    <x v="0"/>
    <x v="0"/>
    <x v="3"/>
    <s v="No Options"/>
    <x v="1"/>
    <x v="1"/>
    <x v="0"/>
    <x v="0"/>
  </r>
  <r>
    <n v="35"/>
    <x v="1"/>
    <s v="Travel_Rarely"/>
    <n v="1229"/>
    <x v="1"/>
    <n v="8"/>
    <n v="1"/>
    <s v="Life Sciences"/>
    <n v="63"/>
    <n v="4"/>
    <x v="1"/>
    <n v="36"/>
    <n v="4"/>
    <n v="1"/>
    <x v="2"/>
    <n v="4"/>
    <x v="1"/>
    <n v="2269"/>
    <n v="1"/>
    <x v="1"/>
    <n v="19"/>
    <n v="3"/>
    <n v="4"/>
    <n v="0"/>
    <n v="1"/>
    <n v="2"/>
    <n v="3"/>
    <n v="1"/>
    <n v="0"/>
    <n v="0"/>
    <n v="1"/>
    <x v="1"/>
    <x v="1"/>
    <x v="1"/>
    <x v="2"/>
    <x v="2"/>
    <x v="1"/>
    <x v="0"/>
    <x v="1"/>
    <s v="No Options"/>
    <x v="1"/>
    <x v="0"/>
    <x v="1"/>
    <x v="1"/>
  </r>
  <r>
    <n v="48"/>
    <x v="0"/>
    <s v="Travel_Rarely"/>
    <n v="626"/>
    <x v="1"/>
    <n v="1"/>
    <n v="2"/>
    <s v="Life Sciences"/>
    <n v="64"/>
    <n v="1"/>
    <x v="1"/>
    <n v="98"/>
    <n v="2"/>
    <n v="3"/>
    <x v="2"/>
    <n v="3"/>
    <x v="0"/>
    <n v="5381"/>
    <n v="9"/>
    <x v="0"/>
    <n v="13"/>
    <n v="3"/>
    <n v="4"/>
    <n v="0"/>
    <n v="23"/>
    <n v="2"/>
    <n v="3"/>
    <n v="1"/>
    <n v="0"/>
    <n v="0"/>
    <n v="0"/>
    <x v="0"/>
    <x v="0"/>
    <x v="0"/>
    <x v="3"/>
    <x v="1"/>
    <x v="2"/>
    <x v="2"/>
    <x v="1"/>
    <s v="No Options"/>
    <x v="1"/>
    <x v="1"/>
    <x v="0"/>
    <x v="1"/>
  </r>
  <r>
    <n v="28"/>
    <x v="0"/>
    <s v="Travel_Rarely"/>
    <n v="1434"/>
    <x v="1"/>
    <n v="5"/>
    <n v="4"/>
    <s v="Technical Degree"/>
    <n v="65"/>
    <n v="3"/>
    <x v="1"/>
    <n v="50"/>
    <n v="3"/>
    <n v="1"/>
    <x v="2"/>
    <n v="3"/>
    <x v="0"/>
    <n v="3441"/>
    <n v="1"/>
    <x v="0"/>
    <n v="13"/>
    <n v="3"/>
    <n v="3"/>
    <n v="0"/>
    <n v="2"/>
    <n v="3"/>
    <n v="2"/>
    <n v="2"/>
    <n v="2"/>
    <n v="2"/>
    <n v="2"/>
    <x v="0"/>
    <x v="0"/>
    <x v="2"/>
    <x v="1"/>
    <x v="0"/>
    <x v="1"/>
    <x v="2"/>
    <x v="3"/>
    <s v="No Options"/>
    <x v="2"/>
    <x v="2"/>
    <x v="0"/>
    <x v="1"/>
  </r>
  <r>
    <n v="44"/>
    <x v="1"/>
    <s v="Travel_Rarely"/>
    <n v="1488"/>
    <x v="0"/>
    <n v="1"/>
    <n v="5"/>
    <s v="Marketing"/>
    <n v="68"/>
    <n v="2"/>
    <x v="0"/>
    <n v="75"/>
    <n v="3"/>
    <n v="2"/>
    <x v="0"/>
    <n v="1"/>
    <x v="2"/>
    <n v="5454"/>
    <n v="5"/>
    <x v="0"/>
    <n v="21"/>
    <n v="4"/>
    <n v="3"/>
    <n v="1"/>
    <n v="9"/>
    <n v="2"/>
    <n v="2"/>
    <n v="4"/>
    <n v="3"/>
    <n v="1"/>
    <n v="3"/>
    <x v="1"/>
    <x v="0"/>
    <x v="4"/>
    <x v="0"/>
    <x v="0"/>
    <x v="0"/>
    <x v="3"/>
    <x v="3"/>
    <s v="Low"/>
    <x v="2"/>
    <x v="0"/>
    <x v="0"/>
    <x v="2"/>
  </r>
  <r>
    <n v="35"/>
    <x v="1"/>
    <s v="Non-Travel"/>
    <n v="1097"/>
    <x v="1"/>
    <n v="11"/>
    <n v="2"/>
    <s v="Medical"/>
    <n v="70"/>
    <n v="3"/>
    <x v="1"/>
    <n v="79"/>
    <n v="2"/>
    <n v="3"/>
    <x v="4"/>
    <n v="1"/>
    <x v="1"/>
    <n v="9884"/>
    <n v="2"/>
    <x v="0"/>
    <n v="13"/>
    <n v="3"/>
    <n v="3"/>
    <n v="1"/>
    <n v="10"/>
    <n v="3"/>
    <n v="3"/>
    <n v="4"/>
    <n v="0"/>
    <n v="2"/>
    <n v="3"/>
    <x v="1"/>
    <x v="0"/>
    <x v="0"/>
    <x v="1"/>
    <x v="1"/>
    <x v="2"/>
    <x v="3"/>
    <x v="3"/>
    <s v="Low"/>
    <x v="1"/>
    <x v="0"/>
    <x v="2"/>
    <x v="2"/>
  </r>
  <r>
    <n v="26"/>
    <x v="1"/>
    <s v="Travel_Rarely"/>
    <n v="1443"/>
    <x v="0"/>
    <n v="23"/>
    <n v="3"/>
    <s v="Marketing"/>
    <n v="72"/>
    <n v="3"/>
    <x v="0"/>
    <n v="47"/>
    <n v="2"/>
    <n v="2"/>
    <x v="0"/>
    <n v="4"/>
    <x v="1"/>
    <n v="4157"/>
    <n v="7"/>
    <x v="0"/>
    <n v="19"/>
    <n v="3"/>
    <n v="3"/>
    <n v="1"/>
    <n v="5"/>
    <n v="2"/>
    <n v="2"/>
    <n v="2"/>
    <n v="2"/>
    <n v="0"/>
    <n v="0"/>
    <x v="1"/>
    <x v="0"/>
    <x v="3"/>
    <x v="1"/>
    <x v="1"/>
    <x v="0"/>
    <x v="0"/>
    <x v="3"/>
    <s v="Low"/>
    <x v="2"/>
    <x v="2"/>
    <x v="0"/>
    <x v="1"/>
  </r>
  <r>
    <n v="33"/>
    <x v="1"/>
    <s v="Travel_Frequently"/>
    <n v="515"/>
    <x v="1"/>
    <n v="1"/>
    <n v="2"/>
    <s v="Life Sciences"/>
    <n v="73"/>
    <n v="1"/>
    <x v="0"/>
    <n v="98"/>
    <n v="3"/>
    <n v="3"/>
    <x v="7"/>
    <n v="4"/>
    <x v="0"/>
    <n v="13458"/>
    <n v="1"/>
    <x v="0"/>
    <n v="12"/>
    <n v="3"/>
    <n v="3"/>
    <n v="0"/>
    <n v="15"/>
    <n v="1"/>
    <n v="3"/>
    <n v="15"/>
    <n v="14"/>
    <n v="8"/>
    <n v="12"/>
    <x v="1"/>
    <x v="0"/>
    <x v="0"/>
    <x v="3"/>
    <x v="0"/>
    <x v="2"/>
    <x v="0"/>
    <x v="3"/>
    <s v="No Options"/>
    <x v="1"/>
    <x v="2"/>
    <x v="3"/>
    <x v="4"/>
  </r>
  <r>
    <n v="35"/>
    <x v="1"/>
    <s v="Travel_Frequently"/>
    <n v="853"/>
    <x v="0"/>
    <n v="18"/>
    <n v="5"/>
    <s v="Life Sciences"/>
    <n v="74"/>
    <n v="2"/>
    <x v="1"/>
    <n v="71"/>
    <n v="3"/>
    <n v="3"/>
    <x v="0"/>
    <n v="1"/>
    <x v="1"/>
    <n v="9069"/>
    <n v="1"/>
    <x v="1"/>
    <n v="22"/>
    <n v="4"/>
    <n v="4"/>
    <n v="1"/>
    <n v="9"/>
    <n v="3"/>
    <n v="2"/>
    <n v="9"/>
    <n v="8"/>
    <n v="1"/>
    <n v="8"/>
    <x v="1"/>
    <x v="1"/>
    <x v="4"/>
    <x v="0"/>
    <x v="0"/>
    <x v="2"/>
    <x v="3"/>
    <x v="1"/>
    <s v="Low"/>
    <x v="2"/>
    <x v="0"/>
    <x v="2"/>
    <x v="0"/>
  </r>
  <r>
    <n v="35"/>
    <x v="1"/>
    <s v="Travel_Rarely"/>
    <n v="1142"/>
    <x v="1"/>
    <n v="23"/>
    <n v="4"/>
    <s v="Medical"/>
    <n v="75"/>
    <n v="3"/>
    <x v="0"/>
    <n v="30"/>
    <n v="3"/>
    <n v="1"/>
    <x v="2"/>
    <n v="1"/>
    <x v="1"/>
    <n v="4014"/>
    <n v="3"/>
    <x v="0"/>
    <n v="15"/>
    <n v="3"/>
    <n v="3"/>
    <n v="1"/>
    <n v="4"/>
    <n v="3"/>
    <n v="3"/>
    <n v="2"/>
    <n v="2"/>
    <n v="2"/>
    <n v="2"/>
    <x v="1"/>
    <x v="0"/>
    <x v="2"/>
    <x v="1"/>
    <x v="0"/>
    <x v="1"/>
    <x v="3"/>
    <x v="3"/>
    <s v="Low"/>
    <x v="1"/>
    <x v="0"/>
    <x v="0"/>
    <x v="1"/>
  </r>
  <r>
    <n v="31"/>
    <x v="1"/>
    <s v="Travel_Rarely"/>
    <n v="655"/>
    <x v="1"/>
    <n v="7"/>
    <n v="4"/>
    <s v="Life Sciences"/>
    <n v="76"/>
    <n v="4"/>
    <x v="1"/>
    <n v="48"/>
    <n v="3"/>
    <n v="2"/>
    <x v="2"/>
    <n v="4"/>
    <x v="2"/>
    <n v="5915"/>
    <n v="3"/>
    <x v="1"/>
    <n v="22"/>
    <n v="4"/>
    <n v="4"/>
    <n v="1"/>
    <n v="10"/>
    <n v="3"/>
    <n v="2"/>
    <n v="7"/>
    <n v="7"/>
    <n v="1"/>
    <n v="7"/>
    <x v="1"/>
    <x v="1"/>
    <x v="2"/>
    <x v="2"/>
    <x v="0"/>
    <x v="0"/>
    <x v="0"/>
    <x v="1"/>
    <s v="Low"/>
    <x v="2"/>
    <x v="2"/>
    <x v="0"/>
    <x v="0"/>
  </r>
  <r>
    <n v="37"/>
    <x v="1"/>
    <s v="Travel_Rarely"/>
    <n v="1115"/>
    <x v="1"/>
    <n v="1"/>
    <n v="4"/>
    <s v="Life Sciences"/>
    <n v="77"/>
    <n v="1"/>
    <x v="1"/>
    <n v="51"/>
    <n v="2"/>
    <n v="2"/>
    <x v="3"/>
    <n v="3"/>
    <x v="2"/>
    <n v="5993"/>
    <n v="1"/>
    <x v="1"/>
    <n v="18"/>
    <n v="3"/>
    <n v="3"/>
    <n v="1"/>
    <n v="7"/>
    <n v="2"/>
    <n v="4"/>
    <n v="7"/>
    <n v="5"/>
    <n v="0"/>
    <n v="7"/>
    <x v="1"/>
    <x v="1"/>
    <x v="2"/>
    <x v="3"/>
    <x v="1"/>
    <x v="0"/>
    <x v="2"/>
    <x v="3"/>
    <s v="Low"/>
    <x v="3"/>
    <x v="0"/>
    <x v="0"/>
    <x v="0"/>
  </r>
  <r>
    <n v="32"/>
    <x v="1"/>
    <s v="Travel_Rarely"/>
    <n v="427"/>
    <x v="1"/>
    <n v="1"/>
    <n v="3"/>
    <s v="Medical"/>
    <n v="78"/>
    <n v="1"/>
    <x v="1"/>
    <n v="33"/>
    <n v="3"/>
    <n v="2"/>
    <x v="3"/>
    <n v="4"/>
    <x v="1"/>
    <n v="6162"/>
    <n v="1"/>
    <x v="0"/>
    <n v="22"/>
    <n v="4"/>
    <n v="2"/>
    <n v="1"/>
    <n v="9"/>
    <n v="3"/>
    <n v="3"/>
    <n v="9"/>
    <n v="8"/>
    <n v="7"/>
    <n v="8"/>
    <x v="1"/>
    <x v="0"/>
    <x v="3"/>
    <x v="3"/>
    <x v="0"/>
    <x v="0"/>
    <x v="0"/>
    <x v="2"/>
    <s v="Low"/>
    <x v="1"/>
    <x v="2"/>
    <x v="0"/>
    <x v="0"/>
  </r>
  <r>
    <n v="38"/>
    <x v="1"/>
    <s v="Travel_Frequently"/>
    <n v="653"/>
    <x v="1"/>
    <n v="29"/>
    <n v="5"/>
    <s v="Life Sciences"/>
    <n v="79"/>
    <n v="4"/>
    <x v="0"/>
    <n v="50"/>
    <n v="3"/>
    <n v="2"/>
    <x v="2"/>
    <n v="4"/>
    <x v="0"/>
    <n v="2406"/>
    <n v="1"/>
    <x v="1"/>
    <n v="11"/>
    <n v="3"/>
    <n v="4"/>
    <n v="0"/>
    <n v="10"/>
    <n v="2"/>
    <n v="3"/>
    <n v="10"/>
    <n v="3"/>
    <n v="9"/>
    <n v="9"/>
    <x v="1"/>
    <x v="1"/>
    <x v="4"/>
    <x v="2"/>
    <x v="0"/>
    <x v="0"/>
    <x v="0"/>
    <x v="1"/>
    <s v="No Options"/>
    <x v="1"/>
    <x v="0"/>
    <x v="1"/>
    <x v="0"/>
  </r>
  <r>
    <n v="50"/>
    <x v="1"/>
    <s v="Travel_Rarely"/>
    <n v="989"/>
    <x v="1"/>
    <n v="7"/>
    <n v="2"/>
    <s v="Medical"/>
    <n v="80"/>
    <n v="2"/>
    <x v="0"/>
    <n v="43"/>
    <n v="2"/>
    <n v="5"/>
    <x v="7"/>
    <n v="3"/>
    <x v="2"/>
    <n v="18740"/>
    <n v="5"/>
    <x v="0"/>
    <n v="12"/>
    <n v="3"/>
    <n v="4"/>
    <n v="1"/>
    <n v="29"/>
    <n v="2"/>
    <n v="2"/>
    <n v="27"/>
    <n v="3"/>
    <n v="13"/>
    <n v="8"/>
    <x v="1"/>
    <x v="0"/>
    <x v="0"/>
    <x v="0"/>
    <x v="1"/>
    <x v="4"/>
    <x v="2"/>
    <x v="1"/>
    <s v="Low"/>
    <x v="2"/>
    <x v="1"/>
    <x v="3"/>
    <x v="3"/>
  </r>
  <r>
    <n v="59"/>
    <x v="1"/>
    <s v="Travel_Rarely"/>
    <n v="1435"/>
    <x v="0"/>
    <n v="25"/>
    <n v="3"/>
    <s v="Life Sciences"/>
    <n v="81"/>
    <n v="1"/>
    <x v="0"/>
    <n v="99"/>
    <n v="3"/>
    <n v="3"/>
    <x v="0"/>
    <n v="1"/>
    <x v="0"/>
    <n v="7637"/>
    <n v="7"/>
    <x v="1"/>
    <n v="11"/>
    <n v="3"/>
    <n v="4"/>
    <n v="0"/>
    <n v="28"/>
    <n v="3"/>
    <n v="2"/>
    <n v="21"/>
    <n v="16"/>
    <n v="7"/>
    <n v="9"/>
    <x v="1"/>
    <x v="1"/>
    <x v="3"/>
    <x v="3"/>
    <x v="0"/>
    <x v="2"/>
    <x v="3"/>
    <x v="1"/>
    <s v="No Options"/>
    <x v="2"/>
    <x v="3"/>
    <x v="2"/>
    <x v="3"/>
  </r>
  <r>
    <n v="36"/>
    <x v="1"/>
    <s v="Travel_Rarely"/>
    <n v="1223"/>
    <x v="1"/>
    <n v="8"/>
    <n v="3"/>
    <s v="Technical Degree"/>
    <n v="83"/>
    <n v="3"/>
    <x v="0"/>
    <n v="59"/>
    <n v="3"/>
    <n v="3"/>
    <x v="4"/>
    <n v="3"/>
    <x v="2"/>
    <n v="10096"/>
    <n v="1"/>
    <x v="1"/>
    <n v="13"/>
    <n v="3"/>
    <n v="2"/>
    <n v="3"/>
    <n v="17"/>
    <n v="2"/>
    <n v="3"/>
    <n v="17"/>
    <n v="14"/>
    <n v="12"/>
    <n v="8"/>
    <x v="1"/>
    <x v="1"/>
    <x v="3"/>
    <x v="1"/>
    <x v="0"/>
    <x v="2"/>
    <x v="2"/>
    <x v="2"/>
    <s v="High"/>
    <x v="1"/>
    <x v="0"/>
    <x v="2"/>
    <x v="4"/>
  </r>
  <r>
    <n v="55"/>
    <x v="1"/>
    <s v="Travel_Rarely"/>
    <n v="836"/>
    <x v="1"/>
    <n v="8"/>
    <n v="3"/>
    <s v="Medical"/>
    <n v="84"/>
    <n v="4"/>
    <x v="0"/>
    <n v="33"/>
    <n v="3"/>
    <n v="4"/>
    <x v="5"/>
    <n v="3"/>
    <x v="2"/>
    <n v="14756"/>
    <n v="2"/>
    <x v="0"/>
    <n v="14"/>
    <n v="3"/>
    <n v="3"/>
    <n v="3"/>
    <n v="21"/>
    <n v="2"/>
    <n v="3"/>
    <n v="5"/>
    <n v="0"/>
    <n v="0"/>
    <n v="2"/>
    <x v="1"/>
    <x v="0"/>
    <x v="3"/>
    <x v="2"/>
    <x v="0"/>
    <x v="3"/>
    <x v="2"/>
    <x v="3"/>
    <s v="High"/>
    <x v="1"/>
    <x v="3"/>
    <x v="3"/>
    <x v="2"/>
  </r>
  <r>
    <n v="36"/>
    <x v="1"/>
    <s v="Travel_Frequently"/>
    <n v="1195"/>
    <x v="1"/>
    <n v="11"/>
    <n v="3"/>
    <s v="Life Sciences"/>
    <n v="85"/>
    <n v="2"/>
    <x v="1"/>
    <n v="95"/>
    <n v="2"/>
    <n v="2"/>
    <x v="3"/>
    <n v="2"/>
    <x v="0"/>
    <n v="6499"/>
    <n v="1"/>
    <x v="1"/>
    <n v="13"/>
    <n v="3"/>
    <n v="3"/>
    <n v="0"/>
    <n v="6"/>
    <n v="3"/>
    <n v="3"/>
    <n v="6"/>
    <n v="5"/>
    <n v="0"/>
    <n v="3"/>
    <x v="1"/>
    <x v="1"/>
    <x v="3"/>
    <x v="0"/>
    <x v="1"/>
    <x v="0"/>
    <x v="1"/>
    <x v="3"/>
    <s v="No Options"/>
    <x v="1"/>
    <x v="0"/>
    <x v="0"/>
    <x v="0"/>
  </r>
  <r>
    <n v="45"/>
    <x v="1"/>
    <s v="Travel_Rarely"/>
    <n v="1339"/>
    <x v="1"/>
    <n v="7"/>
    <n v="3"/>
    <s v="Life Sciences"/>
    <n v="86"/>
    <n v="2"/>
    <x v="1"/>
    <n v="59"/>
    <n v="3"/>
    <n v="3"/>
    <x v="1"/>
    <n v="1"/>
    <x v="2"/>
    <n v="9724"/>
    <n v="2"/>
    <x v="1"/>
    <n v="17"/>
    <n v="3"/>
    <n v="3"/>
    <n v="1"/>
    <n v="25"/>
    <n v="2"/>
    <n v="3"/>
    <n v="1"/>
    <n v="0"/>
    <n v="0"/>
    <n v="0"/>
    <x v="1"/>
    <x v="1"/>
    <x v="3"/>
    <x v="0"/>
    <x v="0"/>
    <x v="2"/>
    <x v="3"/>
    <x v="3"/>
    <s v="Low"/>
    <x v="1"/>
    <x v="1"/>
    <x v="2"/>
    <x v="1"/>
  </r>
  <r>
    <n v="35"/>
    <x v="1"/>
    <s v="Travel_Frequently"/>
    <n v="664"/>
    <x v="1"/>
    <n v="1"/>
    <n v="3"/>
    <s v="Medical"/>
    <n v="88"/>
    <n v="2"/>
    <x v="1"/>
    <n v="79"/>
    <n v="3"/>
    <n v="1"/>
    <x v="1"/>
    <n v="1"/>
    <x v="1"/>
    <n v="2194"/>
    <n v="4"/>
    <x v="1"/>
    <n v="13"/>
    <n v="3"/>
    <n v="4"/>
    <n v="1"/>
    <n v="5"/>
    <n v="2"/>
    <n v="2"/>
    <n v="3"/>
    <n v="2"/>
    <n v="1"/>
    <n v="2"/>
    <x v="1"/>
    <x v="1"/>
    <x v="3"/>
    <x v="0"/>
    <x v="0"/>
    <x v="1"/>
    <x v="3"/>
    <x v="1"/>
    <s v="Low"/>
    <x v="2"/>
    <x v="0"/>
    <x v="1"/>
    <x v="2"/>
  </r>
  <r>
    <n v="36"/>
    <x v="0"/>
    <s v="Travel_Rarely"/>
    <n v="318"/>
    <x v="1"/>
    <n v="9"/>
    <n v="3"/>
    <s v="Medical"/>
    <n v="90"/>
    <n v="4"/>
    <x v="1"/>
    <n v="79"/>
    <n v="2"/>
    <n v="1"/>
    <x v="1"/>
    <n v="3"/>
    <x v="1"/>
    <n v="3388"/>
    <n v="0"/>
    <x v="0"/>
    <n v="17"/>
    <n v="3"/>
    <n v="1"/>
    <n v="1"/>
    <n v="2"/>
    <n v="0"/>
    <n v="2"/>
    <n v="1"/>
    <n v="0"/>
    <n v="0"/>
    <n v="0"/>
    <x v="0"/>
    <x v="0"/>
    <x v="3"/>
    <x v="2"/>
    <x v="1"/>
    <x v="1"/>
    <x v="2"/>
    <x v="0"/>
    <s v="Low"/>
    <x v="2"/>
    <x v="0"/>
    <x v="0"/>
    <x v="1"/>
  </r>
  <r>
    <n v="59"/>
    <x v="1"/>
    <s v="Travel_Frequently"/>
    <n v="1225"/>
    <x v="0"/>
    <n v="1"/>
    <n v="1"/>
    <s v="Life Sciences"/>
    <n v="91"/>
    <n v="1"/>
    <x v="0"/>
    <n v="57"/>
    <n v="2"/>
    <n v="2"/>
    <x v="0"/>
    <n v="3"/>
    <x v="0"/>
    <n v="5473"/>
    <n v="7"/>
    <x v="1"/>
    <n v="11"/>
    <n v="3"/>
    <n v="4"/>
    <n v="0"/>
    <n v="20"/>
    <n v="2"/>
    <n v="2"/>
    <n v="4"/>
    <n v="3"/>
    <n v="1"/>
    <n v="3"/>
    <x v="1"/>
    <x v="1"/>
    <x v="1"/>
    <x v="3"/>
    <x v="1"/>
    <x v="0"/>
    <x v="2"/>
    <x v="1"/>
    <s v="No Options"/>
    <x v="2"/>
    <x v="3"/>
    <x v="0"/>
    <x v="2"/>
  </r>
  <r>
    <n v="29"/>
    <x v="1"/>
    <s v="Travel_Rarely"/>
    <n v="1328"/>
    <x v="1"/>
    <n v="2"/>
    <n v="3"/>
    <s v="Life Sciences"/>
    <n v="94"/>
    <n v="3"/>
    <x v="1"/>
    <n v="76"/>
    <n v="3"/>
    <n v="1"/>
    <x v="1"/>
    <n v="2"/>
    <x v="1"/>
    <n v="2703"/>
    <n v="0"/>
    <x v="1"/>
    <n v="23"/>
    <n v="4"/>
    <n v="4"/>
    <n v="1"/>
    <n v="6"/>
    <n v="3"/>
    <n v="3"/>
    <n v="5"/>
    <n v="4"/>
    <n v="0"/>
    <n v="4"/>
    <x v="1"/>
    <x v="1"/>
    <x v="3"/>
    <x v="1"/>
    <x v="0"/>
    <x v="1"/>
    <x v="1"/>
    <x v="1"/>
    <s v="Low"/>
    <x v="1"/>
    <x v="2"/>
    <x v="1"/>
    <x v="2"/>
  </r>
  <r>
    <n v="31"/>
    <x v="1"/>
    <s v="Travel_Rarely"/>
    <n v="1082"/>
    <x v="1"/>
    <n v="1"/>
    <n v="4"/>
    <s v="Medical"/>
    <n v="95"/>
    <n v="3"/>
    <x v="1"/>
    <n v="87"/>
    <n v="3"/>
    <n v="1"/>
    <x v="1"/>
    <n v="2"/>
    <x v="0"/>
    <n v="2501"/>
    <n v="1"/>
    <x v="1"/>
    <n v="17"/>
    <n v="3"/>
    <n v="2"/>
    <n v="0"/>
    <n v="1"/>
    <n v="4"/>
    <n v="3"/>
    <n v="1"/>
    <n v="1"/>
    <n v="1"/>
    <n v="0"/>
    <x v="1"/>
    <x v="1"/>
    <x v="2"/>
    <x v="1"/>
    <x v="0"/>
    <x v="1"/>
    <x v="1"/>
    <x v="2"/>
    <s v="No Options"/>
    <x v="1"/>
    <x v="2"/>
    <x v="1"/>
    <x v="1"/>
  </r>
  <r>
    <n v="32"/>
    <x v="1"/>
    <s v="Travel_Rarely"/>
    <n v="548"/>
    <x v="1"/>
    <n v="1"/>
    <n v="3"/>
    <s v="Life Sciences"/>
    <n v="96"/>
    <n v="2"/>
    <x v="1"/>
    <n v="66"/>
    <n v="3"/>
    <n v="2"/>
    <x v="1"/>
    <n v="2"/>
    <x v="1"/>
    <n v="6220"/>
    <n v="1"/>
    <x v="1"/>
    <n v="17"/>
    <n v="3"/>
    <n v="2"/>
    <n v="2"/>
    <n v="10"/>
    <n v="3"/>
    <n v="3"/>
    <n v="10"/>
    <n v="4"/>
    <n v="0"/>
    <n v="9"/>
    <x v="1"/>
    <x v="1"/>
    <x v="3"/>
    <x v="0"/>
    <x v="0"/>
    <x v="0"/>
    <x v="1"/>
    <x v="2"/>
    <s v="Medium"/>
    <x v="1"/>
    <x v="2"/>
    <x v="0"/>
    <x v="0"/>
  </r>
  <r>
    <n v="36"/>
    <x v="1"/>
    <s v="Travel_Rarely"/>
    <n v="132"/>
    <x v="1"/>
    <n v="6"/>
    <n v="3"/>
    <s v="Life Sciences"/>
    <n v="97"/>
    <n v="2"/>
    <x v="0"/>
    <n v="55"/>
    <n v="4"/>
    <n v="1"/>
    <x v="2"/>
    <n v="4"/>
    <x v="1"/>
    <n v="3038"/>
    <n v="3"/>
    <x v="1"/>
    <n v="12"/>
    <n v="3"/>
    <n v="2"/>
    <n v="0"/>
    <n v="5"/>
    <n v="3"/>
    <n v="3"/>
    <n v="1"/>
    <n v="0"/>
    <n v="0"/>
    <n v="0"/>
    <x v="1"/>
    <x v="1"/>
    <x v="3"/>
    <x v="0"/>
    <x v="2"/>
    <x v="1"/>
    <x v="0"/>
    <x v="2"/>
    <s v="No Options"/>
    <x v="1"/>
    <x v="0"/>
    <x v="0"/>
    <x v="1"/>
  </r>
  <r>
    <n v="31"/>
    <x v="1"/>
    <s v="Travel_Rarely"/>
    <n v="746"/>
    <x v="1"/>
    <n v="8"/>
    <n v="4"/>
    <s v="Life Sciences"/>
    <n v="98"/>
    <n v="3"/>
    <x v="0"/>
    <n v="61"/>
    <n v="3"/>
    <n v="2"/>
    <x v="3"/>
    <n v="4"/>
    <x v="0"/>
    <n v="4424"/>
    <n v="1"/>
    <x v="1"/>
    <n v="23"/>
    <n v="4"/>
    <n v="4"/>
    <n v="0"/>
    <n v="11"/>
    <n v="2"/>
    <n v="3"/>
    <n v="11"/>
    <n v="7"/>
    <n v="1"/>
    <n v="8"/>
    <x v="1"/>
    <x v="1"/>
    <x v="2"/>
    <x v="1"/>
    <x v="0"/>
    <x v="0"/>
    <x v="0"/>
    <x v="1"/>
    <s v="No Options"/>
    <x v="1"/>
    <x v="2"/>
    <x v="0"/>
    <x v="4"/>
  </r>
  <r>
    <n v="35"/>
    <x v="1"/>
    <s v="Travel_Rarely"/>
    <n v="776"/>
    <x v="0"/>
    <n v="1"/>
    <n v="4"/>
    <s v="Marketing"/>
    <n v="100"/>
    <n v="3"/>
    <x v="1"/>
    <n v="32"/>
    <n v="2"/>
    <n v="2"/>
    <x v="0"/>
    <n v="1"/>
    <x v="0"/>
    <n v="4312"/>
    <n v="0"/>
    <x v="1"/>
    <n v="14"/>
    <n v="3"/>
    <n v="2"/>
    <n v="0"/>
    <n v="16"/>
    <n v="2"/>
    <n v="3"/>
    <n v="15"/>
    <n v="13"/>
    <n v="2"/>
    <n v="8"/>
    <x v="1"/>
    <x v="1"/>
    <x v="2"/>
    <x v="1"/>
    <x v="1"/>
    <x v="0"/>
    <x v="3"/>
    <x v="2"/>
    <s v="No Options"/>
    <x v="1"/>
    <x v="0"/>
    <x v="0"/>
    <x v="4"/>
  </r>
  <r>
    <n v="45"/>
    <x v="1"/>
    <s v="Travel_Rarely"/>
    <n v="193"/>
    <x v="1"/>
    <n v="6"/>
    <n v="4"/>
    <s v="Other"/>
    <n v="101"/>
    <n v="4"/>
    <x v="1"/>
    <n v="52"/>
    <n v="3"/>
    <n v="3"/>
    <x v="7"/>
    <n v="1"/>
    <x v="1"/>
    <n v="13245"/>
    <n v="4"/>
    <x v="0"/>
    <n v="14"/>
    <n v="3"/>
    <n v="2"/>
    <n v="0"/>
    <n v="17"/>
    <n v="3"/>
    <n v="4"/>
    <n v="0"/>
    <n v="0"/>
    <n v="0"/>
    <n v="0"/>
    <x v="1"/>
    <x v="0"/>
    <x v="2"/>
    <x v="2"/>
    <x v="0"/>
    <x v="2"/>
    <x v="3"/>
    <x v="2"/>
    <s v="No Options"/>
    <x v="3"/>
    <x v="1"/>
    <x v="3"/>
    <x v="1"/>
  </r>
  <r>
    <n v="37"/>
    <x v="1"/>
    <s v="Travel_Rarely"/>
    <n v="397"/>
    <x v="1"/>
    <n v="7"/>
    <n v="4"/>
    <s v="Medical"/>
    <n v="102"/>
    <n v="1"/>
    <x v="1"/>
    <n v="30"/>
    <n v="3"/>
    <n v="3"/>
    <x v="7"/>
    <n v="3"/>
    <x v="0"/>
    <n v="13664"/>
    <n v="4"/>
    <x v="1"/>
    <n v="13"/>
    <n v="3"/>
    <n v="1"/>
    <n v="0"/>
    <n v="16"/>
    <n v="3"/>
    <n v="4"/>
    <n v="5"/>
    <n v="2"/>
    <n v="0"/>
    <n v="2"/>
    <x v="1"/>
    <x v="1"/>
    <x v="2"/>
    <x v="3"/>
    <x v="0"/>
    <x v="2"/>
    <x v="2"/>
    <x v="0"/>
    <s v="No Options"/>
    <x v="3"/>
    <x v="0"/>
    <x v="3"/>
    <x v="2"/>
  </r>
  <r>
    <n v="46"/>
    <x v="1"/>
    <s v="Travel_Rarely"/>
    <n v="945"/>
    <x v="2"/>
    <n v="5"/>
    <n v="2"/>
    <s v="Medical"/>
    <n v="103"/>
    <n v="2"/>
    <x v="1"/>
    <n v="80"/>
    <n v="3"/>
    <n v="2"/>
    <x v="8"/>
    <n v="2"/>
    <x v="2"/>
    <n v="5021"/>
    <n v="8"/>
    <x v="0"/>
    <n v="22"/>
    <n v="4"/>
    <n v="4"/>
    <n v="1"/>
    <n v="16"/>
    <n v="2"/>
    <n v="3"/>
    <n v="4"/>
    <n v="2"/>
    <n v="0"/>
    <n v="2"/>
    <x v="1"/>
    <x v="0"/>
    <x v="0"/>
    <x v="0"/>
    <x v="0"/>
    <x v="0"/>
    <x v="1"/>
    <x v="1"/>
    <s v="Low"/>
    <x v="1"/>
    <x v="1"/>
    <x v="0"/>
    <x v="2"/>
  </r>
  <r>
    <n v="30"/>
    <x v="1"/>
    <s v="Travel_Rarely"/>
    <n v="852"/>
    <x v="1"/>
    <n v="1"/>
    <n v="1"/>
    <s v="Life Sciences"/>
    <n v="104"/>
    <n v="4"/>
    <x v="1"/>
    <n v="55"/>
    <n v="2"/>
    <n v="2"/>
    <x v="2"/>
    <n v="4"/>
    <x v="1"/>
    <n v="5126"/>
    <n v="1"/>
    <x v="0"/>
    <n v="12"/>
    <n v="3"/>
    <n v="3"/>
    <n v="2"/>
    <n v="10"/>
    <n v="1"/>
    <n v="2"/>
    <n v="10"/>
    <n v="8"/>
    <n v="3"/>
    <n v="0"/>
    <x v="1"/>
    <x v="0"/>
    <x v="1"/>
    <x v="2"/>
    <x v="1"/>
    <x v="0"/>
    <x v="0"/>
    <x v="3"/>
    <s v="Medium"/>
    <x v="2"/>
    <x v="2"/>
    <x v="0"/>
    <x v="0"/>
  </r>
  <r>
    <n v="35"/>
    <x v="1"/>
    <s v="Travel_Rarely"/>
    <n v="1214"/>
    <x v="1"/>
    <n v="1"/>
    <n v="3"/>
    <s v="Medical"/>
    <n v="105"/>
    <n v="2"/>
    <x v="1"/>
    <n v="30"/>
    <n v="2"/>
    <n v="1"/>
    <x v="1"/>
    <n v="3"/>
    <x v="0"/>
    <n v="2859"/>
    <n v="1"/>
    <x v="1"/>
    <n v="18"/>
    <n v="3"/>
    <n v="1"/>
    <n v="0"/>
    <n v="6"/>
    <n v="3"/>
    <n v="3"/>
    <n v="6"/>
    <n v="4"/>
    <n v="0"/>
    <n v="4"/>
    <x v="1"/>
    <x v="1"/>
    <x v="3"/>
    <x v="0"/>
    <x v="1"/>
    <x v="1"/>
    <x v="2"/>
    <x v="0"/>
    <s v="No Options"/>
    <x v="1"/>
    <x v="0"/>
    <x v="1"/>
    <x v="0"/>
  </r>
  <r>
    <n v="55"/>
    <x v="1"/>
    <s v="Travel_Rarely"/>
    <n v="111"/>
    <x v="0"/>
    <n v="1"/>
    <n v="2"/>
    <s v="Life Sciences"/>
    <n v="106"/>
    <n v="1"/>
    <x v="1"/>
    <n v="70"/>
    <n v="3"/>
    <n v="3"/>
    <x v="0"/>
    <n v="4"/>
    <x v="1"/>
    <n v="10239"/>
    <n v="3"/>
    <x v="1"/>
    <n v="14"/>
    <n v="3"/>
    <n v="4"/>
    <n v="1"/>
    <n v="24"/>
    <n v="4"/>
    <n v="3"/>
    <n v="1"/>
    <n v="0"/>
    <n v="1"/>
    <n v="0"/>
    <x v="1"/>
    <x v="1"/>
    <x v="0"/>
    <x v="3"/>
    <x v="0"/>
    <x v="2"/>
    <x v="0"/>
    <x v="1"/>
    <s v="Low"/>
    <x v="1"/>
    <x v="3"/>
    <x v="2"/>
    <x v="1"/>
  </r>
  <r>
    <n v="38"/>
    <x v="1"/>
    <s v="Non-Travel"/>
    <n v="573"/>
    <x v="1"/>
    <n v="6"/>
    <n v="3"/>
    <s v="Medical"/>
    <n v="107"/>
    <n v="2"/>
    <x v="0"/>
    <n v="79"/>
    <n v="1"/>
    <n v="2"/>
    <x v="1"/>
    <n v="4"/>
    <x v="2"/>
    <n v="5329"/>
    <n v="7"/>
    <x v="0"/>
    <n v="12"/>
    <n v="3"/>
    <n v="4"/>
    <n v="3"/>
    <n v="17"/>
    <n v="3"/>
    <n v="3"/>
    <n v="13"/>
    <n v="11"/>
    <n v="1"/>
    <n v="9"/>
    <x v="1"/>
    <x v="0"/>
    <x v="3"/>
    <x v="0"/>
    <x v="3"/>
    <x v="0"/>
    <x v="0"/>
    <x v="1"/>
    <s v="High"/>
    <x v="1"/>
    <x v="0"/>
    <x v="0"/>
    <x v="4"/>
  </r>
  <r>
    <n v="34"/>
    <x v="1"/>
    <s v="Travel_Rarely"/>
    <n v="1153"/>
    <x v="1"/>
    <n v="1"/>
    <n v="2"/>
    <s v="Medical"/>
    <n v="110"/>
    <n v="1"/>
    <x v="1"/>
    <n v="94"/>
    <n v="3"/>
    <n v="2"/>
    <x v="3"/>
    <n v="2"/>
    <x v="1"/>
    <n v="4325"/>
    <n v="1"/>
    <x v="1"/>
    <n v="15"/>
    <n v="3"/>
    <n v="3"/>
    <n v="0"/>
    <n v="5"/>
    <n v="2"/>
    <n v="3"/>
    <n v="5"/>
    <n v="2"/>
    <n v="1"/>
    <n v="3"/>
    <x v="1"/>
    <x v="1"/>
    <x v="0"/>
    <x v="3"/>
    <x v="0"/>
    <x v="0"/>
    <x v="1"/>
    <x v="3"/>
    <s v="No Options"/>
    <x v="1"/>
    <x v="2"/>
    <x v="0"/>
    <x v="2"/>
  </r>
  <r>
    <n v="56"/>
    <x v="1"/>
    <s v="Travel_Rarely"/>
    <n v="1400"/>
    <x v="1"/>
    <n v="7"/>
    <n v="3"/>
    <s v="Life Sciences"/>
    <n v="112"/>
    <n v="4"/>
    <x v="1"/>
    <n v="49"/>
    <n v="1"/>
    <n v="3"/>
    <x v="3"/>
    <n v="4"/>
    <x v="0"/>
    <n v="7260"/>
    <n v="4"/>
    <x v="1"/>
    <n v="11"/>
    <n v="3"/>
    <n v="1"/>
    <n v="0"/>
    <n v="37"/>
    <n v="3"/>
    <n v="2"/>
    <n v="6"/>
    <n v="4"/>
    <n v="0"/>
    <n v="2"/>
    <x v="1"/>
    <x v="1"/>
    <x v="3"/>
    <x v="2"/>
    <x v="3"/>
    <x v="2"/>
    <x v="0"/>
    <x v="0"/>
    <s v="No Options"/>
    <x v="2"/>
    <x v="3"/>
    <x v="2"/>
    <x v="0"/>
  </r>
  <r>
    <n v="23"/>
    <x v="1"/>
    <s v="Travel_Rarely"/>
    <n v="541"/>
    <x v="0"/>
    <n v="2"/>
    <n v="1"/>
    <s v="Technical Degree"/>
    <n v="113"/>
    <n v="3"/>
    <x v="1"/>
    <n v="62"/>
    <n v="3"/>
    <n v="1"/>
    <x v="6"/>
    <n v="1"/>
    <x v="2"/>
    <n v="2322"/>
    <n v="3"/>
    <x v="1"/>
    <n v="13"/>
    <n v="3"/>
    <n v="3"/>
    <n v="1"/>
    <n v="3"/>
    <n v="3"/>
    <n v="3"/>
    <n v="0"/>
    <n v="0"/>
    <n v="0"/>
    <n v="0"/>
    <x v="1"/>
    <x v="1"/>
    <x v="1"/>
    <x v="1"/>
    <x v="0"/>
    <x v="1"/>
    <x v="3"/>
    <x v="3"/>
    <s v="Low"/>
    <x v="1"/>
    <x v="4"/>
    <x v="1"/>
    <x v="1"/>
  </r>
  <r>
    <n v="51"/>
    <x v="1"/>
    <s v="Travel_Rarely"/>
    <n v="432"/>
    <x v="1"/>
    <n v="9"/>
    <n v="4"/>
    <s v="Life Sciences"/>
    <n v="116"/>
    <n v="4"/>
    <x v="1"/>
    <n v="96"/>
    <n v="3"/>
    <n v="1"/>
    <x v="2"/>
    <n v="4"/>
    <x v="1"/>
    <n v="2075"/>
    <n v="3"/>
    <x v="1"/>
    <n v="23"/>
    <n v="4"/>
    <n v="2"/>
    <n v="2"/>
    <n v="10"/>
    <n v="4"/>
    <n v="3"/>
    <n v="4"/>
    <n v="2"/>
    <n v="0"/>
    <n v="3"/>
    <x v="1"/>
    <x v="1"/>
    <x v="2"/>
    <x v="2"/>
    <x v="0"/>
    <x v="1"/>
    <x v="0"/>
    <x v="2"/>
    <s v="Medium"/>
    <x v="1"/>
    <x v="1"/>
    <x v="1"/>
    <x v="2"/>
  </r>
  <r>
    <n v="30"/>
    <x v="1"/>
    <s v="Travel_Rarely"/>
    <n v="288"/>
    <x v="1"/>
    <n v="2"/>
    <n v="3"/>
    <s v="Life Sciences"/>
    <n v="117"/>
    <n v="3"/>
    <x v="1"/>
    <n v="99"/>
    <n v="2"/>
    <n v="2"/>
    <x v="4"/>
    <n v="4"/>
    <x v="1"/>
    <n v="4152"/>
    <n v="1"/>
    <x v="1"/>
    <n v="19"/>
    <n v="3"/>
    <n v="1"/>
    <n v="3"/>
    <n v="11"/>
    <n v="3"/>
    <n v="3"/>
    <n v="11"/>
    <n v="10"/>
    <n v="10"/>
    <n v="8"/>
    <x v="1"/>
    <x v="1"/>
    <x v="3"/>
    <x v="1"/>
    <x v="1"/>
    <x v="0"/>
    <x v="0"/>
    <x v="0"/>
    <s v="High"/>
    <x v="1"/>
    <x v="2"/>
    <x v="0"/>
    <x v="4"/>
  </r>
  <r>
    <n v="46"/>
    <x v="0"/>
    <s v="Travel_Rarely"/>
    <n v="669"/>
    <x v="0"/>
    <n v="9"/>
    <n v="2"/>
    <s v="Medical"/>
    <n v="118"/>
    <n v="3"/>
    <x v="1"/>
    <n v="64"/>
    <n v="2"/>
    <n v="3"/>
    <x v="0"/>
    <n v="4"/>
    <x v="0"/>
    <n v="9619"/>
    <n v="1"/>
    <x v="1"/>
    <n v="16"/>
    <n v="3"/>
    <n v="4"/>
    <n v="0"/>
    <n v="9"/>
    <n v="3"/>
    <n v="3"/>
    <n v="9"/>
    <n v="8"/>
    <n v="4"/>
    <n v="7"/>
    <x v="0"/>
    <x v="1"/>
    <x v="0"/>
    <x v="1"/>
    <x v="1"/>
    <x v="2"/>
    <x v="0"/>
    <x v="1"/>
    <s v="No Options"/>
    <x v="1"/>
    <x v="1"/>
    <x v="2"/>
    <x v="0"/>
  </r>
  <r>
    <n v="40"/>
    <x v="1"/>
    <s v="Travel_Frequently"/>
    <n v="530"/>
    <x v="1"/>
    <n v="1"/>
    <n v="4"/>
    <s v="Life Sciences"/>
    <n v="119"/>
    <n v="3"/>
    <x v="1"/>
    <n v="78"/>
    <n v="2"/>
    <n v="4"/>
    <x v="4"/>
    <n v="2"/>
    <x v="1"/>
    <n v="13503"/>
    <n v="1"/>
    <x v="1"/>
    <n v="22"/>
    <n v="4"/>
    <n v="4"/>
    <n v="1"/>
    <n v="22"/>
    <n v="3"/>
    <n v="2"/>
    <n v="22"/>
    <n v="3"/>
    <n v="11"/>
    <n v="11"/>
    <x v="1"/>
    <x v="1"/>
    <x v="2"/>
    <x v="1"/>
    <x v="1"/>
    <x v="3"/>
    <x v="1"/>
    <x v="1"/>
    <s v="Low"/>
    <x v="2"/>
    <x v="0"/>
    <x v="3"/>
    <x v="3"/>
  </r>
  <r>
    <n v="51"/>
    <x v="1"/>
    <s v="Travel_Rarely"/>
    <n v="632"/>
    <x v="0"/>
    <n v="21"/>
    <n v="4"/>
    <s v="Marketing"/>
    <n v="120"/>
    <n v="3"/>
    <x v="1"/>
    <n v="71"/>
    <n v="3"/>
    <n v="2"/>
    <x v="0"/>
    <n v="4"/>
    <x v="0"/>
    <n v="5441"/>
    <n v="0"/>
    <x v="0"/>
    <n v="22"/>
    <n v="4"/>
    <n v="4"/>
    <n v="0"/>
    <n v="11"/>
    <n v="2"/>
    <n v="1"/>
    <n v="10"/>
    <n v="7"/>
    <n v="1"/>
    <n v="0"/>
    <x v="1"/>
    <x v="0"/>
    <x v="2"/>
    <x v="1"/>
    <x v="0"/>
    <x v="0"/>
    <x v="0"/>
    <x v="1"/>
    <s v="No Options"/>
    <x v="0"/>
    <x v="1"/>
    <x v="0"/>
    <x v="0"/>
  </r>
  <r>
    <n v="30"/>
    <x v="1"/>
    <s v="Travel_Rarely"/>
    <n v="1334"/>
    <x v="0"/>
    <n v="4"/>
    <n v="2"/>
    <s v="Medical"/>
    <n v="121"/>
    <n v="3"/>
    <x v="0"/>
    <n v="63"/>
    <n v="2"/>
    <n v="2"/>
    <x v="0"/>
    <n v="2"/>
    <x v="2"/>
    <n v="5209"/>
    <n v="1"/>
    <x v="0"/>
    <n v="12"/>
    <n v="3"/>
    <n v="2"/>
    <n v="3"/>
    <n v="11"/>
    <n v="4"/>
    <n v="2"/>
    <n v="11"/>
    <n v="8"/>
    <n v="2"/>
    <n v="7"/>
    <x v="1"/>
    <x v="0"/>
    <x v="0"/>
    <x v="1"/>
    <x v="1"/>
    <x v="0"/>
    <x v="1"/>
    <x v="2"/>
    <s v="High"/>
    <x v="2"/>
    <x v="2"/>
    <x v="0"/>
    <x v="4"/>
  </r>
  <r>
    <n v="46"/>
    <x v="1"/>
    <s v="Travel_Frequently"/>
    <n v="638"/>
    <x v="1"/>
    <n v="1"/>
    <n v="3"/>
    <s v="Medical"/>
    <n v="124"/>
    <n v="3"/>
    <x v="1"/>
    <n v="40"/>
    <n v="2"/>
    <n v="3"/>
    <x v="4"/>
    <n v="1"/>
    <x v="1"/>
    <n v="10673"/>
    <n v="2"/>
    <x v="0"/>
    <n v="13"/>
    <n v="3"/>
    <n v="3"/>
    <n v="1"/>
    <n v="21"/>
    <n v="5"/>
    <n v="2"/>
    <n v="10"/>
    <n v="9"/>
    <n v="9"/>
    <n v="5"/>
    <x v="1"/>
    <x v="0"/>
    <x v="3"/>
    <x v="1"/>
    <x v="1"/>
    <x v="2"/>
    <x v="3"/>
    <x v="3"/>
    <s v="Low"/>
    <x v="2"/>
    <x v="1"/>
    <x v="2"/>
    <x v="0"/>
  </r>
  <r>
    <n v="32"/>
    <x v="1"/>
    <s v="Travel_Rarely"/>
    <n v="1093"/>
    <x v="0"/>
    <n v="6"/>
    <n v="4"/>
    <s v="Medical"/>
    <n v="125"/>
    <n v="2"/>
    <x v="1"/>
    <n v="87"/>
    <n v="3"/>
    <n v="2"/>
    <x v="0"/>
    <n v="3"/>
    <x v="0"/>
    <n v="5010"/>
    <n v="1"/>
    <x v="1"/>
    <n v="16"/>
    <n v="3"/>
    <n v="1"/>
    <n v="0"/>
    <n v="12"/>
    <n v="0"/>
    <n v="3"/>
    <n v="11"/>
    <n v="8"/>
    <n v="5"/>
    <n v="7"/>
    <x v="1"/>
    <x v="1"/>
    <x v="2"/>
    <x v="0"/>
    <x v="0"/>
    <x v="0"/>
    <x v="2"/>
    <x v="0"/>
    <s v="No Options"/>
    <x v="1"/>
    <x v="2"/>
    <x v="0"/>
    <x v="4"/>
  </r>
  <r>
    <n v="54"/>
    <x v="1"/>
    <s v="Travel_Rarely"/>
    <n v="1217"/>
    <x v="1"/>
    <n v="2"/>
    <n v="4"/>
    <s v="Technical Degree"/>
    <n v="126"/>
    <n v="1"/>
    <x v="0"/>
    <n v="60"/>
    <n v="3"/>
    <n v="3"/>
    <x v="7"/>
    <n v="3"/>
    <x v="1"/>
    <n v="13549"/>
    <n v="9"/>
    <x v="1"/>
    <n v="12"/>
    <n v="3"/>
    <n v="1"/>
    <n v="1"/>
    <n v="16"/>
    <n v="5"/>
    <n v="1"/>
    <n v="4"/>
    <n v="3"/>
    <n v="0"/>
    <n v="3"/>
    <x v="1"/>
    <x v="1"/>
    <x v="2"/>
    <x v="3"/>
    <x v="0"/>
    <x v="2"/>
    <x v="2"/>
    <x v="0"/>
    <s v="Low"/>
    <x v="0"/>
    <x v="1"/>
    <x v="3"/>
    <x v="2"/>
  </r>
  <r>
    <n v="24"/>
    <x v="1"/>
    <s v="Travel_Rarely"/>
    <n v="1353"/>
    <x v="0"/>
    <n v="3"/>
    <n v="2"/>
    <s v="Other"/>
    <n v="128"/>
    <n v="1"/>
    <x v="0"/>
    <n v="33"/>
    <n v="3"/>
    <n v="2"/>
    <x v="0"/>
    <n v="3"/>
    <x v="1"/>
    <n v="4999"/>
    <n v="0"/>
    <x v="1"/>
    <n v="21"/>
    <n v="4"/>
    <n v="1"/>
    <n v="1"/>
    <n v="4"/>
    <n v="2"/>
    <n v="2"/>
    <n v="3"/>
    <n v="2"/>
    <n v="0"/>
    <n v="2"/>
    <x v="1"/>
    <x v="1"/>
    <x v="0"/>
    <x v="3"/>
    <x v="0"/>
    <x v="0"/>
    <x v="2"/>
    <x v="0"/>
    <s v="Low"/>
    <x v="2"/>
    <x v="4"/>
    <x v="0"/>
    <x v="2"/>
  </r>
  <r>
    <n v="28"/>
    <x v="1"/>
    <s v="Non-Travel"/>
    <n v="120"/>
    <x v="0"/>
    <n v="4"/>
    <n v="3"/>
    <s v="Medical"/>
    <n v="129"/>
    <n v="2"/>
    <x v="1"/>
    <n v="43"/>
    <n v="3"/>
    <n v="2"/>
    <x v="0"/>
    <n v="3"/>
    <x v="1"/>
    <n v="4221"/>
    <n v="1"/>
    <x v="1"/>
    <n v="15"/>
    <n v="3"/>
    <n v="2"/>
    <n v="0"/>
    <n v="5"/>
    <n v="3"/>
    <n v="4"/>
    <n v="5"/>
    <n v="4"/>
    <n v="0"/>
    <n v="4"/>
    <x v="1"/>
    <x v="1"/>
    <x v="3"/>
    <x v="0"/>
    <x v="0"/>
    <x v="0"/>
    <x v="2"/>
    <x v="2"/>
    <s v="No Options"/>
    <x v="3"/>
    <x v="2"/>
    <x v="0"/>
    <x v="2"/>
  </r>
  <r>
    <n v="58"/>
    <x v="1"/>
    <s v="Travel_Rarely"/>
    <n v="682"/>
    <x v="0"/>
    <n v="10"/>
    <n v="4"/>
    <s v="Medical"/>
    <n v="131"/>
    <n v="4"/>
    <x v="1"/>
    <n v="37"/>
    <n v="3"/>
    <n v="4"/>
    <x v="0"/>
    <n v="3"/>
    <x v="0"/>
    <n v="13872"/>
    <n v="0"/>
    <x v="1"/>
    <n v="13"/>
    <n v="3"/>
    <n v="3"/>
    <n v="0"/>
    <n v="38"/>
    <n v="1"/>
    <n v="2"/>
    <n v="37"/>
    <n v="10"/>
    <n v="1"/>
    <n v="8"/>
    <x v="1"/>
    <x v="1"/>
    <x v="2"/>
    <x v="2"/>
    <x v="0"/>
    <x v="3"/>
    <x v="2"/>
    <x v="3"/>
    <s v="No Options"/>
    <x v="2"/>
    <x v="3"/>
    <x v="3"/>
    <x v="3"/>
  </r>
  <r>
    <n v="44"/>
    <x v="1"/>
    <s v="Non-Travel"/>
    <n v="489"/>
    <x v="1"/>
    <n v="23"/>
    <n v="3"/>
    <s v="Medical"/>
    <n v="132"/>
    <n v="2"/>
    <x v="1"/>
    <n v="67"/>
    <n v="3"/>
    <n v="2"/>
    <x v="2"/>
    <n v="2"/>
    <x v="1"/>
    <n v="2042"/>
    <n v="4"/>
    <x v="1"/>
    <n v="12"/>
    <n v="3"/>
    <n v="3"/>
    <n v="1"/>
    <n v="17"/>
    <n v="3"/>
    <n v="4"/>
    <n v="3"/>
    <n v="2"/>
    <n v="1"/>
    <n v="2"/>
    <x v="1"/>
    <x v="1"/>
    <x v="3"/>
    <x v="0"/>
    <x v="0"/>
    <x v="0"/>
    <x v="1"/>
    <x v="3"/>
    <s v="Low"/>
    <x v="3"/>
    <x v="0"/>
    <x v="1"/>
    <x v="2"/>
  </r>
  <r>
    <n v="37"/>
    <x v="0"/>
    <s v="Travel_Rarely"/>
    <n v="807"/>
    <x v="2"/>
    <n v="6"/>
    <n v="4"/>
    <s v="Human Resources"/>
    <n v="133"/>
    <n v="3"/>
    <x v="1"/>
    <n v="63"/>
    <n v="3"/>
    <n v="1"/>
    <x v="8"/>
    <n v="1"/>
    <x v="2"/>
    <n v="2073"/>
    <n v="4"/>
    <x v="0"/>
    <n v="22"/>
    <n v="4"/>
    <n v="4"/>
    <n v="0"/>
    <n v="7"/>
    <n v="3"/>
    <n v="3"/>
    <n v="3"/>
    <n v="2"/>
    <n v="0"/>
    <n v="2"/>
    <x v="0"/>
    <x v="0"/>
    <x v="2"/>
    <x v="1"/>
    <x v="0"/>
    <x v="1"/>
    <x v="3"/>
    <x v="1"/>
    <s v="No Options"/>
    <x v="1"/>
    <x v="0"/>
    <x v="1"/>
    <x v="2"/>
  </r>
  <r>
    <n v="32"/>
    <x v="1"/>
    <s v="Travel_Rarely"/>
    <n v="827"/>
    <x v="1"/>
    <n v="1"/>
    <n v="1"/>
    <s v="Life Sciences"/>
    <n v="134"/>
    <n v="4"/>
    <x v="1"/>
    <n v="71"/>
    <n v="3"/>
    <n v="1"/>
    <x v="1"/>
    <n v="1"/>
    <x v="0"/>
    <n v="2956"/>
    <n v="1"/>
    <x v="1"/>
    <n v="13"/>
    <n v="3"/>
    <n v="4"/>
    <n v="0"/>
    <n v="1"/>
    <n v="2"/>
    <n v="3"/>
    <n v="1"/>
    <n v="0"/>
    <n v="0"/>
    <n v="0"/>
    <x v="1"/>
    <x v="1"/>
    <x v="1"/>
    <x v="2"/>
    <x v="0"/>
    <x v="1"/>
    <x v="3"/>
    <x v="1"/>
    <s v="No Options"/>
    <x v="1"/>
    <x v="2"/>
    <x v="1"/>
    <x v="1"/>
  </r>
  <r>
    <n v="20"/>
    <x v="0"/>
    <s v="Travel_Frequently"/>
    <n v="871"/>
    <x v="1"/>
    <n v="6"/>
    <n v="3"/>
    <s v="Life Sciences"/>
    <n v="137"/>
    <n v="4"/>
    <x v="0"/>
    <n v="66"/>
    <n v="2"/>
    <n v="1"/>
    <x v="2"/>
    <n v="4"/>
    <x v="0"/>
    <n v="2926"/>
    <n v="1"/>
    <x v="0"/>
    <n v="18"/>
    <n v="3"/>
    <n v="2"/>
    <n v="0"/>
    <n v="1"/>
    <n v="5"/>
    <n v="3"/>
    <n v="1"/>
    <n v="0"/>
    <n v="1"/>
    <n v="0"/>
    <x v="0"/>
    <x v="0"/>
    <x v="3"/>
    <x v="2"/>
    <x v="1"/>
    <x v="1"/>
    <x v="0"/>
    <x v="2"/>
    <s v="No Options"/>
    <x v="1"/>
    <x v="4"/>
    <x v="1"/>
    <x v="1"/>
  </r>
  <r>
    <n v="34"/>
    <x v="1"/>
    <s v="Travel_Rarely"/>
    <n v="665"/>
    <x v="1"/>
    <n v="6"/>
    <n v="4"/>
    <s v="Other"/>
    <n v="138"/>
    <n v="1"/>
    <x v="0"/>
    <n v="41"/>
    <n v="3"/>
    <n v="2"/>
    <x v="1"/>
    <n v="3"/>
    <x v="0"/>
    <n v="4809"/>
    <n v="1"/>
    <x v="1"/>
    <n v="14"/>
    <n v="3"/>
    <n v="3"/>
    <n v="0"/>
    <n v="16"/>
    <n v="3"/>
    <n v="3"/>
    <n v="16"/>
    <n v="13"/>
    <n v="2"/>
    <n v="10"/>
    <x v="1"/>
    <x v="1"/>
    <x v="2"/>
    <x v="3"/>
    <x v="0"/>
    <x v="0"/>
    <x v="2"/>
    <x v="3"/>
    <s v="No Options"/>
    <x v="1"/>
    <x v="2"/>
    <x v="0"/>
    <x v="4"/>
  </r>
  <r>
    <n v="37"/>
    <x v="1"/>
    <s v="Non-Travel"/>
    <n v="1040"/>
    <x v="1"/>
    <n v="2"/>
    <n v="2"/>
    <s v="Life Sciences"/>
    <n v="139"/>
    <n v="3"/>
    <x v="1"/>
    <n v="100"/>
    <n v="2"/>
    <n v="2"/>
    <x v="4"/>
    <n v="4"/>
    <x v="2"/>
    <n v="5163"/>
    <n v="5"/>
    <x v="1"/>
    <n v="14"/>
    <n v="3"/>
    <n v="4"/>
    <n v="1"/>
    <n v="17"/>
    <n v="2"/>
    <n v="4"/>
    <n v="1"/>
    <n v="0"/>
    <n v="0"/>
    <n v="0"/>
    <x v="1"/>
    <x v="1"/>
    <x v="0"/>
    <x v="1"/>
    <x v="1"/>
    <x v="0"/>
    <x v="0"/>
    <x v="1"/>
    <s v="Low"/>
    <x v="3"/>
    <x v="0"/>
    <x v="0"/>
    <x v="1"/>
  </r>
  <r>
    <n v="59"/>
    <x v="1"/>
    <s v="Non-Travel"/>
    <n v="1420"/>
    <x v="2"/>
    <n v="2"/>
    <n v="4"/>
    <s v="Human Resources"/>
    <n v="140"/>
    <n v="3"/>
    <x v="0"/>
    <n v="32"/>
    <n v="2"/>
    <n v="5"/>
    <x v="5"/>
    <n v="4"/>
    <x v="1"/>
    <n v="18844"/>
    <n v="9"/>
    <x v="1"/>
    <n v="21"/>
    <n v="4"/>
    <n v="4"/>
    <n v="1"/>
    <n v="30"/>
    <n v="3"/>
    <n v="3"/>
    <n v="3"/>
    <n v="2"/>
    <n v="2"/>
    <n v="2"/>
    <x v="1"/>
    <x v="1"/>
    <x v="2"/>
    <x v="1"/>
    <x v="1"/>
    <x v="4"/>
    <x v="0"/>
    <x v="1"/>
    <s v="Low"/>
    <x v="1"/>
    <x v="3"/>
    <x v="3"/>
    <x v="2"/>
  </r>
  <r>
    <n v="50"/>
    <x v="1"/>
    <s v="Travel_Frequently"/>
    <n v="1115"/>
    <x v="1"/>
    <n v="1"/>
    <n v="3"/>
    <s v="Life Sciences"/>
    <n v="141"/>
    <n v="1"/>
    <x v="0"/>
    <n v="73"/>
    <n v="3"/>
    <n v="5"/>
    <x v="7"/>
    <n v="2"/>
    <x v="1"/>
    <n v="18172"/>
    <n v="3"/>
    <x v="0"/>
    <n v="19"/>
    <n v="3"/>
    <n v="1"/>
    <n v="0"/>
    <n v="28"/>
    <n v="1"/>
    <n v="2"/>
    <n v="8"/>
    <n v="3"/>
    <n v="0"/>
    <n v="7"/>
    <x v="1"/>
    <x v="0"/>
    <x v="3"/>
    <x v="3"/>
    <x v="0"/>
    <x v="4"/>
    <x v="1"/>
    <x v="0"/>
    <s v="No Options"/>
    <x v="2"/>
    <x v="1"/>
    <x v="3"/>
    <x v="0"/>
  </r>
  <r>
    <n v="25"/>
    <x v="0"/>
    <s v="Travel_Rarely"/>
    <n v="240"/>
    <x v="0"/>
    <n v="5"/>
    <n v="3"/>
    <s v="Marketing"/>
    <n v="142"/>
    <n v="3"/>
    <x v="1"/>
    <n v="46"/>
    <n v="2"/>
    <n v="2"/>
    <x v="0"/>
    <n v="3"/>
    <x v="0"/>
    <n v="5744"/>
    <n v="1"/>
    <x v="0"/>
    <n v="11"/>
    <n v="3"/>
    <n v="4"/>
    <n v="0"/>
    <n v="6"/>
    <n v="1"/>
    <n v="3"/>
    <n v="6"/>
    <n v="4"/>
    <n v="0"/>
    <n v="3"/>
    <x v="0"/>
    <x v="0"/>
    <x v="3"/>
    <x v="1"/>
    <x v="1"/>
    <x v="0"/>
    <x v="2"/>
    <x v="1"/>
    <s v="No Options"/>
    <x v="1"/>
    <x v="2"/>
    <x v="0"/>
    <x v="0"/>
  </r>
  <r>
    <n v="25"/>
    <x v="1"/>
    <s v="Travel_Rarely"/>
    <n v="1280"/>
    <x v="1"/>
    <n v="7"/>
    <n v="1"/>
    <s v="Medical"/>
    <n v="143"/>
    <n v="4"/>
    <x v="1"/>
    <n v="64"/>
    <n v="2"/>
    <n v="1"/>
    <x v="1"/>
    <n v="4"/>
    <x v="1"/>
    <n v="2889"/>
    <n v="1"/>
    <x v="1"/>
    <n v="11"/>
    <n v="3"/>
    <n v="3"/>
    <n v="2"/>
    <n v="2"/>
    <n v="2"/>
    <n v="3"/>
    <n v="2"/>
    <n v="2"/>
    <n v="2"/>
    <n v="1"/>
    <x v="1"/>
    <x v="1"/>
    <x v="1"/>
    <x v="2"/>
    <x v="1"/>
    <x v="1"/>
    <x v="0"/>
    <x v="3"/>
    <s v="Medium"/>
    <x v="1"/>
    <x v="2"/>
    <x v="1"/>
    <x v="1"/>
  </r>
  <r>
    <n v="22"/>
    <x v="1"/>
    <s v="Travel_Rarely"/>
    <n v="534"/>
    <x v="1"/>
    <n v="15"/>
    <n v="3"/>
    <s v="Medical"/>
    <n v="144"/>
    <n v="2"/>
    <x v="0"/>
    <n v="59"/>
    <n v="3"/>
    <n v="1"/>
    <x v="2"/>
    <n v="4"/>
    <x v="0"/>
    <n v="2871"/>
    <n v="1"/>
    <x v="1"/>
    <n v="15"/>
    <n v="3"/>
    <n v="3"/>
    <n v="0"/>
    <n v="1"/>
    <n v="5"/>
    <n v="3"/>
    <n v="0"/>
    <n v="0"/>
    <n v="0"/>
    <n v="0"/>
    <x v="1"/>
    <x v="1"/>
    <x v="3"/>
    <x v="0"/>
    <x v="0"/>
    <x v="1"/>
    <x v="0"/>
    <x v="3"/>
    <s v="No Options"/>
    <x v="1"/>
    <x v="4"/>
    <x v="1"/>
    <x v="1"/>
  </r>
  <r>
    <n v="51"/>
    <x v="1"/>
    <s v="Travel_Frequently"/>
    <n v="1456"/>
    <x v="1"/>
    <n v="1"/>
    <n v="4"/>
    <s v="Medical"/>
    <n v="145"/>
    <n v="1"/>
    <x v="0"/>
    <n v="30"/>
    <n v="2"/>
    <n v="3"/>
    <x v="4"/>
    <n v="1"/>
    <x v="0"/>
    <n v="7484"/>
    <n v="3"/>
    <x v="1"/>
    <n v="20"/>
    <n v="4"/>
    <n v="3"/>
    <n v="0"/>
    <n v="23"/>
    <n v="1"/>
    <n v="2"/>
    <n v="13"/>
    <n v="12"/>
    <n v="12"/>
    <n v="8"/>
    <x v="1"/>
    <x v="1"/>
    <x v="2"/>
    <x v="3"/>
    <x v="1"/>
    <x v="2"/>
    <x v="3"/>
    <x v="3"/>
    <s v="No Options"/>
    <x v="2"/>
    <x v="1"/>
    <x v="2"/>
    <x v="4"/>
  </r>
  <r>
    <n v="34"/>
    <x v="0"/>
    <s v="Travel_Frequently"/>
    <n v="658"/>
    <x v="1"/>
    <n v="7"/>
    <n v="3"/>
    <s v="Life Sciences"/>
    <n v="147"/>
    <n v="1"/>
    <x v="1"/>
    <n v="66"/>
    <n v="1"/>
    <n v="2"/>
    <x v="2"/>
    <n v="3"/>
    <x v="0"/>
    <n v="6074"/>
    <n v="1"/>
    <x v="0"/>
    <n v="24"/>
    <n v="4"/>
    <n v="4"/>
    <n v="0"/>
    <n v="9"/>
    <n v="3"/>
    <n v="3"/>
    <n v="9"/>
    <n v="7"/>
    <n v="0"/>
    <n v="6"/>
    <x v="0"/>
    <x v="0"/>
    <x v="3"/>
    <x v="3"/>
    <x v="3"/>
    <x v="0"/>
    <x v="2"/>
    <x v="1"/>
    <s v="No Options"/>
    <x v="1"/>
    <x v="2"/>
    <x v="0"/>
    <x v="0"/>
  </r>
  <r>
    <n v="54"/>
    <x v="1"/>
    <s v="Non-Travel"/>
    <n v="142"/>
    <x v="2"/>
    <n v="26"/>
    <n v="3"/>
    <s v="Human Resources"/>
    <n v="148"/>
    <n v="4"/>
    <x v="0"/>
    <n v="30"/>
    <n v="4"/>
    <n v="4"/>
    <x v="5"/>
    <n v="4"/>
    <x v="0"/>
    <n v="17328"/>
    <n v="2"/>
    <x v="0"/>
    <n v="12"/>
    <n v="3"/>
    <n v="3"/>
    <n v="0"/>
    <n v="23"/>
    <n v="3"/>
    <n v="3"/>
    <n v="5"/>
    <n v="3"/>
    <n v="4"/>
    <n v="4"/>
    <x v="1"/>
    <x v="0"/>
    <x v="3"/>
    <x v="2"/>
    <x v="2"/>
    <x v="3"/>
    <x v="0"/>
    <x v="3"/>
    <s v="No Options"/>
    <x v="1"/>
    <x v="1"/>
    <x v="3"/>
    <x v="2"/>
  </r>
  <r>
    <n v="24"/>
    <x v="1"/>
    <s v="Travel_Rarely"/>
    <n v="1127"/>
    <x v="1"/>
    <n v="18"/>
    <n v="1"/>
    <s v="Life Sciences"/>
    <n v="150"/>
    <n v="2"/>
    <x v="1"/>
    <n v="52"/>
    <n v="3"/>
    <n v="1"/>
    <x v="2"/>
    <n v="3"/>
    <x v="1"/>
    <n v="2774"/>
    <n v="0"/>
    <x v="1"/>
    <n v="12"/>
    <n v="3"/>
    <n v="3"/>
    <n v="1"/>
    <n v="6"/>
    <n v="2"/>
    <n v="3"/>
    <n v="5"/>
    <n v="3"/>
    <n v="1"/>
    <n v="2"/>
    <x v="1"/>
    <x v="1"/>
    <x v="1"/>
    <x v="0"/>
    <x v="0"/>
    <x v="1"/>
    <x v="2"/>
    <x v="3"/>
    <s v="Low"/>
    <x v="1"/>
    <x v="4"/>
    <x v="1"/>
    <x v="2"/>
  </r>
  <r>
    <n v="34"/>
    <x v="1"/>
    <s v="Travel_Rarely"/>
    <n v="1031"/>
    <x v="1"/>
    <n v="6"/>
    <n v="4"/>
    <s v="Life Sciences"/>
    <n v="151"/>
    <n v="3"/>
    <x v="0"/>
    <n v="45"/>
    <n v="2"/>
    <n v="2"/>
    <x v="1"/>
    <n v="2"/>
    <x v="2"/>
    <n v="4505"/>
    <n v="6"/>
    <x v="1"/>
    <n v="15"/>
    <n v="3"/>
    <n v="3"/>
    <n v="1"/>
    <n v="12"/>
    <n v="3"/>
    <n v="3"/>
    <n v="1"/>
    <n v="0"/>
    <n v="0"/>
    <n v="0"/>
    <x v="1"/>
    <x v="1"/>
    <x v="2"/>
    <x v="1"/>
    <x v="1"/>
    <x v="0"/>
    <x v="1"/>
    <x v="3"/>
    <s v="Low"/>
    <x v="1"/>
    <x v="2"/>
    <x v="0"/>
    <x v="1"/>
  </r>
  <r>
    <n v="37"/>
    <x v="1"/>
    <s v="Travel_Rarely"/>
    <n v="1189"/>
    <x v="0"/>
    <n v="3"/>
    <n v="3"/>
    <s v="Life Sciences"/>
    <n v="152"/>
    <n v="3"/>
    <x v="1"/>
    <n v="87"/>
    <n v="3"/>
    <n v="3"/>
    <x v="0"/>
    <n v="4"/>
    <x v="0"/>
    <n v="7428"/>
    <n v="2"/>
    <x v="1"/>
    <n v="12"/>
    <n v="3"/>
    <n v="1"/>
    <n v="0"/>
    <n v="12"/>
    <n v="3"/>
    <n v="3"/>
    <n v="5"/>
    <n v="3"/>
    <n v="1"/>
    <n v="3"/>
    <x v="1"/>
    <x v="1"/>
    <x v="3"/>
    <x v="1"/>
    <x v="0"/>
    <x v="2"/>
    <x v="0"/>
    <x v="0"/>
    <s v="No Options"/>
    <x v="1"/>
    <x v="0"/>
    <x v="2"/>
    <x v="2"/>
  </r>
  <r>
    <n v="34"/>
    <x v="1"/>
    <s v="Travel_Rarely"/>
    <n v="1354"/>
    <x v="1"/>
    <n v="5"/>
    <n v="3"/>
    <s v="Medical"/>
    <n v="153"/>
    <n v="3"/>
    <x v="0"/>
    <n v="45"/>
    <n v="2"/>
    <n v="3"/>
    <x v="5"/>
    <n v="1"/>
    <x v="0"/>
    <n v="11631"/>
    <n v="2"/>
    <x v="1"/>
    <n v="12"/>
    <n v="3"/>
    <n v="4"/>
    <n v="0"/>
    <n v="14"/>
    <n v="6"/>
    <n v="3"/>
    <n v="11"/>
    <n v="10"/>
    <n v="5"/>
    <n v="8"/>
    <x v="1"/>
    <x v="1"/>
    <x v="3"/>
    <x v="1"/>
    <x v="1"/>
    <x v="2"/>
    <x v="3"/>
    <x v="1"/>
    <s v="No Options"/>
    <x v="1"/>
    <x v="2"/>
    <x v="2"/>
    <x v="4"/>
  </r>
  <r>
    <n v="36"/>
    <x v="1"/>
    <s v="Travel_Frequently"/>
    <n v="1467"/>
    <x v="0"/>
    <n v="11"/>
    <n v="2"/>
    <s v="Technical Degree"/>
    <n v="154"/>
    <n v="2"/>
    <x v="0"/>
    <n v="92"/>
    <n v="3"/>
    <n v="3"/>
    <x v="0"/>
    <n v="4"/>
    <x v="1"/>
    <n v="9738"/>
    <n v="0"/>
    <x v="1"/>
    <n v="14"/>
    <n v="3"/>
    <n v="3"/>
    <n v="1"/>
    <n v="10"/>
    <n v="6"/>
    <n v="3"/>
    <n v="9"/>
    <n v="7"/>
    <n v="2"/>
    <n v="8"/>
    <x v="1"/>
    <x v="1"/>
    <x v="0"/>
    <x v="0"/>
    <x v="0"/>
    <x v="2"/>
    <x v="0"/>
    <x v="3"/>
    <s v="Low"/>
    <x v="1"/>
    <x v="0"/>
    <x v="2"/>
    <x v="0"/>
  </r>
  <r>
    <n v="36"/>
    <x v="1"/>
    <s v="Travel_Rarely"/>
    <n v="922"/>
    <x v="1"/>
    <n v="3"/>
    <n v="2"/>
    <s v="Life Sciences"/>
    <n v="155"/>
    <n v="1"/>
    <x v="0"/>
    <n v="39"/>
    <n v="3"/>
    <n v="1"/>
    <x v="2"/>
    <n v="4"/>
    <x v="2"/>
    <n v="2835"/>
    <n v="5"/>
    <x v="1"/>
    <n v="22"/>
    <n v="4"/>
    <n v="1"/>
    <n v="1"/>
    <n v="7"/>
    <n v="2"/>
    <n v="3"/>
    <n v="1"/>
    <n v="0"/>
    <n v="0"/>
    <n v="0"/>
    <x v="1"/>
    <x v="1"/>
    <x v="0"/>
    <x v="3"/>
    <x v="0"/>
    <x v="1"/>
    <x v="0"/>
    <x v="0"/>
    <s v="Low"/>
    <x v="1"/>
    <x v="0"/>
    <x v="1"/>
    <x v="1"/>
  </r>
  <r>
    <n v="43"/>
    <x v="1"/>
    <s v="Travel_Frequently"/>
    <n v="394"/>
    <x v="0"/>
    <n v="26"/>
    <n v="2"/>
    <s v="Life Sciences"/>
    <n v="158"/>
    <n v="3"/>
    <x v="1"/>
    <n v="92"/>
    <n v="3"/>
    <n v="4"/>
    <x v="5"/>
    <n v="4"/>
    <x v="1"/>
    <n v="16959"/>
    <n v="1"/>
    <x v="0"/>
    <n v="12"/>
    <n v="3"/>
    <n v="4"/>
    <n v="2"/>
    <n v="25"/>
    <n v="3"/>
    <n v="4"/>
    <n v="25"/>
    <n v="12"/>
    <n v="4"/>
    <n v="12"/>
    <x v="1"/>
    <x v="0"/>
    <x v="0"/>
    <x v="1"/>
    <x v="0"/>
    <x v="3"/>
    <x v="0"/>
    <x v="1"/>
    <s v="Medium"/>
    <x v="3"/>
    <x v="0"/>
    <x v="3"/>
    <x v="3"/>
  </r>
  <r>
    <n v="30"/>
    <x v="1"/>
    <s v="Travel_Frequently"/>
    <n v="1312"/>
    <x v="1"/>
    <n v="23"/>
    <n v="3"/>
    <s v="Life Sciences"/>
    <n v="159"/>
    <n v="1"/>
    <x v="1"/>
    <n v="96"/>
    <n v="1"/>
    <n v="1"/>
    <x v="1"/>
    <n v="3"/>
    <x v="2"/>
    <n v="2613"/>
    <n v="1"/>
    <x v="1"/>
    <n v="25"/>
    <n v="4"/>
    <n v="3"/>
    <n v="3"/>
    <n v="10"/>
    <n v="2"/>
    <n v="2"/>
    <n v="10"/>
    <n v="7"/>
    <n v="0"/>
    <n v="9"/>
    <x v="1"/>
    <x v="1"/>
    <x v="3"/>
    <x v="3"/>
    <x v="3"/>
    <x v="1"/>
    <x v="2"/>
    <x v="3"/>
    <s v="High"/>
    <x v="2"/>
    <x v="2"/>
    <x v="1"/>
    <x v="0"/>
  </r>
  <r>
    <n v="33"/>
    <x v="1"/>
    <s v="Non-Travel"/>
    <n v="750"/>
    <x v="0"/>
    <n v="22"/>
    <n v="2"/>
    <s v="Marketing"/>
    <n v="160"/>
    <n v="3"/>
    <x v="1"/>
    <n v="95"/>
    <n v="3"/>
    <n v="2"/>
    <x v="0"/>
    <n v="2"/>
    <x v="1"/>
    <n v="6146"/>
    <n v="0"/>
    <x v="1"/>
    <n v="13"/>
    <n v="3"/>
    <n v="1"/>
    <n v="1"/>
    <n v="8"/>
    <n v="2"/>
    <n v="4"/>
    <n v="7"/>
    <n v="7"/>
    <n v="0"/>
    <n v="7"/>
    <x v="1"/>
    <x v="1"/>
    <x v="0"/>
    <x v="1"/>
    <x v="0"/>
    <x v="0"/>
    <x v="1"/>
    <x v="0"/>
    <s v="Low"/>
    <x v="3"/>
    <x v="2"/>
    <x v="0"/>
    <x v="0"/>
  </r>
  <r>
    <n v="56"/>
    <x v="0"/>
    <s v="Travel_Rarely"/>
    <n v="441"/>
    <x v="1"/>
    <n v="14"/>
    <n v="4"/>
    <s v="Life Sciences"/>
    <n v="161"/>
    <n v="2"/>
    <x v="0"/>
    <n v="72"/>
    <n v="3"/>
    <n v="1"/>
    <x v="1"/>
    <n v="2"/>
    <x v="1"/>
    <n v="4963"/>
    <n v="9"/>
    <x v="0"/>
    <n v="18"/>
    <n v="3"/>
    <n v="1"/>
    <n v="3"/>
    <n v="7"/>
    <n v="2"/>
    <n v="3"/>
    <n v="5"/>
    <n v="4"/>
    <n v="4"/>
    <n v="3"/>
    <x v="0"/>
    <x v="0"/>
    <x v="2"/>
    <x v="0"/>
    <x v="0"/>
    <x v="1"/>
    <x v="1"/>
    <x v="0"/>
    <s v="High"/>
    <x v="1"/>
    <x v="3"/>
    <x v="0"/>
    <x v="2"/>
  </r>
  <r>
    <n v="51"/>
    <x v="1"/>
    <s v="Travel_Rarely"/>
    <n v="684"/>
    <x v="1"/>
    <n v="6"/>
    <n v="3"/>
    <s v="Life Sciences"/>
    <n v="162"/>
    <n v="1"/>
    <x v="1"/>
    <n v="51"/>
    <n v="3"/>
    <n v="5"/>
    <x v="7"/>
    <n v="3"/>
    <x v="0"/>
    <n v="19537"/>
    <n v="7"/>
    <x v="1"/>
    <n v="13"/>
    <n v="3"/>
    <n v="3"/>
    <n v="0"/>
    <n v="23"/>
    <n v="5"/>
    <n v="3"/>
    <n v="20"/>
    <n v="18"/>
    <n v="15"/>
    <n v="15"/>
    <x v="1"/>
    <x v="1"/>
    <x v="3"/>
    <x v="3"/>
    <x v="0"/>
    <x v="4"/>
    <x v="2"/>
    <x v="3"/>
    <s v="No Options"/>
    <x v="1"/>
    <x v="1"/>
    <x v="3"/>
    <x v="4"/>
  </r>
  <r>
    <n v="31"/>
    <x v="0"/>
    <s v="Travel_Rarely"/>
    <n v="249"/>
    <x v="0"/>
    <n v="6"/>
    <n v="4"/>
    <s v="Life Sciences"/>
    <n v="163"/>
    <n v="2"/>
    <x v="1"/>
    <n v="76"/>
    <n v="1"/>
    <n v="2"/>
    <x v="0"/>
    <n v="3"/>
    <x v="1"/>
    <n v="6172"/>
    <n v="4"/>
    <x v="0"/>
    <n v="18"/>
    <n v="3"/>
    <n v="2"/>
    <n v="0"/>
    <n v="12"/>
    <n v="3"/>
    <n v="2"/>
    <n v="7"/>
    <n v="7"/>
    <n v="7"/>
    <n v="7"/>
    <x v="0"/>
    <x v="0"/>
    <x v="2"/>
    <x v="0"/>
    <x v="3"/>
    <x v="0"/>
    <x v="2"/>
    <x v="2"/>
    <s v="No Options"/>
    <x v="2"/>
    <x v="2"/>
    <x v="0"/>
    <x v="0"/>
  </r>
  <r>
    <n v="26"/>
    <x v="1"/>
    <s v="Travel_Rarely"/>
    <n v="841"/>
    <x v="1"/>
    <n v="6"/>
    <n v="3"/>
    <s v="Other"/>
    <n v="164"/>
    <n v="3"/>
    <x v="0"/>
    <n v="46"/>
    <n v="2"/>
    <n v="1"/>
    <x v="1"/>
    <n v="2"/>
    <x v="1"/>
    <n v="2368"/>
    <n v="1"/>
    <x v="1"/>
    <n v="19"/>
    <n v="3"/>
    <n v="3"/>
    <n v="0"/>
    <n v="5"/>
    <n v="3"/>
    <n v="2"/>
    <n v="5"/>
    <n v="4"/>
    <n v="4"/>
    <n v="3"/>
    <x v="1"/>
    <x v="1"/>
    <x v="3"/>
    <x v="1"/>
    <x v="1"/>
    <x v="1"/>
    <x v="1"/>
    <x v="3"/>
    <s v="No Options"/>
    <x v="2"/>
    <x v="2"/>
    <x v="1"/>
    <x v="2"/>
  </r>
  <r>
    <n v="58"/>
    <x v="0"/>
    <s v="Travel_Rarely"/>
    <n v="147"/>
    <x v="1"/>
    <n v="23"/>
    <n v="4"/>
    <s v="Medical"/>
    <n v="165"/>
    <n v="4"/>
    <x v="0"/>
    <n v="94"/>
    <n v="3"/>
    <n v="3"/>
    <x v="4"/>
    <n v="4"/>
    <x v="1"/>
    <n v="10312"/>
    <n v="1"/>
    <x v="1"/>
    <n v="12"/>
    <n v="3"/>
    <n v="4"/>
    <n v="1"/>
    <n v="40"/>
    <n v="3"/>
    <n v="2"/>
    <n v="40"/>
    <n v="10"/>
    <n v="15"/>
    <n v="6"/>
    <x v="0"/>
    <x v="1"/>
    <x v="2"/>
    <x v="2"/>
    <x v="0"/>
    <x v="2"/>
    <x v="0"/>
    <x v="1"/>
    <s v="Low"/>
    <x v="2"/>
    <x v="3"/>
    <x v="2"/>
    <x v="3"/>
  </r>
  <r>
    <n v="19"/>
    <x v="0"/>
    <s v="Travel_Rarely"/>
    <n v="528"/>
    <x v="0"/>
    <n v="22"/>
    <n v="1"/>
    <s v="Marketing"/>
    <n v="167"/>
    <n v="4"/>
    <x v="1"/>
    <n v="50"/>
    <n v="3"/>
    <n v="1"/>
    <x v="6"/>
    <n v="3"/>
    <x v="0"/>
    <n v="1675"/>
    <n v="1"/>
    <x v="0"/>
    <n v="19"/>
    <n v="3"/>
    <n v="4"/>
    <n v="0"/>
    <n v="0"/>
    <n v="2"/>
    <n v="2"/>
    <n v="0"/>
    <n v="0"/>
    <n v="0"/>
    <n v="0"/>
    <x v="0"/>
    <x v="0"/>
    <x v="1"/>
    <x v="2"/>
    <x v="0"/>
    <x v="1"/>
    <x v="2"/>
    <x v="1"/>
    <s v="No Options"/>
    <x v="2"/>
    <x v="4"/>
    <x v="1"/>
    <x v="1"/>
  </r>
  <r>
    <n v="22"/>
    <x v="1"/>
    <s v="Travel_Rarely"/>
    <n v="594"/>
    <x v="1"/>
    <n v="2"/>
    <n v="1"/>
    <s v="Technical Degree"/>
    <n v="169"/>
    <n v="3"/>
    <x v="1"/>
    <n v="100"/>
    <n v="3"/>
    <n v="1"/>
    <x v="2"/>
    <n v="4"/>
    <x v="1"/>
    <n v="2523"/>
    <n v="0"/>
    <x v="1"/>
    <n v="14"/>
    <n v="3"/>
    <n v="3"/>
    <n v="1"/>
    <n v="3"/>
    <n v="2"/>
    <n v="3"/>
    <n v="2"/>
    <n v="1"/>
    <n v="2"/>
    <n v="1"/>
    <x v="1"/>
    <x v="1"/>
    <x v="1"/>
    <x v="1"/>
    <x v="0"/>
    <x v="1"/>
    <x v="0"/>
    <x v="3"/>
    <s v="Low"/>
    <x v="1"/>
    <x v="4"/>
    <x v="1"/>
    <x v="1"/>
  </r>
  <r>
    <n v="49"/>
    <x v="1"/>
    <s v="Travel_Rarely"/>
    <n v="470"/>
    <x v="1"/>
    <n v="20"/>
    <n v="4"/>
    <s v="Medical"/>
    <n v="170"/>
    <n v="3"/>
    <x v="0"/>
    <n v="96"/>
    <n v="3"/>
    <n v="2"/>
    <x v="3"/>
    <n v="1"/>
    <x v="1"/>
    <n v="6567"/>
    <n v="1"/>
    <x v="1"/>
    <n v="14"/>
    <n v="3"/>
    <n v="3"/>
    <n v="0"/>
    <n v="16"/>
    <n v="2"/>
    <n v="2"/>
    <n v="15"/>
    <n v="11"/>
    <n v="5"/>
    <n v="11"/>
    <x v="1"/>
    <x v="1"/>
    <x v="2"/>
    <x v="1"/>
    <x v="0"/>
    <x v="0"/>
    <x v="3"/>
    <x v="3"/>
    <s v="No Options"/>
    <x v="2"/>
    <x v="1"/>
    <x v="0"/>
    <x v="4"/>
  </r>
  <r>
    <n v="43"/>
    <x v="1"/>
    <s v="Travel_Frequently"/>
    <n v="957"/>
    <x v="1"/>
    <n v="28"/>
    <n v="3"/>
    <s v="Medical"/>
    <n v="171"/>
    <n v="2"/>
    <x v="0"/>
    <n v="72"/>
    <n v="4"/>
    <n v="1"/>
    <x v="1"/>
    <n v="3"/>
    <x v="0"/>
    <n v="4739"/>
    <n v="4"/>
    <x v="1"/>
    <n v="12"/>
    <n v="3"/>
    <n v="4"/>
    <n v="0"/>
    <n v="18"/>
    <n v="2"/>
    <n v="3"/>
    <n v="3"/>
    <n v="2"/>
    <n v="1"/>
    <n v="2"/>
    <x v="1"/>
    <x v="1"/>
    <x v="3"/>
    <x v="0"/>
    <x v="2"/>
    <x v="1"/>
    <x v="2"/>
    <x v="1"/>
    <s v="No Options"/>
    <x v="1"/>
    <x v="0"/>
    <x v="0"/>
    <x v="2"/>
  </r>
  <r>
    <n v="50"/>
    <x v="1"/>
    <s v="Travel_Frequently"/>
    <n v="809"/>
    <x v="0"/>
    <n v="12"/>
    <n v="3"/>
    <s v="Marketing"/>
    <n v="174"/>
    <n v="3"/>
    <x v="0"/>
    <n v="77"/>
    <n v="3"/>
    <n v="3"/>
    <x v="0"/>
    <n v="4"/>
    <x v="0"/>
    <n v="9208"/>
    <n v="4"/>
    <x v="1"/>
    <n v="11"/>
    <n v="3"/>
    <n v="4"/>
    <n v="0"/>
    <n v="16"/>
    <n v="3"/>
    <n v="3"/>
    <n v="2"/>
    <n v="2"/>
    <n v="2"/>
    <n v="1"/>
    <x v="1"/>
    <x v="1"/>
    <x v="3"/>
    <x v="1"/>
    <x v="0"/>
    <x v="2"/>
    <x v="0"/>
    <x v="1"/>
    <s v="No Options"/>
    <x v="1"/>
    <x v="1"/>
    <x v="2"/>
    <x v="1"/>
  </r>
  <r>
    <n v="31"/>
    <x v="0"/>
    <s v="Travel_Rarely"/>
    <n v="542"/>
    <x v="0"/>
    <n v="20"/>
    <n v="3"/>
    <s v="Life Sciences"/>
    <n v="175"/>
    <n v="2"/>
    <x v="0"/>
    <n v="71"/>
    <n v="1"/>
    <n v="2"/>
    <x v="0"/>
    <n v="3"/>
    <x v="1"/>
    <n v="4559"/>
    <n v="3"/>
    <x v="0"/>
    <n v="11"/>
    <n v="3"/>
    <n v="3"/>
    <n v="1"/>
    <n v="4"/>
    <n v="2"/>
    <n v="3"/>
    <n v="2"/>
    <n v="2"/>
    <n v="2"/>
    <n v="2"/>
    <x v="0"/>
    <x v="0"/>
    <x v="3"/>
    <x v="0"/>
    <x v="3"/>
    <x v="0"/>
    <x v="2"/>
    <x v="3"/>
    <s v="Low"/>
    <x v="1"/>
    <x v="2"/>
    <x v="0"/>
    <x v="1"/>
  </r>
  <r>
    <n v="41"/>
    <x v="1"/>
    <s v="Travel_Rarely"/>
    <n v="802"/>
    <x v="0"/>
    <n v="9"/>
    <n v="1"/>
    <s v="Life Sciences"/>
    <n v="176"/>
    <n v="3"/>
    <x v="1"/>
    <n v="96"/>
    <n v="3"/>
    <n v="3"/>
    <x v="0"/>
    <n v="3"/>
    <x v="2"/>
    <n v="8189"/>
    <n v="3"/>
    <x v="0"/>
    <n v="13"/>
    <n v="3"/>
    <n v="3"/>
    <n v="1"/>
    <n v="12"/>
    <n v="2"/>
    <n v="3"/>
    <n v="9"/>
    <n v="7"/>
    <n v="0"/>
    <n v="7"/>
    <x v="1"/>
    <x v="0"/>
    <x v="1"/>
    <x v="1"/>
    <x v="0"/>
    <x v="2"/>
    <x v="2"/>
    <x v="3"/>
    <s v="Low"/>
    <x v="1"/>
    <x v="0"/>
    <x v="2"/>
    <x v="0"/>
  </r>
  <r>
    <n v="26"/>
    <x v="1"/>
    <s v="Travel_Rarely"/>
    <n v="1355"/>
    <x v="2"/>
    <n v="25"/>
    <n v="1"/>
    <s v="Life Sciences"/>
    <n v="177"/>
    <n v="3"/>
    <x v="0"/>
    <n v="61"/>
    <n v="3"/>
    <n v="1"/>
    <x v="8"/>
    <n v="3"/>
    <x v="1"/>
    <n v="2942"/>
    <n v="1"/>
    <x v="1"/>
    <n v="23"/>
    <n v="4"/>
    <n v="4"/>
    <n v="1"/>
    <n v="8"/>
    <n v="3"/>
    <n v="3"/>
    <n v="8"/>
    <n v="7"/>
    <n v="5"/>
    <n v="7"/>
    <x v="1"/>
    <x v="1"/>
    <x v="1"/>
    <x v="1"/>
    <x v="0"/>
    <x v="1"/>
    <x v="2"/>
    <x v="1"/>
    <s v="Low"/>
    <x v="1"/>
    <x v="2"/>
    <x v="1"/>
    <x v="0"/>
  </r>
  <r>
    <n v="36"/>
    <x v="1"/>
    <s v="Travel_Rarely"/>
    <n v="216"/>
    <x v="1"/>
    <n v="6"/>
    <n v="2"/>
    <s v="Medical"/>
    <n v="178"/>
    <n v="2"/>
    <x v="1"/>
    <n v="84"/>
    <n v="3"/>
    <n v="2"/>
    <x v="3"/>
    <n v="2"/>
    <x v="2"/>
    <n v="4941"/>
    <n v="6"/>
    <x v="1"/>
    <n v="20"/>
    <n v="4"/>
    <n v="4"/>
    <n v="2"/>
    <n v="7"/>
    <n v="0"/>
    <n v="3"/>
    <n v="3"/>
    <n v="2"/>
    <n v="0"/>
    <n v="1"/>
    <x v="1"/>
    <x v="1"/>
    <x v="0"/>
    <x v="0"/>
    <x v="0"/>
    <x v="0"/>
    <x v="1"/>
    <x v="1"/>
    <s v="Medium"/>
    <x v="1"/>
    <x v="0"/>
    <x v="0"/>
    <x v="2"/>
  </r>
  <r>
    <n v="51"/>
    <x v="0"/>
    <s v="Travel_Frequently"/>
    <n v="1150"/>
    <x v="1"/>
    <n v="8"/>
    <n v="4"/>
    <s v="Life Sciences"/>
    <n v="179"/>
    <n v="1"/>
    <x v="1"/>
    <n v="53"/>
    <n v="1"/>
    <n v="3"/>
    <x v="3"/>
    <n v="4"/>
    <x v="0"/>
    <n v="10650"/>
    <n v="2"/>
    <x v="1"/>
    <n v="15"/>
    <n v="3"/>
    <n v="4"/>
    <n v="0"/>
    <n v="18"/>
    <n v="2"/>
    <n v="3"/>
    <n v="4"/>
    <n v="2"/>
    <n v="0"/>
    <n v="3"/>
    <x v="0"/>
    <x v="1"/>
    <x v="2"/>
    <x v="3"/>
    <x v="3"/>
    <x v="2"/>
    <x v="0"/>
    <x v="1"/>
    <s v="No Options"/>
    <x v="1"/>
    <x v="1"/>
    <x v="2"/>
    <x v="2"/>
  </r>
  <r>
    <n v="39"/>
    <x v="1"/>
    <s v="Travel_Rarely"/>
    <n v="1329"/>
    <x v="0"/>
    <n v="4"/>
    <n v="4"/>
    <s v="Life Sciences"/>
    <n v="182"/>
    <n v="4"/>
    <x v="0"/>
    <n v="47"/>
    <n v="2"/>
    <n v="2"/>
    <x v="0"/>
    <n v="3"/>
    <x v="1"/>
    <n v="5902"/>
    <n v="4"/>
    <x v="1"/>
    <n v="14"/>
    <n v="3"/>
    <n v="3"/>
    <n v="1"/>
    <n v="17"/>
    <n v="1"/>
    <n v="4"/>
    <n v="15"/>
    <n v="11"/>
    <n v="5"/>
    <n v="9"/>
    <x v="1"/>
    <x v="1"/>
    <x v="2"/>
    <x v="2"/>
    <x v="1"/>
    <x v="0"/>
    <x v="2"/>
    <x v="3"/>
    <s v="Low"/>
    <x v="3"/>
    <x v="0"/>
    <x v="0"/>
    <x v="4"/>
  </r>
  <r>
    <n v="25"/>
    <x v="1"/>
    <s v="Travel_Rarely"/>
    <n v="959"/>
    <x v="0"/>
    <n v="28"/>
    <n v="3"/>
    <s v="Life Sciences"/>
    <n v="183"/>
    <n v="1"/>
    <x v="1"/>
    <n v="41"/>
    <n v="2"/>
    <n v="2"/>
    <x v="0"/>
    <n v="3"/>
    <x v="1"/>
    <n v="8639"/>
    <n v="2"/>
    <x v="1"/>
    <n v="18"/>
    <n v="3"/>
    <n v="4"/>
    <n v="0"/>
    <n v="6"/>
    <n v="3"/>
    <n v="3"/>
    <n v="2"/>
    <n v="2"/>
    <n v="2"/>
    <n v="2"/>
    <x v="1"/>
    <x v="1"/>
    <x v="3"/>
    <x v="3"/>
    <x v="1"/>
    <x v="0"/>
    <x v="2"/>
    <x v="1"/>
    <s v="No Options"/>
    <x v="1"/>
    <x v="2"/>
    <x v="2"/>
    <x v="1"/>
  </r>
  <r>
    <n v="30"/>
    <x v="1"/>
    <s v="Travel_Rarely"/>
    <n v="1240"/>
    <x v="2"/>
    <n v="9"/>
    <n v="3"/>
    <s v="Human Resources"/>
    <n v="184"/>
    <n v="3"/>
    <x v="1"/>
    <n v="48"/>
    <n v="3"/>
    <n v="2"/>
    <x v="8"/>
    <n v="4"/>
    <x v="1"/>
    <n v="6347"/>
    <n v="0"/>
    <x v="0"/>
    <n v="19"/>
    <n v="3"/>
    <n v="4"/>
    <n v="0"/>
    <n v="12"/>
    <n v="2"/>
    <n v="1"/>
    <n v="11"/>
    <n v="9"/>
    <n v="4"/>
    <n v="7"/>
    <x v="1"/>
    <x v="0"/>
    <x v="3"/>
    <x v="1"/>
    <x v="0"/>
    <x v="0"/>
    <x v="0"/>
    <x v="1"/>
    <s v="No Options"/>
    <x v="0"/>
    <x v="2"/>
    <x v="0"/>
    <x v="4"/>
  </r>
  <r>
    <n v="32"/>
    <x v="0"/>
    <s v="Travel_Rarely"/>
    <n v="1033"/>
    <x v="1"/>
    <n v="9"/>
    <n v="3"/>
    <s v="Medical"/>
    <n v="190"/>
    <n v="1"/>
    <x v="0"/>
    <n v="41"/>
    <n v="3"/>
    <n v="1"/>
    <x v="2"/>
    <n v="1"/>
    <x v="0"/>
    <n v="4200"/>
    <n v="7"/>
    <x v="1"/>
    <n v="22"/>
    <n v="4"/>
    <n v="1"/>
    <n v="0"/>
    <n v="10"/>
    <n v="2"/>
    <n v="4"/>
    <n v="5"/>
    <n v="4"/>
    <n v="0"/>
    <n v="4"/>
    <x v="0"/>
    <x v="1"/>
    <x v="3"/>
    <x v="3"/>
    <x v="0"/>
    <x v="1"/>
    <x v="3"/>
    <x v="0"/>
    <s v="No Options"/>
    <x v="3"/>
    <x v="2"/>
    <x v="0"/>
    <x v="2"/>
  </r>
  <r>
    <n v="45"/>
    <x v="1"/>
    <s v="Travel_Rarely"/>
    <n v="1316"/>
    <x v="1"/>
    <n v="29"/>
    <n v="3"/>
    <s v="Medical"/>
    <n v="192"/>
    <n v="3"/>
    <x v="1"/>
    <n v="83"/>
    <n v="3"/>
    <n v="1"/>
    <x v="1"/>
    <n v="4"/>
    <x v="0"/>
    <n v="3452"/>
    <n v="5"/>
    <x v="1"/>
    <n v="13"/>
    <n v="3"/>
    <n v="2"/>
    <n v="0"/>
    <n v="9"/>
    <n v="2"/>
    <n v="2"/>
    <n v="6"/>
    <n v="5"/>
    <n v="0"/>
    <n v="3"/>
    <x v="1"/>
    <x v="1"/>
    <x v="3"/>
    <x v="1"/>
    <x v="0"/>
    <x v="1"/>
    <x v="0"/>
    <x v="2"/>
    <s v="No Options"/>
    <x v="2"/>
    <x v="1"/>
    <x v="0"/>
    <x v="0"/>
  </r>
  <r>
    <n v="38"/>
    <x v="1"/>
    <s v="Travel_Rarely"/>
    <n v="364"/>
    <x v="1"/>
    <n v="3"/>
    <n v="5"/>
    <s v="Technical Degree"/>
    <n v="193"/>
    <n v="4"/>
    <x v="0"/>
    <n v="32"/>
    <n v="3"/>
    <n v="2"/>
    <x v="1"/>
    <n v="3"/>
    <x v="0"/>
    <n v="4317"/>
    <n v="3"/>
    <x v="0"/>
    <n v="20"/>
    <n v="4"/>
    <n v="2"/>
    <n v="0"/>
    <n v="19"/>
    <n v="2"/>
    <n v="3"/>
    <n v="3"/>
    <n v="2"/>
    <n v="2"/>
    <n v="2"/>
    <x v="1"/>
    <x v="0"/>
    <x v="4"/>
    <x v="2"/>
    <x v="0"/>
    <x v="0"/>
    <x v="2"/>
    <x v="2"/>
    <s v="No Options"/>
    <x v="1"/>
    <x v="0"/>
    <x v="0"/>
    <x v="2"/>
  </r>
  <r>
    <n v="30"/>
    <x v="1"/>
    <s v="Travel_Rarely"/>
    <n v="438"/>
    <x v="1"/>
    <n v="18"/>
    <n v="3"/>
    <s v="Life Sciences"/>
    <n v="194"/>
    <n v="1"/>
    <x v="0"/>
    <n v="75"/>
    <n v="3"/>
    <n v="1"/>
    <x v="1"/>
    <n v="3"/>
    <x v="0"/>
    <n v="2632"/>
    <n v="1"/>
    <x v="1"/>
    <n v="14"/>
    <n v="3"/>
    <n v="3"/>
    <n v="0"/>
    <n v="5"/>
    <n v="4"/>
    <n v="2"/>
    <n v="5"/>
    <n v="4"/>
    <n v="0"/>
    <n v="4"/>
    <x v="1"/>
    <x v="1"/>
    <x v="3"/>
    <x v="3"/>
    <x v="0"/>
    <x v="1"/>
    <x v="2"/>
    <x v="3"/>
    <s v="No Options"/>
    <x v="2"/>
    <x v="2"/>
    <x v="1"/>
    <x v="2"/>
  </r>
  <r>
    <n v="32"/>
    <x v="1"/>
    <s v="Travel_Frequently"/>
    <n v="689"/>
    <x v="0"/>
    <n v="9"/>
    <n v="2"/>
    <s v="Medical"/>
    <n v="195"/>
    <n v="4"/>
    <x v="1"/>
    <n v="35"/>
    <n v="1"/>
    <n v="2"/>
    <x v="0"/>
    <n v="4"/>
    <x v="2"/>
    <n v="4668"/>
    <n v="0"/>
    <x v="1"/>
    <n v="17"/>
    <n v="3"/>
    <n v="4"/>
    <n v="3"/>
    <n v="9"/>
    <n v="2"/>
    <n v="4"/>
    <n v="8"/>
    <n v="7"/>
    <n v="0"/>
    <n v="7"/>
    <x v="1"/>
    <x v="1"/>
    <x v="0"/>
    <x v="2"/>
    <x v="3"/>
    <x v="0"/>
    <x v="0"/>
    <x v="1"/>
    <s v="High"/>
    <x v="3"/>
    <x v="2"/>
    <x v="0"/>
    <x v="0"/>
  </r>
  <r>
    <n v="30"/>
    <x v="1"/>
    <s v="Travel_Rarely"/>
    <n v="201"/>
    <x v="1"/>
    <n v="5"/>
    <n v="3"/>
    <s v="Technical Degree"/>
    <n v="197"/>
    <n v="4"/>
    <x v="0"/>
    <n v="84"/>
    <n v="3"/>
    <n v="1"/>
    <x v="1"/>
    <n v="1"/>
    <x v="2"/>
    <n v="3204"/>
    <n v="5"/>
    <x v="1"/>
    <n v="14"/>
    <n v="3"/>
    <n v="4"/>
    <n v="1"/>
    <n v="8"/>
    <n v="3"/>
    <n v="3"/>
    <n v="3"/>
    <n v="2"/>
    <n v="2"/>
    <n v="2"/>
    <x v="1"/>
    <x v="1"/>
    <x v="3"/>
    <x v="2"/>
    <x v="0"/>
    <x v="1"/>
    <x v="3"/>
    <x v="1"/>
    <s v="Low"/>
    <x v="1"/>
    <x v="2"/>
    <x v="0"/>
    <x v="2"/>
  </r>
  <r>
    <n v="30"/>
    <x v="1"/>
    <s v="Travel_Rarely"/>
    <n v="1427"/>
    <x v="1"/>
    <n v="2"/>
    <n v="1"/>
    <s v="Medical"/>
    <n v="198"/>
    <n v="2"/>
    <x v="1"/>
    <n v="35"/>
    <n v="2"/>
    <n v="1"/>
    <x v="2"/>
    <n v="4"/>
    <x v="0"/>
    <n v="2720"/>
    <n v="0"/>
    <x v="1"/>
    <n v="13"/>
    <n v="3"/>
    <n v="4"/>
    <n v="0"/>
    <n v="6"/>
    <n v="3"/>
    <n v="3"/>
    <n v="5"/>
    <n v="3"/>
    <n v="1"/>
    <n v="2"/>
    <x v="1"/>
    <x v="1"/>
    <x v="1"/>
    <x v="0"/>
    <x v="1"/>
    <x v="1"/>
    <x v="0"/>
    <x v="1"/>
    <s v="No Options"/>
    <x v="1"/>
    <x v="2"/>
    <x v="1"/>
    <x v="2"/>
  </r>
  <r>
    <n v="41"/>
    <x v="1"/>
    <s v="Travel_Frequently"/>
    <n v="857"/>
    <x v="1"/>
    <n v="10"/>
    <n v="3"/>
    <s v="Life Sciences"/>
    <n v="199"/>
    <n v="4"/>
    <x v="1"/>
    <n v="91"/>
    <n v="2"/>
    <n v="4"/>
    <x v="5"/>
    <n v="1"/>
    <x v="2"/>
    <n v="17181"/>
    <n v="4"/>
    <x v="1"/>
    <n v="13"/>
    <n v="3"/>
    <n v="2"/>
    <n v="1"/>
    <n v="21"/>
    <n v="2"/>
    <n v="2"/>
    <n v="7"/>
    <n v="6"/>
    <n v="7"/>
    <n v="7"/>
    <x v="1"/>
    <x v="1"/>
    <x v="3"/>
    <x v="2"/>
    <x v="1"/>
    <x v="3"/>
    <x v="3"/>
    <x v="2"/>
    <s v="Low"/>
    <x v="2"/>
    <x v="0"/>
    <x v="3"/>
    <x v="0"/>
  </r>
  <r>
    <n v="41"/>
    <x v="1"/>
    <s v="Travel_Rarely"/>
    <n v="933"/>
    <x v="1"/>
    <n v="9"/>
    <n v="4"/>
    <s v="Life Sciences"/>
    <n v="200"/>
    <n v="3"/>
    <x v="1"/>
    <n v="94"/>
    <n v="3"/>
    <n v="1"/>
    <x v="2"/>
    <n v="1"/>
    <x v="1"/>
    <n v="2238"/>
    <n v="2"/>
    <x v="1"/>
    <n v="21"/>
    <n v="4"/>
    <n v="4"/>
    <n v="1"/>
    <n v="7"/>
    <n v="2"/>
    <n v="3"/>
    <n v="5"/>
    <n v="0"/>
    <n v="1"/>
    <n v="4"/>
    <x v="1"/>
    <x v="1"/>
    <x v="2"/>
    <x v="1"/>
    <x v="0"/>
    <x v="1"/>
    <x v="3"/>
    <x v="1"/>
    <s v="Low"/>
    <x v="1"/>
    <x v="0"/>
    <x v="1"/>
    <x v="2"/>
  </r>
  <r>
    <n v="19"/>
    <x v="1"/>
    <s v="Travel_Rarely"/>
    <n v="1181"/>
    <x v="1"/>
    <n v="3"/>
    <n v="1"/>
    <s v="Medical"/>
    <n v="201"/>
    <n v="2"/>
    <x v="0"/>
    <n v="79"/>
    <n v="3"/>
    <n v="1"/>
    <x v="2"/>
    <n v="2"/>
    <x v="0"/>
    <n v="1483"/>
    <n v="1"/>
    <x v="1"/>
    <n v="14"/>
    <n v="3"/>
    <n v="4"/>
    <n v="0"/>
    <n v="1"/>
    <n v="3"/>
    <n v="3"/>
    <n v="1"/>
    <n v="0"/>
    <n v="0"/>
    <n v="0"/>
    <x v="1"/>
    <x v="1"/>
    <x v="1"/>
    <x v="0"/>
    <x v="0"/>
    <x v="1"/>
    <x v="1"/>
    <x v="1"/>
    <s v="No Options"/>
    <x v="1"/>
    <x v="4"/>
    <x v="1"/>
    <x v="1"/>
  </r>
  <r>
    <n v="40"/>
    <x v="1"/>
    <s v="Travel_Frequently"/>
    <n v="1395"/>
    <x v="1"/>
    <n v="26"/>
    <n v="3"/>
    <s v="Medical"/>
    <n v="202"/>
    <n v="2"/>
    <x v="0"/>
    <n v="54"/>
    <n v="3"/>
    <n v="2"/>
    <x v="1"/>
    <n v="2"/>
    <x v="2"/>
    <n v="5605"/>
    <n v="1"/>
    <x v="1"/>
    <n v="11"/>
    <n v="3"/>
    <n v="1"/>
    <n v="1"/>
    <n v="20"/>
    <n v="2"/>
    <n v="3"/>
    <n v="20"/>
    <n v="7"/>
    <n v="2"/>
    <n v="13"/>
    <x v="1"/>
    <x v="1"/>
    <x v="3"/>
    <x v="0"/>
    <x v="0"/>
    <x v="0"/>
    <x v="1"/>
    <x v="0"/>
    <s v="Low"/>
    <x v="1"/>
    <x v="0"/>
    <x v="0"/>
    <x v="4"/>
  </r>
  <r>
    <n v="35"/>
    <x v="1"/>
    <s v="Travel_Rarely"/>
    <n v="662"/>
    <x v="0"/>
    <n v="1"/>
    <n v="5"/>
    <s v="Marketing"/>
    <n v="204"/>
    <n v="3"/>
    <x v="1"/>
    <n v="94"/>
    <n v="3"/>
    <n v="3"/>
    <x v="0"/>
    <n v="2"/>
    <x v="1"/>
    <n v="7295"/>
    <n v="1"/>
    <x v="1"/>
    <n v="13"/>
    <n v="3"/>
    <n v="1"/>
    <n v="2"/>
    <n v="10"/>
    <n v="3"/>
    <n v="3"/>
    <n v="10"/>
    <n v="8"/>
    <n v="0"/>
    <n v="6"/>
    <x v="1"/>
    <x v="1"/>
    <x v="4"/>
    <x v="1"/>
    <x v="0"/>
    <x v="2"/>
    <x v="1"/>
    <x v="0"/>
    <s v="Medium"/>
    <x v="1"/>
    <x v="0"/>
    <x v="2"/>
    <x v="0"/>
  </r>
  <r>
    <n v="53"/>
    <x v="1"/>
    <s v="Travel_Rarely"/>
    <n v="1436"/>
    <x v="0"/>
    <n v="6"/>
    <n v="2"/>
    <s v="Marketing"/>
    <n v="205"/>
    <n v="2"/>
    <x v="1"/>
    <n v="34"/>
    <n v="3"/>
    <n v="2"/>
    <x v="6"/>
    <n v="3"/>
    <x v="1"/>
    <n v="2306"/>
    <n v="2"/>
    <x v="0"/>
    <n v="20"/>
    <n v="4"/>
    <n v="4"/>
    <n v="1"/>
    <n v="13"/>
    <n v="3"/>
    <n v="1"/>
    <n v="7"/>
    <n v="7"/>
    <n v="4"/>
    <n v="5"/>
    <x v="1"/>
    <x v="0"/>
    <x v="0"/>
    <x v="0"/>
    <x v="0"/>
    <x v="0"/>
    <x v="2"/>
    <x v="1"/>
    <s v="Low"/>
    <x v="0"/>
    <x v="1"/>
    <x v="1"/>
    <x v="0"/>
  </r>
  <r>
    <n v="45"/>
    <x v="1"/>
    <s v="Travel_Rarely"/>
    <n v="194"/>
    <x v="1"/>
    <n v="9"/>
    <n v="3"/>
    <s v="Life Sciences"/>
    <n v="206"/>
    <n v="2"/>
    <x v="1"/>
    <n v="60"/>
    <n v="3"/>
    <n v="2"/>
    <x v="2"/>
    <n v="2"/>
    <x v="2"/>
    <n v="2348"/>
    <n v="8"/>
    <x v="1"/>
    <n v="18"/>
    <n v="3"/>
    <n v="3"/>
    <n v="1"/>
    <n v="20"/>
    <n v="2"/>
    <n v="1"/>
    <n v="17"/>
    <n v="9"/>
    <n v="0"/>
    <n v="15"/>
    <x v="1"/>
    <x v="1"/>
    <x v="3"/>
    <x v="0"/>
    <x v="0"/>
    <x v="0"/>
    <x v="1"/>
    <x v="3"/>
    <s v="Low"/>
    <x v="0"/>
    <x v="1"/>
    <x v="1"/>
    <x v="4"/>
  </r>
  <r>
    <n v="32"/>
    <x v="1"/>
    <s v="Travel_Frequently"/>
    <n v="967"/>
    <x v="0"/>
    <n v="8"/>
    <n v="3"/>
    <s v="Marketing"/>
    <n v="207"/>
    <n v="2"/>
    <x v="0"/>
    <n v="43"/>
    <n v="3"/>
    <n v="3"/>
    <x v="0"/>
    <n v="4"/>
    <x v="0"/>
    <n v="8998"/>
    <n v="1"/>
    <x v="1"/>
    <n v="14"/>
    <n v="3"/>
    <n v="4"/>
    <n v="0"/>
    <n v="9"/>
    <n v="2"/>
    <n v="3"/>
    <n v="9"/>
    <n v="8"/>
    <n v="3"/>
    <n v="7"/>
    <x v="1"/>
    <x v="1"/>
    <x v="3"/>
    <x v="0"/>
    <x v="0"/>
    <x v="2"/>
    <x v="0"/>
    <x v="1"/>
    <s v="No Options"/>
    <x v="1"/>
    <x v="2"/>
    <x v="2"/>
    <x v="0"/>
  </r>
  <r>
    <n v="29"/>
    <x v="1"/>
    <s v="Non-Travel"/>
    <n v="1496"/>
    <x v="1"/>
    <n v="1"/>
    <n v="1"/>
    <s v="Technical Degree"/>
    <n v="208"/>
    <n v="4"/>
    <x v="1"/>
    <n v="41"/>
    <n v="3"/>
    <n v="2"/>
    <x v="3"/>
    <n v="3"/>
    <x v="1"/>
    <n v="4319"/>
    <n v="1"/>
    <x v="1"/>
    <n v="13"/>
    <n v="3"/>
    <n v="1"/>
    <n v="1"/>
    <n v="10"/>
    <n v="1"/>
    <n v="3"/>
    <n v="10"/>
    <n v="7"/>
    <n v="0"/>
    <n v="9"/>
    <x v="1"/>
    <x v="1"/>
    <x v="1"/>
    <x v="2"/>
    <x v="0"/>
    <x v="0"/>
    <x v="2"/>
    <x v="0"/>
    <s v="Low"/>
    <x v="1"/>
    <x v="2"/>
    <x v="0"/>
    <x v="0"/>
  </r>
  <r>
    <n v="51"/>
    <x v="1"/>
    <s v="Travel_Rarely"/>
    <n v="1169"/>
    <x v="1"/>
    <n v="7"/>
    <n v="4"/>
    <s v="Medical"/>
    <n v="211"/>
    <n v="2"/>
    <x v="1"/>
    <n v="34"/>
    <n v="2"/>
    <n v="2"/>
    <x v="3"/>
    <n v="3"/>
    <x v="1"/>
    <n v="6132"/>
    <n v="2"/>
    <x v="1"/>
    <n v="17"/>
    <n v="3"/>
    <n v="3"/>
    <n v="0"/>
    <n v="10"/>
    <n v="2"/>
    <n v="3"/>
    <n v="1"/>
    <n v="0"/>
    <n v="0"/>
    <n v="0"/>
    <x v="1"/>
    <x v="1"/>
    <x v="2"/>
    <x v="0"/>
    <x v="1"/>
    <x v="0"/>
    <x v="2"/>
    <x v="3"/>
    <s v="No Options"/>
    <x v="1"/>
    <x v="1"/>
    <x v="0"/>
    <x v="1"/>
  </r>
  <r>
    <n v="58"/>
    <x v="1"/>
    <s v="Travel_Rarely"/>
    <n v="1145"/>
    <x v="1"/>
    <n v="9"/>
    <n v="3"/>
    <s v="Medical"/>
    <n v="214"/>
    <n v="2"/>
    <x v="0"/>
    <n v="75"/>
    <n v="2"/>
    <n v="1"/>
    <x v="1"/>
    <n v="2"/>
    <x v="1"/>
    <n v="3346"/>
    <n v="4"/>
    <x v="0"/>
    <n v="20"/>
    <n v="4"/>
    <n v="2"/>
    <n v="1"/>
    <n v="9"/>
    <n v="3"/>
    <n v="2"/>
    <n v="1"/>
    <n v="0"/>
    <n v="0"/>
    <n v="0"/>
    <x v="1"/>
    <x v="0"/>
    <x v="3"/>
    <x v="0"/>
    <x v="1"/>
    <x v="1"/>
    <x v="1"/>
    <x v="2"/>
    <s v="Low"/>
    <x v="2"/>
    <x v="3"/>
    <x v="0"/>
    <x v="1"/>
  </r>
  <r>
    <n v="40"/>
    <x v="1"/>
    <s v="Travel_Rarely"/>
    <n v="630"/>
    <x v="0"/>
    <n v="4"/>
    <n v="4"/>
    <s v="Marketing"/>
    <n v="215"/>
    <n v="3"/>
    <x v="1"/>
    <n v="67"/>
    <n v="2"/>
    <n v="3"/>
    <x v="0"/>
    <n v="4"/>
    <x v="1"/>
    <n v="10855"/>
    <n v="7"/>
    <x v="1"/>
    <n v="11"/>
    <n v="3"/>
    <n v="1"/>
    <n v="1"/>
    <n v="15"/>
    <n v="2"/>
    <n v="2"/>
    <n v="12"/>
    <n v="11"/>
    <n v="2"/>
    <n v="11"/>
    <x v="1"/>
    <x v="1"/>
    <x v="2"/>
    <x v="1"/>
    <x v="1"/>
    <x v="2"/>
    <x v="0"/>
    <x v="0"/>
    <s v="Low"/>
    <x v="2"/>
    <x v="0"/>
    <x v="2"/>
    <x v="4"/>
  </r>
  <r>
    <n v="34"/>
    <x v="1"/>
    <s v="Travel_Frequently"/>
    <n v="303"/>
    <x v="0"/>
    <n v="2"/>
    <n v="4"/>
    <s v="Marketing"/>
    <n v="216"/>
    <n v="3"/>
    <x v="0"/>
    <n v="75"/>
    <n v="3"/>
    <n v="1"/>
    <x v="6"/>
    <n v="3"/>
    <x v="1"/>
    <n v="2231"/>
    <n v="6"/>
    <x v="1"/>
    <n v="18"/>
    <n v="3"/>
    <n v="4"/>
    <n v="1"/>
    <n v="6"/>
    <n v="3"/>
    <n v="3"/>
    <n v="4"/>
    <n v="3"/>
    <n v="1"/>
    <n v="2"/>
    <x v="1"/>
    <x v="1"/>
    <x v="2"/>
    <x v="1"/>
    <x v="0"/>
    <x v="1"/>
    <x v="2"/>
    <x v="1"/>
    <s v="Low"/>
    <x v="1"/>
    <x v="2"/>
    <x v="1"/>
    <x v="2"/>
  </r>
  <r>
    <n v="22"/>
    <x v="1"/>
    <s v="Travel_Rarely"/>
    <n v="1256"/>
    <x v="1"/>
    <n v="19"/>
    <n v="1"/>
    <s v="Medical"/>
    <n v="217"/>
    <n v="3"/>
    <x v="1"/>
    <n v="80"/>
    <n v="3"/>
    <n v="1"/>
    <x v="1"/>
    <n v="4"/>
    <x v="1"/>
    <n v="2323"/>
    <n v="1"/>
    <x v="1"/>
    <n v="24"/>
    <n v="4"/>
    <n v="1"/>
    <n v="2"/>
    <n v="2"/>
    <n v="6"/>
    <n v="3"/>
    <n v="2"/>
    <n v="2"/>
    <n v="2"/>
    <n v="2"/>
    <x v="1"/>
    <x v="1"/>
    <x v="1"/>
    <x v="1"/>
    <x v="0"/>
    <x v="1"/>
    <x v="0"/>
    <x v="0"/>
    <s v="Medium"/>
    <x v="1"/>
    <x v="4"/>
    <x v="1"/>
    <x v="1"/>
  </r>
  <r>
    <n v="27"/>
    <x v="1"/>
    <s v="Non-Travel"/>
    <n v="691"/>
    <x v="1"/>
    <n v="9"/>
    <n v="3"/>
    <s v="Medical"/>
    <n v="218"/>
    <n v="4"/>
    <x v="1"/>
    <n v="57"/>
    <n v="3"/>
    <n v="1"/>
    <x v="1"/>
    <n v="2"/>
    <x v="2"/>
    <n v="2024"/>
    <n v="6"/>
    <x v="1"/>
    <n v="18"/>
    <n v="3"/>
    <n v="4"/>
    <n v="1"/>
    <n v="6"/>
    <n v="1"/>
    <n v="1"/>
    <n v="2"/>
    <n v="2"/>
    <n v="2"/>
    <n v="2"/>
    <x v="1"/>
    <x v="1"/>
    <x v="3"/>
    <x v="2"/>
    <x v="0"/>
    <x v="1"/>
    <x v="1"/>
    <x v="1"/>
    <s v="Low"/>
    <x v="0"/>
    <x v="2"/>
    <x v="1"/>
    <x v="1"/>
  </r>
  <r>
    <n v="28"/>
    <x v="1"/>
    <s v="Travel_Rarely"/>
    <n v="440"/>
    <x v="1"/>
    <n v="21"/>
    <n v="3"/>
    <s v="Medical"/>
    <n v="221"/>
    <n v="3"/>
    <x v="1"/>
    <n v="42"/>
    <n v="3"/>
    <n v="1"/>
    <x v="1"/>
    <n v="4"/>
    <x v="1"/>
    <n v="2713"/>
    <n v="1"/>
    <x v="1"/>
    <n v="11"/>
    <n v="3"/>
    <n v="3"/>
    <n v="1"/>
    <n v="5"/>
    <n v="2"/>
    <n v="1"/>
    <n v="5"/>
    <n v="2"/>
    <n v="0"/>
    <n v="2"/>
    <x v="1"/>
    <x v="1"/>
    <x v="3"/>
    <x v="1"/>
    <x v="0"/>
    <x v="1"/>
    <x v="0"/>
    <x v="3"/>
    <s v="Low"/>
    <x v="0"/>
    <x v="2"/>
    <x v="1"/>
    <x v="2"/>
  </r>
  <r>
    <n v="57"/>
    <x v="1"/>
    <s v="Travel_Rarely"/>
    <n v="334"/>
    <x v="1"/>
    <n v="24"/>
    <n v="2"/>
    <s v="Life Sciences"/>
    <n v="223"/>
    <n v="3"/>
    <x v="1"/>
    <n v="83"/>
    <n v="4"/>
    <n v="3"/>
    <x v="4"/>
    <n v="4"/>
    <x v="2"/>
    <n v="9439"/>
    <n v="3"/>
    <x v="0"/>
    <n v="16"/>
    <n v="3"/>
    <n v="2"/>
    <n v="1"/>
    <n v="12"/>
    <n v="2"/>
    <n v="1"/>
    <n v="5"/>
    <n v="3"/>
    <n v="1"/>
    <n v="4"/>
    <x v="1"/>
    <x v="0"/>
    <x v="0"/>
    <x v="1"/>
    <x v="2"/>
    <x v="2"/>
    <x v="0"/>
    <x v="2"/>
    <s v="Low"/>
    <x v="0"/>
    <x v="3"/>
    <x v="2"/>
    <x v="2"/>
  </r>
  <r>
    <n v="27"/>
    <x v="1"/>
    <s v="Non-Travel"/>
    <n v="1450"/>
    <x v="1"/>
    <n v="3"/>
    <n v="3"/>
    <s v="Medical"/>
    <n v="224"/>
    <n v="3"/>
    <x v="1"/>
    <n v="79"/>
    <n v="2"/>
    <n v="1"/>
    <x v="1"/>
    <n v="3"/>
    <x v="2"/>
    <n v="2566"/>
    <n v="1"/>
    <x v="0"/>
    <n v="15"/>
    <n v="3"/>
    <n v="4"/>
    <n v="1"/>
    <n v="1"/>
    <n v="2"/>
    <n v="2"/>
    <n v="1"/>
    <n v="1"/>
    <n v="0"/>
    <n v="1"/>
    <x v="1"/>
    <x v="0"/>
    <x v="3"/>
    <x v="1"/>
    <x v="1"/>
    <x v="1"/>
    <x v="2"/>
    <x v="1"/>
    <s v="Low"/>
    <x v="2"/>
    <x v="2"/>
    <x v="1"/>
    <x v="1"/>
  </r>
  <r>
    <n v="50"/>
    <x v="1"/>
    <s v="Travel_Rarely"/>
    <n v="1452"/>
    <x v="1"/>
    <n v="11"/>
    <n v="3"/>
    <s v="Life Sciences"/>
    <n v="226"/>
    <n v="3"/>
    <x v="0"/>
    <n v="53"/>
    <n v="3"/>
    <n v="5"/>
    <x v="5"/>
    <n v="2"/>
    <x v="0"/>
    <n v="19926"/>
    <n v="3"/>
    <x v="1"/>
    <n v="15"/>
    <n v="3"/>
    <n v="2"/>
    <n v="0"/>
    <n v="21"/>
    <n v="5"/>
    <n v="3"/>
    <n v="5"/>
    <n v="4"/>
    <n v="4"/>
    <n v="4"/>
    <x v="1"/>
    <x v="1"/>
    <x v="3"/>
    <x v="1"/>
    <x v="0"/>
    <x v="4"/>
    <x v="1"/>
    <x v="2"/>
    <s v="No Options"/>
    <x v="1"/>
    <x v="1"/>
    <x v="3"/>
    <x v="2"/>
  </r>
  <r>
    <n v="41"/>
    <x v="1"/>
    <s v="Travel_Rarely"/>
    <n v="465"/>
    <x v="1"/>
    <n v="14"/>
    <n v="3"/>
    <s v="Life Sciences"/>
    <n v="227"/>
    <n v="1"/>
    <x v="1"/>
    <n v="56"/>
    <n v="3"/>
    <n v="1"/>
    <x v="1"/>
    <n v="3"/>
    <x v="2"/>
    <n v="2451"/>
    <n v="4"/>
    <x v="1"/>
    <n v="12"/>
    <n v="3"/>
    <n v="1"/>
    <n v="1"/>
    <n v="13"/>
    <n v="2"/>
    <n v="3"/>
    <n v="9"/>
    <n v="8"/>
    <n v="1"/>
    <n v="8"/>
    <x v="1"/>
    <x v="1"/>
    <x v="3"/>
    <x v="3"/>
    <x v="0"/>
    <x v="1"/>
    <x v="2"/>
    <x v="0"/>
    <s v="Low"/>
    <x v="1"/>
    <x v="0"/>
    <x v="1"/>
    <x v="0"/>
  </r>
  <r>
    <n v="30"/>
    <x v="1"/>
    <s v="Travel_Rarely"/>
    <n v="1339"/>
    <x v="0"/>
    <n v="5"/>
    <n v="3"/>
    <s v="Life Sciences"/>
    <n v="228"/>
    <n v="2"/>
    <x v="0"/>
    <n v="41"/>
    <n v="3"/>
    <n v="3"/>
    <x v="0"/>
    <n v="4"/>
    <x v="1"/>
    <n v="9419"/>
    <n v="2"/>
    <x v="1"/>
    <n v="12"/>
    <n v="3"/>
    <n v="3"/>
    <n v="1"/>
    <n v="12"/>
    <n v="2"/>
    <n v="3"/>
    <n v="10"/>
    <n v="9"/>
    <n v="7"/>
    <n v="4"/>
    <x v="1"/>
    <x v="1"/>
    <x v="3"/>
    <x v="0"/>
    <x v="0"/>
    <x v="2"/>
    <x v="0"/>
    <x v="3"/>
    <s v="Low"/>
    <x v="1"/>
    <x v="2"/>
    <x v="2"/>
    <x v="0"/>
  </r>
  <r>
    <n v="38"/>
    <x v="1"/>
    <s v="Travel_Rarely"/>
    <n v="702"/>
    <x v="0"/>
    <n v="1"/>
    <n v="4"/>
    <s v="Life Sciences"/>
    <n v="230"/>
    <n v="1"/>
    <x v="0"/>
    <n v="59"/>
    <n v="2"/>
    <n v="2"/>
    <x v="0"/>
    <n v="4"/>
    <x v="0"/>
    <n v="8686"/>
    <n v="4"/>
    <x v="1"/>
    <n v="22"/>
    <n v="4"/>
    <n v="3"/>
    <n v="0"/>
    <n v="12"/>
    <n v="2"/>
    <n v="4"/>
    <n v="8"/>
    <n v="3"/>
    <n v="0"/>
    <n v="7"/>
    <x v="1"/>
    <x v="1"/>
    <x v="2"/>
    <x v="3"/>
    <x v="1"/>
    <x v="0"/>
    <x v="0"/>
    <x v="3"/>
    <s v="No Options"/>
    <x v="3"/>
    <x v="0"/>
    <x v="2"/>
    <x v="0"/>
  </r>
  <r>
    <n v="32"/>
    <x v="1"/>
    <s v="Travel_Rarely"/>
    <n v="120"/>
    <x v="1"/>
    <n v="6"/>
    <n v="5"/>
    <s v="Life Sciences"/>
    <n v="231"/>
    <n v="3"/>
    <x v="1"/>
    <n v="43"/>
    <n v="3"/>
    <n v="1"/>
    <x v="1"/>
    <n v="3"/>
    <x v="0"/>
    <n v="3038"/>
    <n v="3"/>
    <x v="1"/>
    <n v="20"/>
    <n v="4"/>
    <n v="1"/>
    <n v="0"/>
    <n v="8"/>
    <n v="2"/>
    <n v="3"/>
    <n v="5"/>
    <n v="4"/>
    <n v="1"/>
    <n v="4"/>
    <x v="1"/>
    <x v="1"/>
    <x v="4"/>
    <x v="1"/>
    <x v="0"/>
    <x v="1"/>
    <x v="2"/>
    <x v="0"/>
    <s v="No Options"/>
    <x v="1"/>
    <x v="2"/>
    <x v="0"/>
    <x v="2"/>
  </r>
  <r>
    <n v="27"/>
    <x v="1"/>
    <s v="Travel_Rarely"/>
    <n v="1157"/>
    <x v="1"/>
    <n v="17"/>
    <n v="3"/>
    <s v="Technical Degree"/>
    <n v="233"/>
    <n v="3"/>
    <x v="1"/>
    <n v="51"/>
    <n v="3"/>
    <n v="1"/>
    <x v="1"/>
    <n v="2"/>
    <x v="1"/>
    <n v="3058"/>
    <n v="0"/>
    <x v="0"/>
    <n v="16"/>
    <n v="3"/>
    <n v="4"/>
    <n v="1"/>
    <n v="6"/>
    <n v="3"/>
    <n v="2"/>
    <n v="5"/>
    <n v="2"/>
    <n v="1"/>
    <n v="1"/>
    <x v="1"/>
    <x v="0"/>
    <x v="3"/>
    <x v="1"/>
    <x v="0"/>
    <x v="1"/>
    <x v="1"/>
    <x v="1"/>
    <s v="Low"/>
    <x v="2"/>
    <x v="2"/>
    <x v="0"/>
    <x v="2"/>
  </r>
  <r>
    <n v="19"/>
    <x v="0"/>
    <s v="Travel_Frequently"/>
    <n v="602"/>
    <x v="0"/>
    <n v="1"/>
    <n v="1"/>
    <s v="Technical Degree"/>
    <n v="235"/>
    <n v="3"/>
    <x v="0"/>
    <n v="100"/>
    <n v="1"/>
    <n v="1"/>
    <x v="6"/>
    <n v="1"/>
    <x v="0"/>
    <n v="2325"/>
    <n v="0"/>
    <x v="1"/>
    <n v="21"/>
    <n v="4"/>
    <n v="1"/>
    <n v="0"/>
    <n v="1"/>
    <n v="5"/>
    <n v="4"/>
    <n v="0"/>
    <n v="0"/>
    <n v="0"/>
    <n v="0"/>
    <x v="0"/>
    <x v="1"/>
    <x v="1"/>
    <x v="1"/>
    <x v="3"/>
    <x v="1"/>
    <x v="3"/>
    <x v="0"/>
    <s v="No Options"/>
    <x v="3"/>
    <x v="4"/>
    <x v="1"/>
    <x v="1"/>
  </r>
  <r>
    <n v="36"/>
    <x v="1"/>
    <s v="Travel_Frequently"/>
    <n v="1480"/>
    <x v="1"/>
    <n v="3"/>
    <n v="2"/>
    <s v="Medical"/>
    <n v="238"/>
    <n v="4"/>
    <x v="1"/>
    <n v="30"/>
    <n v="3"/>
    <n v="1"/>
    <x v="2"/>
    <n v="2"/>
    <x v="0"/>
    <n v="2088"/>
    <n v="4"/>
    <x v="1"/>
    <n v="12"/>
    <n v="3"/>
    <n v="3"/>
    <n v="0"/>
    <n v="13"/>
    <n v="3"/>
    <n v="2"/>
    <n v="8"/>
    <n v="7"/>
    <n v="7"/>
    <n v="2"/>
    <x v="1"/>
    <x v="1"/>
    <x v="0"/>
    <x v="2"/>
    <x v="0"/>
    <x v="1"/>
    <x v="1"/>
    <x v="3"/>
    <s v="No Options"/>
    <x v="2"/>
    <x v="0"/>
    <x v="1"/>
    <x v="0"/>
  </r>
  <r>
    <n v="30"/>
    <x v="1"/>
    <s v="Non-Travel"/>
    <n v="111"/>
    <x v="1"/>
    <n v="9"/>
    <n v="3"/>
    <s v="Medical"/>
    <n v="239"/>
    <n v="3"/>
    <x v="1"/>
    <n v="66"/>
    <n v="3"/>
    <n v="2"/>
    <x v="2"/>
    <n v="1"/>
    <x v="2"/>
    <n v="3072"/>
    <n v="1"/>
    <x v="1"/>
    <n v="11"/>
    <n v="3"/>
    <n v="3"/>
    <n v="2"/>
    <n v="12"/>
    <n v="4"/>
    <n v="3"/>
    <n v="12"/>
    <n v="9"/>
    <n v="6"/>
    <n v="10"/>
    <x v="1"/>
    <x v="1"/>
    <x v="3"/>
    <x v="1"/>
    <x v="0"/>
    <x v="0"/>
    <x v="3"/>
    <x v="3"/>
    <s v="Medium"/>
    <x v="1"/>
    <x v="2"/>
    <x v="0"/>
    <x v="4"/>
  </r>
  <r>
    <n v="45"/>
    <x v="1"/>
    <s v="Travel_Rarely"/>
    <n v="1268"/>
    <x v="0"/>
    <n v="4"/>
    <n v="2"/>
    <s v="Life Sciences"/>
    <n v="240"/>
    <n v="3"/>
    <x v="0"/>
    <n v="30"/>
    <n v="3"/>
    <n v="2"/>
    <x v="0"/>
    <n v="1"/>
    <x v="2"/>
    <n v="5006"/>
    <n v="4"/>
    <x v="0"/>
    <n v="11"/>
    <n v="3"/>
    <n v="1"/>
    <n v="1"/>
    <n v="9"/>
    <n v="3"/>
    <n v="4"/>
    <n v="5"/>
    <n v="4"/>
    <n v="0"/>
    <n v="3"/>
    <x v="1"/>
    <x v="0"/>
    <x v="0"/>
    <x v="1"/>
    <x v="0"/>
    <x v="0"/>
    <x v="3"/>
    <x v="0"/>
    <s v="Low"/>
    <x v="3"/>
    <x v="1"/>
    <x v="0"/>
    <x v="2"/>
  </r>
  <r>
    <n v="56"/>
    <x v="1"/>
    <s v="Travel_Rarely"/>
    <n v="713"/>
    <x v="1"/>
    <n v="8"/>
    <n v="3"/>
    <s v="Life Sciences"/>
    <n v="241"/>
    <n v="3"/>
    <x v="0"/>
    <n v="67"/>
    <n v="3"/>
    <n v="1"/>
    <x v="1"/>
    <n v="1"/>
    <x v="2"/>
    <n v="4257"/>
    <n v="4"/>
    <x v="0"/>
    <n v="18"/>
    <n v="3"/>
    <n v="3"/>
    <n v="1"/>
    <n v="19"/>
    <n v="3"/>
    <n v="3"/>
    <n v="2"/>
    <n v="2"/>
    <n v="2"/>
    <n v="2"/>
    <x v="1"/>
    <x v="0"/>
    <x v="3"/>
    <x v="1"/>
    <x v="0"/>
    <x v="1"/>
    <x v="3"/>
    <x v="3"/>
    <s v="Low"/>
    <x v="1"/>
    <x v="3"/>
    <x v="0"/>
    <x v="1"/>
  </r>
  <r>
    <n v="33"/>
    <x v="1"/>
    <s v="Travel_Rarely"/>
    <n v="134"/>
    <x v="1"/>
    <n v="2"/>
    <n v="3"/>
    <s v="Life Sciences"/>
    <n v="242"/>
    <n v="3"/>
    <x v="1"/>
    <n v="90"/>
    <n v="3"/>
    <n v="1"/>
    <x v="1"/>
    <n v="4"/>
    <x v="0"/>
    <n v="2500"/>
    <n v="0"/>
    <x v="1"/>
    <n v="14"/>
    <n v="3"/>
    <n v="1"/>
    <n v="0"/>
    <n v="4"/>
    <n v="2"/>
    <n v="4"/>
    <n v="3"/>
    <n v="1"/>
    <n v="0"/>
    <n v="2"/>
    <x v="1"/>
    <x v="1"/>
    <x v="3"/>
    <x v="1"/>
    <x v="0"/>
    <x v="1"/>
    <x v="0"/>
    <x v="0"/>
    <s v="No Options"/>
    <x v="3"/>
    <x v="2"/>
    <x v="1"/>
    <x v="2"/>
  </r>
  <r>
    <n v="19"/>
    <x v="0"/>
    <s v="Travel_Rarely"/>
    <n v="303"/>
    <x v="1"/>
    <n v="2"/>
    <n v="3"/>
    <s v="Life Sciences"/>
    <n v="243"/>
    <n v="2"/>
    <x v="1"/>
    <n v="47"/>
    <n v="2"/>
    <n v="1"/>
    <x v="2"/>
    <n v="4"/>
    <x v="0"/>
    <n v="1102"/>
    <n v="1"/>
    <x v="1"/>
    <n v="22"/>
    <n v="4"/>
    <n v="3"/>
    <n v="0"/>
    <n v="1"/>
    <n v="3"/>
    <n v="2"/>
    <n v="1"/>
    <n v="0"/>
    <n v="1"/>
    <n v="0"/>
    <x v="0"/>
    <x v="1"/>
    <x v="3"/>
    <x v="0"/>
    <x v="1"/>
    <x v="1"/>
    <x v="0"/>
    <x v="3"/>
    <s v="No Options"/>
    <x v="2"/>
    <x v="4"/>
    <x v="1"/>
    <x v="1"/>
  </r>
  <r>
    <n v="46"/>
    <x v="1"/>
    <s v="Travel_Rarely"/>
    <n v="526"/>
    <x v="0"/>
    <n v="1"/>
    <n v="2"/>
    <s v="Marketing"/>
    <n v="244"/>
    <n v="2"/>
    <x v="0"/>
    <n v="92"/>
    <n v="3"/>
    <n v="3"/>
    <x v="0"/>
    <n v="1"/>
    <x v="2"/>
    <n v="10453"/>
    <n v="1"/>
    <x v="1"/>
    <n v="25"/>
    <n v="4"/>
    <n v="3"/>
    <n v="3"/>
    <n v="24"/>
    <n v="2"/>
    <n v="3"/>
    <n v="24"/>
    <n v="13"/>
    <n v="15"/>
    <n v="7"/>
    <x v="1"/>
    <x v="1"/>
    <x v="0"/>
    <x v="0"/>
    <x v="0"/>
    <x v="2"/>
    <x v="3"/>
    <x v="3"/>
    <s v="High"/>
    <x v="1"/>
    <x v="1"/>
    <x v="2"/>
    <x v="3"/>
  </r>
  <r>
    <n v="38"/>
    <x v="1"/>
    <s v="Travel_Rarely"/>
    <n v="1380"/>
    <x v="1"/>
    <n v="9"/>
    <n v="2"/>
    <s v="Life Sciences"/>
    <n v="245"/>
    <n v="3"/>
    <x v="0"/>
    <n v="75"/>
    <n v="3"/>
    <n v="1"/>
    <x v="2"/>
    <n v="4"/>
    <x v="0"/>
    <n v="2288"/>
    <n v="1"/>
    <x v="1"/>
    <n v="12"/>
    <n v="3"/>
    <n v="3"/>
    <n v="0"/>
    <n v="2"/>
    <n v="3"/>
    <n v="3"/>
    <n v="2"/>
    <n v="2"/>
    <n v="2"/>
    <n v="1"/>
    <x v="1"/>
    <x v="1"/>
    <x v="0"/>
    <x v="1"/>
    <x v="0"/>
    <x v="1"/>
    <x v="0"/>
    <x v="3"/>
    <s v="No Options"/>
    <x v="1"/>
    <x v="0"/>
    <x v="1"/>
    <x v="1"/>
  </r>
  <r>
    <n v="31"/>
    <x v="1"/>
    <s v="Travel_Rarely"/>
    <n v="140"/>
    <x v="1"/>
    <n v="12"/>
    <n v="1"/>
    <s v="Medical"/>
    <n v="246"/>
    <n v="3"/>
    <x v="0"/>
    <n v="95"/>
    <n v="3"/>
    <n v="1"/>
    <x v="1"/>
    <n v="4"/>
    <x v="1"/>
    <n v="3929"/>
    <n v="8"/>
    <x v="0"/>
    <n v="23"/>
    <n v="4"/>
    <n v="3"/>
    <n v="1"/>
    <n v="7"/>
    <n v="0"/>
    <n v="3"/>
    <n v="4"/>
    <n v="2"/>
    <n v="0"/>
    <n v="2"/>
    <x v="1"/>
    <x v="0"/>
    <x v="1"/>
    <x v="1"/>
    <x v="0"/>
    <x v="1"/>
    <x v="0"/>
    <x v="3"/>
    <s v="Low"/>
    <x v="1"/>
    <x v="2"/>
    <x v="0"/>
    <x v="2"/>
  </r>
  <r>
    <n v="34"/>
    <x v="1"/>
    <s v="Travel_Rarely"/>
    <n v="629"/>
    <x v="1"/>
    <n v="27"/>
    <n v="2"/>
    <s v="Medical"/>
    <n v="247"/>
    <n v="4"/>
    <x v="0"/>
    <n v="95"/>
    <n v="3"/>
    <n v="1"/>
    <x v="1"/>
    <n v="2"/>
    <x v="0"/>
    <n v="2311"/>
    <n v="2"/>
    <x v="1"/>
    <n v="15"/>
    <n v="3"/>
    <n v="4"/>
    <n v="0"/>
    <n v="9"/>
    <n v="3"/>
    <n v="3"/>
    <n v="3"/>
    <n v="2"/>
    <n v="1"/>
    <n v="2"/>
    <x v="1"/>
    <x v="1"/>
    <x v="0"/>
    <x v="2"/>
    <x v="0"/>
    <x v="1"/>
    <x v="1"/>
    <x v="1"/>
    <s v="No Options"/>
    <x v="1"/>
    <x v="2"/>
    <x v="1"/>
    <x v="2"/>
  </r>
  <r>
    <n v="41"/>
    <x v="0"/>
    <s v="Travel_Rarely"/>
    <n v="1356"/>
    <x v="0"/>
    <n v="20"/>
    <n v="2"/>
    <s v="Marketing"/>
    <n v="248"/>
    <n v="2"/>
    <x v="0"/>
    <n v="70"/>
    <n v="3"/>
    <n v="1"/>
    <x v="6"/>
    <n v="2"/>
    <x v="0"/>
    <n v="3140"/>
    <n v="1"/>
    <x v="0"/>
    <n v="22"/>
    <n v="4"/>
    <n v="4"/>
    <n v="0"/>
    <n v="4"/>
    <n v="5"/>
    <n v="2"/>
    <n v="4"/>
    <n v="3"/>
    <n v="0"/>
    <n v="2"/>
    <x v="0"/>
    <x v="0"/>
    <x v="0"/>
    <x v="0"/>
    <x v="0"/>
    <x v="1"/>
    <x v="1"/>
    <x v="1"/>
    <s v="No Options"/>
    <x v="2"/>
    <x v="0"/>
    <x v="0"/>
    <x v="2"/>
  </r>
  <r>
    <n v="50"/>
    <x v="1"/>
    <s v="Travel_Rarely"/>
    <n v="328"/>
    <x v="1"/>
    <n v="1"/>
    <n v="3"/>
    <s v="Medical"/>
    <n v="249"/>
    <n v="3"/>
    <x v="1"/>
    <n v="86"/>
    <n v="2"/>
    <n v="1"/>
    <x v="2"/>
    <n v="3"/>
    <x v="1"/>
    <n v="3690"/>
    <n v="2"/>
    <x v="1"/>
    <n v="15"/>
    <n v="3"/>
    <n v="4"/>
    <n v="1"/>
    <n v="5"/>
    <n v="2"/>
    <n v="2"/>
    <n v="3"/>
    <n v="2"/>
    <n v="0"/>
    <n v="2"/>
    <x v="1"/>
    <x v="1"/>
    <x v="3"/>
    <x v="1"/>
    <x v="1"/>
    <x v="1"/>
    <x v="2"/>
    <x v="1"/>
    <s v="Low"/>
    <x v="2"/>
    <x v="1"/>
    <x v="0"/>
    <x v="2"/>
  </r>
  <r>
    <n v="53"/>
    <x v="1"/>
    <s v="Travel_Rarely"/>
    <n v="1084"/>
    <x v="1"/>
    <n v="13"/>
    <n v="2"/>
    <s v="Medical"/>
    <n v="250"/>
    <n v="4"/>
    <x v="0"/>
    <n v="57"/>
    <n v="4"/>
    <n v="2"/>
    <x v="3"/>
    <n v="1"/>
    <x v="2"/>
    <n v="4450"/>
    <n v="1"/>
    <x v="1"/>
    <n v="11"/>
    <n v="3"/>
    <n v="3"/>
    <n v="2"/>
    <n v="5"/>
    <n v="3"/>
    <n v="3"/>
    <n v="4"/>
    <n v="2"/>
    <n v="1"/>
    <n v="3"/>
    <x v="1"/>
    <x v="1"/>
    <x v="0"/>
    <x v="2"/>
    <x v="2"/>
    <x v="0"/>
    <x v="3"/>
    <x v="3"/>
    <s v="Medium"/>
    <x v="1"/>
    <x v="1"/>
    <x v="0"/>
    <x v="2"/>
  </r>
  <r>
    <n v="33"/>
    <x v="1"/>
    <s v="Travel_Rarely"/>
    <n v="931"/>
    <x v="1"/>
    <n v="14"/>
    <n v="3"/>
    <s v="Medical"/>
    <n v="252"/>
    <n v="4"/>
    <x v="0"/>
    <n v="72"/>
    <n v="3"/>
    <n v="1"/>
    <x v="1"/>
    <n v="2"/>
    <x v="1"/>
    <n v="2756"/>
    <n v="1"/>
    <x v="1"/>
    <n v="13"/>
    <n v="3"/>
    <n v="4"/>
    <n v="1"/>
    <n v="8"/>
    <n v="5"/>
    <n v="3"/>
    <n v="8"/>
    <n v="7"/>
    <n v="1"/>
    <n v="6"/>
    <x v="1"/>
    <x v="1"/>
    <x v="3"/>
    <x v="2"/>
    <x v="0"/>
    <x v="1"/>
    <x v="1"/>
    <x v="1"/>
    <s v="Low"/>
    <x v="1"/>
    <x v="2"/>
    <x v="1"/>
    <x v="0"/>
  </r>
  <r>
    <n v="40"/>
    <x v="1"/>
    <s v="Travel_Rarely"/>
    <n v="989"/>
    <x v="1"/>
    <n v="4"/>
    <n v="1"/>
    <s v="Medical"/>
    <n v="253"/>
    <n v="4"/>
    <x v="0"/>
    <n v="46"/>
    <n v="3"/>
    <n v="5"/>
    <x v="5"/>
    <n v="3"/>
    <x v="1"/>
    <n v="19033"/>
    <n v="1"/>
    <x v="1"/>
    <n v="14"/>
    <n v="3"/>
    <n v="2"/>
    <n v="1"/>
    <n v="21"/>
    <n v="2"/>
    <n v="3"/>
    <n v="20"/>
    <n v="8"/>
    <n v="9"/>
    <n v="9"/>
    <x v="1"/>
    <x v="1"/>
    <x v="1"/>
    <x v="2"/>
    <x v="0"/>
    <x v="4"/>
    <x v="2"/>
    <x v="2"/>
    <s v="Low"/>
    <x v="1"/>
    <x v="0"/>
    <x v="3"/>
    <x v="4"/>
  </r>
  <r>
    <n v="55"/>
    <x v="1"/>
    <s v="Travel_Rarely"/>
    <n v="692"/>
    <x v="1"/>
    <n v="14"/>
    <n v="4"/>
    <s v="Medical"/>
    <n v="254"/>
    <n v="3"/>
    <x v="1"/>
    <n v="61"/>
    <n v="4"/>
    <n v="5"/>
    <x v="7"/>
    <n v="2"/>
    <x v="0"/>
    <n v="18722"/>
    <n v="8"/>
    <x v="1"/>
    <n v="11"/>
    <n v="3"/>
    <n v="4"/>
    <n v="0"/>
    <n v="36"/>
    <n v="3"/>
    <n v="3"/>
    <n v="24"/>
    <n v="15"/>
    <n v="2"/>
    <n v="15"/>
    <x v="1"/>
    <x v="1"/>
    <x v="2"/>
    <x v="1"/>
    <x v="2"/>
    <x v="4"/>
    <x v="1"/>
    <x v="1"/>
    <s v="No Options"/>
    <x v="1"/>
    <x v="3"/>
    <x v="3"/>
    <x v="3"/>
  </r>
  <r>
    <n v="34"/>
    <x v="1"/>
    <s v="Travel_Frequently"/>
    <n v="1069"/>
    <x v="1"/>
    <n v="2"/>
    <n v="1"/>
    <s v="Life Sciences"/>
    <n v="256"/>
    <n v="4"/>
    <x v="1"/>
    <n v="45"/>
    <n v="2"/>
    <n v="2"/>
    <x v="3"/>
    <n v="3"/>
    <x v="1"/>
    <n v="9547"/>
    <n v="1"/>
    <x v="1"/>
    <n v="17"/>
    <n v="3"/>
    <n v="3"/>
    <n v="0"/>
    <n v="10"/>
    <n v="2"/>
    <n v="2"/>
    <n v="10"/>
    <n v="9"/>
    <n v="1"/>
    <n v="9"/>
    <x v="1"/>
    <x v="1"/>
    <x v="1"/>
    <x v="2"/>
    <x v="1"/>
    <x v="0"/>
    <x v="2"/>
    <x v="3"/>
    <s v="No Options"/>
    <x v="2"/>
    <x v="2"/>
    <x v="2"/>
    <x v="0"/>
  </r>
  <r>
    <n v="51"/>
    <x v="1"/>
    <s v="Travel_Rarely"/>
    <n v="313"/>
    <x v="1"/>
    <n v="3"/>
    <n v="3"/>
    <s v="Medical"/>
    <n v="258"/>
    <n v="4"/>
    <x v="0"/>
    <n v="98"/>
    <n v="3"/>
    <n v="4"/>
    <x v="4"/>
    <n v="2"/>
    <x v="0"/>
    <n v="13734"/>
    <n v="3"/>
    <x v="1"/>
    <n v="18"/>
    <n v="3"/>
    <n v="3"/>
    <n v="0"/>
    <n v="21"/>
    <n v="6"/>
    <n v="3"/>
    <n v="7"/>
    <n v="7"/>
    <n v="1"/>
    <n v="0"/>
    <x v="1"/>
    <x v="1"/>
    <x v="3"/>
    <x v="2"/>
    <x v="0"/>
    <x v="3"/>
    <x v="1"/>
    <x v="3"/>
    <s v="No Options"/>
    <x v="1"/>
    <x v="1"/>
    <x v="3"/>
    <x v="0"/>
  </r>
  <r>
    <n v="52"/>
    <x v="1"/>
    <s v="Travel_Rarely"/>
    <n v="699"/>
    <x v="1"/>
    <n v="1"/>
    <n v="4"/>
    <s v="Life Sciences"/>
    <n v="259"/>
    <n v="3"/>
    <x v="1"/>
    <n v="65"/>
    <n v="2"/>
    <n v="5"/>
    <x v="5"/>
    <n v="3"/>
    <x v="1"/>
    <n v="19999"/>
    <n v="0"/>
    <x v="1"/>
    <n v="14"/>
    <n v="3"/>
    <n v="1"/>
    <n v="1"/>
    <n v="34"/>
    <n v="5"/>
    <n v="3"/>
    <n v="33"/>
    <n v="18"/>
    <n v="11"/>
    <n v="9"/>
    <x v="1"/>
    <x v="1"/>
    <x v="2"/>
    <x v="1"/>
    <x v="1"/>
    <x v="4"/>
    <x v="2"/>
    <x v="0"/>
    <s v="Low"/>
    <x v="1"/>
    <x v="1"/>
    <x v="3"/>
    <x v="3"/>
  </r>
  <r>
    <n v="27"/>
    <x v="1"/>
    <s v="Travel_Rarely"/>
    <n v="894"/>
    <x v="1"/>
    <n v="9"/>
    <n v="3"/>
    <s v="Medical"/>
    <n v="260"/>
    <n v="4"/>
    <x v="0"/>
    <n v="99"/>
    <n v="3"/>
    <n v="1"/>
    <x v="1"/>
    <n v="2"/>
    <x v="0"/>
    <n v="2279"/>
    <n v="1"/>
    <x v="1"/>
    <n v="16"/>
    <n v="3"/>
    <n v="4"/>
    <n v="0"/>
    <n v="7"/>
    <n v="2"/>
    <n v="2"/>
    <n v="7"/>
    <n v="7"/>
    <n v="0"/>
    <n v="3"/>
    <x v="1"/>
    <x v="1"/>
    <x v="3"/>
    <x v="2"/>
    <x v="0"/>
    <x v="1"/>
    <x v="1"/>
    <x v="1"/>
    <s v="No Options"/>
    <x v="2"/>
    <x v="2"/>
    <x v="1"/>
    <x v="0"/>
  </r>
  <r>
    <n v="35"/>
    <x v="0"/>
    <s v="Travel_Rarely"/>
    <n v="556"/>
    <x v="1"/>
    <n v="23"/>
    <n v="2"/>
    <s v="Life Sciences"/>
    <n v="261"/>
    <n v="2"/>
    <x v="1"/>
    <n v="50"/>
    <n v="2"/>
    <n v="2"/>
    <x v="3"/>
    <n v="3"/>
    <x v="1"/>
    <n v="5916"/>
    <n v="3"/>
    <x v="0"/>
    <n v="13"/>
    <n v="3"/>
    <n v="1"/>
    <n v="0"/>
    <n v="8"/>
    <n v="1"/>
    <n v="3"/>
    <n v="1"/>
    <n v="0"/>
    <n v="0"/>
    <n v="1"/>
    <x v="0"/>
    <x v="0"/>
    <x v="0"/>
    <x v="0"/>
    <x v="1"/>
    <x v="0"/>
    <x v="2"/>
    <x v="0"/>
    <s v="No Options"/>
    <x v="1"/>
    <x v="0"/>
    <x v="0"/>
    <x v="1"/>
  </r>
  <r>
    <n v="43"/>
    <x v="1"/>
    <s v="Non-Travel"/>
    <n v="1344"/>
    <x v="1"/>
    <n v="7"/>
    <n v="3"/>
    <s v="Medical"/>
    <n v="262"/>
    <n v="4"/>
    <x v="1"/>
    <n v="37"/>
    <n v="4"/>
    <n v="1"/>
    <x v="1"/>
    <n v="4"/>
    <x v="2"/>
    <n v="2089"/>
    <n v="4"/>
    <x v="1"/>
    <n v="14"/>
    <n v="3"/>
    <n v="4"/>
    <n v="3"/>
    <n v="7"/>
    <n v="3"/>
    <n v="4"/>
    <n v="5"/>
    <n v="4"/>
    <n v="2"/>
    <n v="2"/>
    <x v="1"/>
    <x v="1"/>
    <x v="3"/>
    <x v="2"/>
    <x v="2"/>
    <x v="1"/>
    <x v="0"/>
    <x v="1"/>
    <s v="High"/>
    <x v="3"/>
    <x v="0"/>
    <x v="1"/>
    <x v="2"/>
  </r>
  <r>
    <n v="45"/>
    <x v="1"/>
    <s v="Non-Travel"/>
    <n v="1195"/>
    <x v="1"/>
    <n v="2"/>
    <n v="2"/>
    <s v="Medical"/>
    <n v="264"/>
    <n v="1"/>
    <x v="1"/>
    <n v="65"/>
    <n v="2"/>
    <n v="4"/>
    <x v="5"/>
    <n v="4"/>
    <x v="1"/>
    <n v="16792"/>
    <n v="9"/>
    <x v="1"/>
    <n v="23"/>
    <n v="4"/>
    <n v="4"/>
    <n v="1"/>
    <n v="22"/>
    <n v="1"/>
    <n v="3"/>
    <n v="20"/>
    <n v="8"/>
    <n v="11"/>
    <n v="8"/>
    <x v="1"/>
    <x v="1"/>
    <x v="0"/>
    <x v="3"/>
    <x v="1"/>
    <x v="3"/>
    <x v="0"/>
    <x v="1"/>
    <s v="Low"/>
    <x v="1"/>
    <x v="1"/>
    <x v="3"/>
    <x v="4"/>
  </r>
  <r>
    <n v="37"/>
    <x v="1"/>
    <s v="Travel_Rarely"/>
    <n v="290"/>
    <x v="1"/>
    <n v="21"/>
    <n v="3"/>
    <s v="Life Sciences"/>
    <n v="267"/>
    <n v="2"/>
    <x v="1"/>
    <n v="65"/>
    <n v="4"/>
    <n v="1"/>
    <x v="1"/>
    <n v="1"/>
    <x v="1"/>
    <n v="3564"/>
    <n v="1"/>
    <x v="0"/>
    <n v="12"/>
    <n v="3"/>
    <n v="1"/>
    <n v="1"/>
    <n v="8"/>
    <n v="3"/>
    <n v="2"/>
    <n v="8"/>
    <n v="7"/>
    <n v="1"/>
    <n v="7"/>
    <x v="1"/>
    <x v="0"/>
    <x v="3"/>
    <x v="0"/>
    <x v="2"/>
    <x v="1"/>
    <x v="3"/>
    <x v="0"/>
    <s v="Low"/>
    <x v="2"/>
    <x v="0"/>
    <x v="0"/>
    <x v="0"/>
  </r>
  <r>
    <n v="35"/>
    <x v="1"/>
    <s v="Travel_Frequently"/>
    <n v="138"/>
    <x v="1"/>
    <n v="2"/>
    <n v="3"/>
    <s v="Medical"/>
    <n v="269"/>
    <n v="2"/>
    <x v="0"/>
    <n v="37"/>
    <n v="3"/>
    <n v="2"/>
    <x v="2"/>
    <n v="2"/>
    <x v="0"/>
    <n v="4425"/>
    <n v="5"/>
    <x v="1"/>
    <n v="11"/>
    <n v="3"/>
    <n v="4"/>
    <n v="0"/>
    <n v="10"/>
    <n v="5"/>
    <n v="3"/>
    <n v="6"/>
    <n v="2"/>
    <n v="1"/>
    <n v="2"/>
    <x v="1"/>
    <x v="1"/>
    <x v="3"/>
    <x v="0"/>
    <x v="0"/>
    <x v="0"/>
    <x v="1"/>
    <x v="1"/>
    <s v="No Options"/>
    <x v="1"/>
    <x v="0"/>
    <x v="0"/>
    <x v="0"/>
  </r>
  <r>
    <n v="42"/>
    <x v="1"/>
    <s v="Non-Travel"/>
    <n v="926"/>
    <x v="1"/>
    <n v="21"/>
    <n v="2"/>
    <s v="Medical"/>
    <n v="270"/>
    <n v="3"/>
    <x v="0"/>
    <n v="36"/>
    <n v="3"/>
    <n v="2"/>
    <x v="3"/>
    <n v="3"/>
    <x v="2"/>
    <n v="5265"/>
    <n v="2"/>
    <x v="1"/>
    <n v="16"/>
    <n v="3"/>
    <n v="2"/>
    <n v="1"/>
    <n v="11"/>
    <n v="5"/>
    <n v="3"/>
    <n v="5"/>
    <n v="3"/>
    <n v="0"/>
    <n v="2"/>
    <x v="1"/>
    <x v="1"/>
    <x v="0"/>
    <x v="1"/>
    <x v="0"/>
    <x v="0"/>
    <x v="2"/>
    <x v="2"/>
    <s v="Low"/>
    <x v="1"/>
    <x v="0"/>
    <x v="0"/>
    <x v="2"/>
  </r>
  <r>
    <n v="38"/>
    <x v="1"/>
    <s v="Travel_Rarely"/>
    <n v="1261"/>
    <x v="1"/>
    <n v="2"/>
    <n v="4"/>
    <s v="Life Sciences"/>
    <n v="271"/>
    <n v="4"/>
    <x v="1"/>
    <n v="88"/>
    <n v="3"/>
    <n v="2"/>
    <x v="3"/>
    <n v="3"/>
    <x v="1"/>
    <n v="6553"/>
    <n v="9"/>
    <x v="1"/>
    <n v="14"/>
    <n v="3"/>
    <n v="2"/>
    <n v="0"/>
    <n v="14"/>
    <n v="3"/>
    <n v="3"/>
    <n v="1"/>
    <n v="0"/>
    <n v="0"/>
    <n v="0"/>
    <x v="1"/>
    <x v="1"/>
    <x v="2"/>
    <x v="2"/>
    <x v="0"/>
    <x v="0"/>
    <x v="2"/>
    <x v="2"/>
    <s v="No Options"/>
    <x v="1"/>
    <x v="0"/>
    <x v="0"/>
    <x v="1"/>
  </r>
  <r>
    <n v="38"/>
    <x v="1"/>
    <s v="Travel_Rarely"/>
    <n v="1084"/>
    <x v="1"/>
    <n v="29"/>
    <n v="3"/>
    <s v="Technical Degree"/>
    <n v="273"/>
    <n v="4"/>
    <x v="1"/>
    <n v="54"/>
    <n v="3"/>
    <n v="2"/>
    <x v="3"/>
    <n v="4"/>
    <x v="1"/>
    <n v="6261"/>
    <n v="3"/>
    <x v="1"/>
    <n v="18"/>
    <n v="3"/>
    <n v="1"/>
    <n v="1"/>
    <n v="9"/>
    <n v="3"/>
    <n v="1"/>
    <n v="7"/>
    <n v="7"/>
    <n v="1"/>
    <n v="7"/>
    <x v="1"/>
    <x v="1"/>
    <x v="3"/>
    <x v="2"/>
    <x v="0"/>
    <x v="0"/>
    <x v="0"/>
    <x v="0"/>
    <s v="Low"/>
    <x v="0"/>
    <x v="0"/>
    <x v="0"/>
    <x v="0"/>
  </r>
  <r>
    <n v="27"/>
    <x v="1"/>
    <s v="Travel_Frequently"/>
    <n v="472"/>
    <x v="1"/>
    <n v="1"/>
    <n v="1"/>
    <s v="Technical Degree"/>
    <n v="274"/>
    <n v="3"/>
    <x v="1"/>
    <n v="60"/>
    <n v="2"/>
    <n v="2"/>
    <x v="3"/>
    <n v="1"/>
    <x v="1"/>
    <n v="4298"/>
    <n v="5"/>
    <x v="1"/>
    <n v="19"/>
    <n v="3"/>
    <n v="3"/>
    <n v="1"/>
    <n v="6"/>
    <n v="1"/>
    <n v="3"/>
    <n v="2"/>
    <n v="2"/>
    <n v="2"/>
    <n v="0"/>
    <x v="1"/>
    <x v="1"/>
    <x v="1"/>
    <x v="1"/>
    <x v="1"/>
    <x v="0"/>
    <x v="3"/>
    <x v="3"/>
    <s v="Low"/>
    <x v="1"/>
    <x v="2"/>
    <x v="0"/>
    <x v="1"/>
  </r>
  <r>
    <n v="49"/>
    <x v="1"/>
    <s v="Non-Travel"/>
    <n v="1002"/>
    <x v="1"/>
    <n v="18"/>
    <n v="4"/>
    <s v="Life Sciences"/>
    <n v="275"/>
    <n v="4"/>
    <x v="1"/>
    <n v="92"/>
    <n v="3"/>
    <n v="2"/>
    <x v="3"/>
    <n v="4"/>
    <x v="2"/>
    <n v="6804"/>
    <n v="1"/>
    <x v="0"/>
    <n v="15"/>
    <n v="3"/>
    <n v="1"/>
    <n v="2"/>
    <n v="7"/>
    <n v="0"/>
    <n v="3"/>
    <n v="7"/>
    <n v="7"/>
    <n v="1"/>
    <n v="7"/>
    <x v="1"/>
    <x v="0"/>
    <x v="2"/>
    <x v="2"/>
    <x v="0"/>
    <x v="0"/>
    <x v="0"/>
    <x v="0"/>
    <s v="Medium"/>
    <x v="1"/>
    <x v="1"/>
    <x v="0"/>
    <x v="0"/>
  </r>
  <r>
    <n v="34"/>
    <x v="1"/>
    <s v="Travel_Frequently"/>
    <n v="878"/>
    <x v="1"/>
    <n v="10"/>
    <n v="4"/>
    <s v="Medical"/>
    <n v="277"/>
    <n v="4"/>
    <x v="1"/>
    <n v="43"/>
    <n v="3"/>
    <n v="1"/>
    <x v="1"/>
    <n v="3"/>
    <x v="2"/>
    <n v="3815"/>
    <n v="1"/>
    <x v="0"/>
    <n v="17"/>
    <n v="3"/>
    <n v="4"/>
    <n v="1"/>
    <n v="5"/>
    <n v="4"/>
    <n v="4"/>
    <n v="5"/>
    <n v="3"/>
    <n v="2"/>
    <n v="0"/>
    <x v="1"/>
    <x v="0"/>
    <x v="2"/>
    <x v="2"/>
    <x v="0"/>
    <x v="1"/>
    <x v="2"/>
    <x v="1"/>
    <s v="Low"/>
    <x v="3"/>
    <x v="2"/>
    <x v="0"/>
    <x v="2"/>
  </r>
  <r>
    <n v="40"/>
    <x v="1"/>
    <s v="Travel_Rarely"/>
    <n v="905"/>
    <x v="1"/>
    <n v="19"/>
    <n v="2"/>
    <s v="Medical"/>
    <n v="281"/>
    <n v="3"/>
    <x v="1"/>
    <n v="99"/>
    <n v="3"/>
    <n v="2"/>
    <x v="2"/>
    <n v="4"/>
    <x v="1"/>
    <n v="2741"/>
    <n v="8"/>
    <x v="0"/>
    <n v="15"/>
    <n v="3"/>
    <n v="3"/>
    <n v="1"/>
    <n v="15"/>
    <n v="2"/>
    <n v="4"/>
    <n v="7"/>
    <n v="2"/>
    <n v="3"/>
    <n v="7"/>
    <x v="1"/>
    <x v="0"/>
    <x v="0"/>
    <x v="1"/>
    <x v="0"/>
    <x v="0"/>
    <x v="0"/>
    <x v="3"/>
    <s v="Low"/>
    <x v="3"/>
    <x v="0"/>
    <x v="1"/>
    <x v="0"/>
  </r>
  <r>
    <n v="38"/>
    <x v="0"/>
    <s v="Travel_Rarely"/>
    <n v="1180"/>
    <x v="1"/>
    <n v="29"/>
    <n v="1"/>
    <s v="Medical"/>
    <n v="282"/>
    <n v="2"/>
    <x v="1"/>
    <n v="70"/>
    <n v="3"/>
    <n v="2"/>
    <x v="4"/>
    <n v="1"/>
    <x v="1"/>
    <n v="6673"/>
    <n v="7"/>
    <x v="0"/>
    <n v="19"/>
    <n v="3"/>
    <n v="2"/>
    <n v="0"/>
    <n v="17"/>
    <n v="2"/>
    <n v="3"/>
    <n v="1"/>
    <n v="0"/>
    <n v="0"/>
    <n v="0"/>
    <x v="0"/>
    <x v="0"/>
    <x v="1"/>
    <x v="0"/>
    <x v="0"/>
    <x v="0"/>
    <x v="3"/>
    <x v="2"/>
    <s v="No Options"/>
    <x v="1"/>
    <x v="0"/>
    <x v="0"/>
    <x v="1"/>
  </r>
  <r>
    <n v="29"/>
    <x v="0"/>
    <s v="Travel_Rarely"/>
    <n v="121"/>
    <x v="0"/>
    <n v="27"/>
    <n v="3"/>
    <s v="Marketing"/>
    <n v="283"/>
    <n v="2"/>
    <x v="0"/>
    <n v="35"/>
    <n v="3"/>
    <n v="3"/>
    <x v="0"/>
    <n v="4"/>
    <x v="1"/>
    <n v="7639"/>
    <n v="1"/>
    <x v="1"/>
    <n v="22"/>
    <n v="4"/>
    <n v="4"/>
    <n v="3"/>
    <n v="10"/>
    <n v="3"/>
    <n v="2"/>
    <n v="10"/>
    <n v="4"/>
    <n v="1"/>
    <n v="9"/>
    <x v="0"/>
    <x v="1"/>
    <x v="3"/>
    <x v="0"/>
    <x v="0"/>
    <x v="2"/>
    <x v="0"/>
    <x v="1"/>
    <s v="High"/>
    <x v="2"/>
    <x v="2"/>
    <x v="2"/>
    <x v="0"/>
  </r>
  <r>
    <n v="22"/>
    <x v="1"/>
    <s v="Travel_Rarely"/>
    <n v="1136"/>
    <x v="1"/>
    <n v="5"/>
    <n v="3"/>
    <s v="Life Sciences"/>
    <n v="284"/>
    <n v="4"/>
    <x v="1"/>
    <n v="60"/>
    <n v="4"/>
    <n v="1"/>
    <x v="1"/>
    <n v="2"/>
    <x v="2"/>
    <n v="2328"/>
    <n v="1"/>
    <x v="0"/>
    <n v="16"/>
    <n v="3"/>
    <n v="1"/>
    <n v="1"/>
    <n v="4"/>
    <n v="2"/>
    <n v="2"/>
    <n v="4"/>
    <n v="2"/>
    <n v="2"/>
    <n v="2"/>
    <x v="1"/>
    <x v="0"/>
    <x v="3"/>
    <x v="2"/>
    <x v="2"/>
    <x v="1"/>
    <x v="1"/>
    <x v="0"/>
    <s v="Low"/>
    <x v="2"/>
    <x v="4"/>
    <x v="1"/>
    <x v="2"/>
  </r>
  <r>
    <n v="36"/>
    <x v="1"/>
    <s v="Travel_Frequently"/>
    <n v="635"/>
    <x v="1"/>
    <n v="18"/>
    <n v="1"/>
    <s v="Medical"/>
    <n v="286"/>
    <n v="2"/>
    <x v="0"/>
    <n v="73"/>
    <n v="3"/>
    <n v="1"/>
    <x v="2"/>
    <n v="4"/>
    <x v="0"/>
    <n v="2153"/>
    <n v="1"/>
    <x v="1"/>
    <n v="13"/>
    <n v="3"/>
    <n v="1"/>
    <n v="0"/>
    <n v="8"/>
    <n v="2"/>
    <n v="3"/>
    <n v="8"/>
    <n v="1"/>
    <n v="1"/>
    <n v="7"/>
    <x v="1"/>
    <x v="1"/>
    <x v="1"/>
    <x v="0"/>
    <x v="0"/>
    <x v="1"/>
    <x v="0"/>
    <x v="0"/>
    <s v="No Options"/>
    <x v="1"/>
    <x v="0"/>
    <x v="1"/>
    <x v="0"/>
  </r>
  <r>
    <n v="40"/>
    <x v="1"/>
    <s v="Non-Travel"/>
    <n v="1151"/>
    <x v="1"/>
    <n v="9"/>
    <n v="5"/>
    <s v="Life Sciences"/>
    <n v="287"/>
    <n v="4"/>
    <x v="1"/>
    <n v="63"/>
    <n v="2"/>
    <n v="2"/>
    <x v="4"/>
    <n v="4"/>
    <x v="1"/>
    <n v="4876"/>
    <n v="9"/>
    <x v="1"/>
    <n v="14"/>
    <n v="3"/>
    <n v="4"/>
    <n v="1"/>
    <n v="5"/>
    <n v="5"/>
    <n v="1"/>
    <n v="3"/>
    <n v="2"/>
    <n v="0"/>
    <n v="2"/>
    <x v="1"/>
    <x v="1"/>
    <x v="4"/>
    <x v="2"/>
    <x v="1"/>
    <x v="0"/>
    <x v="0"/>
    <x v="1"/>
    <s v="Low"/>
    <x v="0"/>
    <x v="0"/>
    <x v="0"/>
    <x v="2"/>
  </r>
  <r>
    <n v="46"/>
    <x v="1"/>
    <s v="Travel_Rarely"/>
    <n v="644"/>
    <x v="1"/>
    <n v="1"/>
    <n v="4"/>
    <s v="Medical"/>
    <n v="288"/>
    <n v="4"/>
    <x v="1"/>
    <n v="97"/>
    <n v="3"/>
    <n v="3"/>
    <x v="4"/>
    <n v="1"/>
    <x v="2"/>
    <n v="9396"/>
    <n v="7"/>
    <x v="1"/>
    <n v="16"/>
    <n v="3"/>
    <n v="3"/>
    <n v="1"/>
    <n v="17"/>
    <n v="3"/>
    <n v="3"/>
    <n v="4"/>
    <n v="2"/>
    <n v="0"/>
    <n v="3"/>
    <x v="1"/>
    <x v="1"/>
    <x v="2"/>
    <x v="2"/>
    <x v="0"/>
    <x v="2"/>
    <x v="3"/>
    <x v="3"/>
    <s v="Low"/>
    <x v="1"/>
    <x v="1"/>
    <x v="2"/>
    <x v="2"/>
  </r>
  <r>
    <n v="32"/>
    <x v="0"/>
    <s v="Travel_Rarely"/>
    <n v="1045"/>
    <x v="0"/>
    <n v="4"/>
    <n v="4"/>
    <s v="Medical"/>
    <n v="291"/>
    <n v="4"/>
    <x v="1"/>
    <n v="32"/>
    <n v="1"/>
    <n v="3"/>
    <x v="0"/>
    <n v="4"/>
    <x v="1"/>
    <n v="10400"/>
    <n v="1"/>
    <x v="1"/>
    <n v="11"/>
    <n v="3"/>
    <n v="3"/>
    <n v="0"/>
    <n v="14"/>
    <n v="2"/>
    <n v="2"/>
    <n v="14"/>
    <n v="8"/>
    <n v="9"/>
    <n v="8"/>
    <x v="0"/>
    <x v="1"/>
    <x v="2"/>
    <x v="2"/>
    <x v="3"/>
    <x v="2"/>
    <x v="0"/>
    <x v="3"/>
    <s v="No Options"/>
    <x v="2"/>
    <x v="2"/>
    <x v="2"/>
    <x v="4"/>
  </r>
  <r>
    <n v="30"/>
    <x v="1"/>
    <s v="Non-Travel"/>
    <n v="829"/>
    <x v="1"/>
    <n v="1"/>
    <n v="1"/>
    <s v="Life Sciences"/>
    <n v="292"/>
    <n v="3"/>
    <x v="1"/>
    <n v="88"/>
    <n v="2"/>
    <n v="3"/>
    <x v="3"/>
    <n v="3"/>
    <x v="0"/>
    <n v="8474"/>
    <n v="1"/>
    <x v="1"/>
    <n v="22"/>
    <n v="4"/>
    <n v="3"/>
    <n v="0"/>
    <n v="12"/>
    <n v="2"/>
    <n v="3"/>
    <n v="11"/>
    <n v="8"/>
    <n v="5"/>
    <n v="8"/>
    <x v="1"/>
    <x v="1"/>
    <x v="1"/>
    <x v="1"/>
    <x v="1"/>
    <x v="2"/>
    <x v="2"/>
    <x v="3"/>
    <s v="No Options"/>
    <x v="1"/>
    <x v="2"/>
    <x v="2"/>
    <x v="4"/>
  </r>
  <r>
    <n v="27"/>
    <x v="1"/>
    <s v="Travel_Frequently"/>
    <n v="1242"/>
    <x v="0"/>
    <n v="20"/>
    <n v="3"/>
    <s v="Life Sciences"/>
    <n v="293"/>
    <n v="4"/>
    <x v="0"/>
    <n v="90"/>
    <n v="3"/>
    <n v="2"/>
    <x v="0"/>
    <n v="3"/>
    <x v="0"/>
    <n v="9981"/>
    <n v="1"/>
    <x v="1"/>
    <n v="14"/>
    <n v="3"/>
    <n v="4"/>
    <n v="0"/>
    <n v="7"/>
    <n v="2"/>
    <n v="3"/>
    <n v="7"/>
    <n v="7"/>
    <n v="0"/>
    <n v="7"/>
    <x v="1"/>
    <x v="1"/>
    <x v="3"/>
    <x v="2"/>
    <x v="0"/>
    <x v="0"/>
    <x v="2"/>
    <x v="1"/>
    <s v="No Options"/>
    <x v="1"/>
    <x v="2"/>
    <x v="2"/>
    <x v="0"/>
  </r>
  <r>
    <n v="51"/>
    <x v="1"/>
    <s v="Travel_Rarely"/>
    <n v="1469"/>
    <x v="1"/>
    <n v="8"/>
    <n v="4"/>
    <s v="Life Sciences"/>
    <n v="296"/>
    <n v="2"/>
    <x v="1"/>
    <n v="81"/>
    <n v="2"/>
    <n v="3"/>
    <x v="7"/>
    <n v="2"/>
    <x v="1"/>
    <n v="12490"/>
    <n v="5"/>
    <x v="1"/>
    <n v="16"/>
    <n v="3"/>
    <n v="4"/>
    <n v="2"/>
    <n v="16"/>
    <n v="5"/>
    <n v="1"/>
    <n v="10"/>
    <n v="9"/>
    <n v="4"/>
    <n v="7"/>
    <x v="1"/>
    <x v="1"/>
    <x v="2"/>
    <x v="0"/>
    <x v="1"/>
    <x v="2"/>
    <x v="1"/>
    <x v="1"/>
    <s v="Medium"/>
    <x v="0"/>
    <x v="1"/>
    <x v="2"/>
    <x v="0"/>
  </r>
  <r>
    <n v="30"/>
    <x v="0"/>
    <s v="Travel_Rarely"/>
    <n v="1005"/>
    <x v="1"/>
    <n v="3"/>
    <n v="3"/>
    <s v="Technical Degree"/>
    <n v="297"/>
    <n v="4"/>
    <x v="0"/>
    <n v="88"/>
    <n v="3"/>
    <n v="1"/>
    <x v="1"/>
    <n v="1"/>
    <x v="0"/>
    <n v="2657"/>
    <n v="5"/>
    <x v="0"/>
    <n v="11"/>
    <n v="3"/>
    <n v="3"/>
    <n v="0"/>
    <n v="8"/>
    <n v="5"/>
    <n v="3"/>
    <n v="5"/>
    <n v="2"/>
    <n v="0"/>
    <n v="4"/>
    <x v="0"/>
    <x v="0"/>
    <x v="3"/>
    <x v="2"/>
    <x v="0"/>
    <x v="1"/>
    <x v="3"/>
    <x v="3"/>
    <s v="No Options"/>
    <x v="1"/>
    <x v="2"/>
    <x v="1"/>
    <x v="2"/>
  </r>
  <r>
    <n v="41"/>
    <x v="1"/>
    <s v="Travel_Rarely"/>
    <n v="896"/>
    <x v="0"/>
    <n v="6"/>
    <n v="3"/>
    <s v="Life Sciences"/>
    <n v="298"/>
    <n v="4"/>
    <x v="0"/>
    <n v="75"/>
    <n v="3"/>
    <n v="3"/>
    <x v="5"/>
    <n v="4"/>
    <x v="0"/>
    <n v="13591"/>
    <n v="3"/>
    <x v="0"/>
    <n v="18"/>
    <n v="3"/>
    <n v="3"/>
    <n v="0"/>
    <n v="16"/>
    <n v="3"/>
    <n v="3"/>
    <n v="1"/>
    <n v="0"/>
    <n v="0"/>
    <n v="0"/>
    <x v="1"/>
    <x v="0"/>
    <x v="3"/>
    <x v="2"/>
    <x v="0"/>
    <x v="2"/>
    <x v="0"/>
    <x v="3"/>
    <s v="No Options"/>
    <x v="1"/>
    <x v="0"/>
    <x v="3"/>
    <x v="1"/>
  </r>
  <r>
    <n v="30"/>
    <x v="0"/>
    <s v="Travel_Frequently"/>
    <n v="334"/>
    <x v="0"/>
    <n v="26"/>
    <n v="4"/>
    <s v="Marketing"/>
    <n v="299"/>
    <n v="3"/>
    <x v="0"/>
    <n v="52"/>
    <n v="2"/>
    <n v="2"/>
    <x v="0"/>
    <n v="1"/>
    <x v="0"/>
    <n v="6696"/>
    <n v="5"/>
    <x v="1"/>
    <n v="15"/>
    <n v="3"/>
    <n v="3"/>
    <n v="0"/>
    <n v="9"/>
    <n v="5"/>
    <n v="2"/>
    <n v="6"/>
    <n v="3"/>
    <n v="0"/>
    <n v="1"/>
    <x v="0"/>
    <x v="1"/>
    <x v="2"/>
    <x v="1"/>
    <x v="1"/>
    <x v="0"/>
    <x v="3"/>
    <x v="3"/>
    <s v="No Options"/>
    <x v="2"/>
    <x v="2"/>
    <x v="0"/>
    <x v="0"/>
  </r>
  <r>
    <n v="29"/>
    <x v="0"/>
    <s v="Travel_Rarely"/>
    <n v="992"/>
    <x v="1"/>
    <n v="1"/>
    <n v="3"/>
    <s v="Technical Degree"/>
    <n v="300"/>
    <n v="3"/>
    <x v="1"/>
    <n v="85"/>
    <n v="3"/>
    <n v="1"/>
    <x v="1"/>
    <n v="3"/>
    <x v="0"/>
    <n v="2058"/>
    <n v="0"/>
    <x v="1"/>
    <n v="14"/>
    <n v="3"/>
    <n v="4"/>
    <n v="0"/>
    <n v="7"/>
    <n v="1"/>
    <n v="2"/>
    <n v="6"/>
    <n v="2"/>
    <n v="1"/>
    <n v="5"/>
    <x v="0"/>
    <x v="1"/>
    <x v="3"/>
    <x v="1"/>
    <x v="0"/>
    <x v="1"/>
    <x v="2"/>
    <x v="1"/>
    <s v="No Options"/>
    <x v="2"/>
    <x v="2"/>
    <x v="1"/>
    <x v="0"/>
  </r>
  <r>
    <n v="45"/>
    <x v="1"/>
    <s v="Non-Travel"/>
    <n v="1052"/>
    <x v="0"/>
    <n v="6"/>
    <n v="3"/>
    <s v="Medical"/>
    <n v="302"/>
    <n v="4"/>
    <x v="0"/>
    <n v="57"/>
    <n v="2"/>
    <n v="3"/>
    <x v="0"/>
    <n v="4"/>
    <x v="0"/>
    <n v="8865"/>
    <n v="6"/>
    <x v="1"/>
    <n v="12"/>
    <n v="3"/>
    <n v="4"/>
    <n v="0"/>
    <n v="23"/>
    <n v="2"/>
    <n v="3"/>
    <n v="19"/>
    <n v="7"/>
    <n v="12"/>
    <n v="8"/>
    <x v="1"/>
    <x v="1"/>
    <x v="3"/>
    <x v="2"/>
    <x v="1"/>
    <x v="2"/>
    <x v="0"/>
    <x v="1"/>
    <s v="No Options"/>
    <x v="1"/>
    <x v="1"/>
    <x v="2"/>
    <x v="4"/>
  </r>
  <r>
    <n v="54"/>
    <x v="1"/>
    <s v="Travel_Rarely"/>
    <n v="1147"/>
    <x v="0"/>
    <n v="3"/>
    <n v="3"/>
    <s v="Marketing"/>
    <n v="303"/>
    <n v="4"/>
    <x v="0"/>
    <n v="52"/>
    <n v="3"/>
    <n v="2"/>
    <x v="0"/>
    <n v="1"/>
    <x v="1"/>
    <n v="5940"/>
    <n v="2"/>
    <x v="1"/>
    <n v="14"/>
    <n v="3"/>
    <n v="4"/>
    <n v="1"/>
    <n v="16"/>
    <n v="4"/>
    <n v="3"/>
    <n v="6"/>
    <n v="2"/>
    <n v="0"/>
    <n v="5"/>
    <x v="1"/>
    <x v="1"/>
    <x v="3"/>
    <x v="2"/>
    <x v="0"/>
    <x v="0"/>
    <x v="3"/>
    <x v="1"/>
    <s v="Low"/>
    <x v="1"/>
    <x v="1"/>
    <x v="0"/>
    <x v="0"/>
  </r>
  <r>
    <n v="36"/>
    <x v="1"/>
    <s v="Travel_Rarely"/>
    <n v="1396"/>
    <x v="1"/>
    <n v="5"/>
    <n v="2"/>
    <s v="Life Sciences"/>
    <n v="304"/>
    <n v="4"/>
    <x v="1"/>
    <n v="62"/>
    <n v="3"/>
    <n v="2"/>
    <x v="2"/>
    <n v="2"/>
    <x v="0"/>
    <n v="5914"/>
    <n v="8"/>
    <x v="1"/>
    <n v="16"/>
    <n v="3"/>
    <n v="4"/>
    <n v="0"/>
    <n v="16"/>
    <n v="3"/>
    <n v="4"/>
    <n v="13"/>
    <n v="11"/>
    <n v="3"/>
    <n v="7"/>
    <x v="1"/>
    <x v="1"/>
    <x v="0"/>
    <x v="2"/>
    <x v="0"/>
    <x v="0"/>
    <x v="1"/>
    <x v="1"/>
    <s v="No Options"/>
    <x v="3"/>
    <x v="0"/>
    <x v="0"/>
    <x v="4"/>
  </r>
  <r>
    <n v="33"/>
    <x v="1"/>
    <s v="Travel_Rarely"/>
    <n v="147"/>
    <x v="1"/>
    <n v="4"/>
    <n v="4"/>
    <s v="Medical"/>
    <n v="305"/>
    <n v="3"/>
    <x v="0"/>
    <n v="47"/>
    <n v="2"/>
    <n v="1"/>
    <x v="1"/>
    <n v="2"/>
    <x v="1"/>
    <n v="2622"/>
    <n v="6"/>
    <x v="1"/>
    <n v="21"/>
    <n v="4"/>
    <n v="4"/>
    <n v="0"/>
    <n v="7"/>
    <n v="3"/>
    <n v="3"/>
    <n v="3"/>
    <n v="2"/>
    <n v="1"/>
    <n v="1"/>
    <x v="1"/>
    <x v="1"/>
    <x v="2"/>
    <x v="1"/>
    <x v="1"/>
    <x v="1"/>
    <x v="1"/>
    <x v="1"/>
    <s v="No Options"/>
    <x v="1"/>
    <x v="2"/>
    <x v="1"/>
    <x v="2"/>
  </r>
  <r>
    <n v="37"/>
    <x v="1"/>
    <s v="Travel_Frequently"/>
    <n v="663"/>
    <x v="1"/>
    <n v="11"/>
    <n v="3"/>
    <s v="Other"/>
    <n v="306"/>
    <n v="2"/>
    <x v="1"/>
    <n v="47"/>
    <n v="3"/>
    <n v="3"/>
    <x v="7"/>
    <n v="4"/>
    <x v="2"/>
    <n v="12185"/>
    <n v="1"/>
    <x v="0"/>
    <n v="14"/>
    <n v="3"/>
    <n v="3"/>
    <n v="3"/>
    <n v="10"/>
    <n v="1"/>
    <n v="3"/>
    <n v="10"/>
    <n v="8"/>
    <n v="0"/>
    <n v="7"/>
    <x v="1"/>
    <x v="0"/>
    <x v="3"/>
    <x v="0"/>
    <x v="0"/>
    <x v="2"/>
    <x v="0"/>
    <x v="3"/>
    <s v="High"/>
    <x v="1"/>
    <x v="0"/>
    <x v="2"/>
    <x v="0"/>
  </r>
  <r>
    <n v="38"/>
    <x v="1"/>
    <s v="Travel_Rarely"/>
    <n v="119"/>
    <x v="0"/>
    <n v="3"/>
    <n v="3"/>
    <s v="Life Sciences"/>
    <n v="307"/>
    <n v="1"/>
    <x v="1"/>
    <n v="76"/>
    <n v="3"/>
    <n v="3"/>
    <x v="0"/>
    <n v="3"/>
    <x v="2"/>
    <n v="10609"/>
    <n v="0"/>
    <x v="1"/>
    <n v="12"/>
    <n v="3"/>
    <n v="3"/>
    <n v="2"/>
    <n v="17"/>
    <n v="6"/>
    <n v="2"/>
    <n v="16"/>
    <n v="10"/>
    <n v="5"/>
    <n v="13"/>
    <x v="1"/>
    <x v="1"/>
    <x v="3"/>
    <x v="3"/>
    <x v="0"/>
    <x v="2"/>
    <x v="2"/>
    <x v="3"/>
    <s v="Medium"/>
    <x v="2"/>
    <x v="0"/>
    <x v="2"/>
    <x v="4"/>
  </r>
  <r>
    <n v="31"/>
    <x v="1"/>
    <s v="Non-Travel"/>
    <n v="979"/>
    <x v="1"/>
    <n v="1"/>
    <n v="4"/>
    <s v="Medical"/>
    <n v="308"/>
    <n v="3"/>
    <x v="1"/>
    <n v="90"/>
    <n v="1"/>
    <n v="2"/>
    <x v="3"/>
    <n v="3"/>
    <x v="1"/>
    <n v="4345"/>
    <n v="0"/>
    <x v="1"/>
    <n v="12"/>
    <n v="3"/>
    <n v="4"/>
    <n v="1"/>
    <n v="6"/>
    <n v="2"/>
    <n v="3"/>
    <n v="5"/>
    <n v="4"/>
    <n v="1"/>
    <n v="4"/>
    <x v="1"/>
    <x v="1"/>
    <x v="2"/>
    <x v="1"/>
    <x v="3"/>
    <x v="0"/>
    <x v="2"/>
    <x v="1"/>
    <s v="Low"/>
    <x v="1"/>
    <x v="2"/>
    <x v="0"/>
    <x v="2"/>
  </r>
  <r>
    <n v="59"/>
    <x v="1"/>
    <s v="Travel_Rarely"/>
    <n v="142"/>
    <x v="1"/>
    <n v="3"/>
    <n v="3"/>
    <s v="Life Sciences"/>
    <n v="309"/>
    <n v="3"/>
    <x v="1"/>
    <n v="70"/>
    <n v="2"/>
    <n v="1"/>
    <x v="1"/>
    <n v="4"/>
    <x v="1"/>
    <n v="2177"/>
    <n v="3"/>
    <x v="1"/>
    <n v="17"/>
    <n v="3"/>
    <n v="1"/>
    <n v="1"/>
    <n v="7"/>
    <n v="6"/>
    <n v="3"/>
    <n v="1"/>
    <n v="0"/>
    <n v="0"/>
    <n v="0"/>
    <x v="1"/>
    <x v="1"/>
    <x v="3"/>
    <x v="1"/>
    <x v="1"/>
    <x v="1"/>
    <x v="0"/>
    <x v="0"/>
    <s v="Low"/>
    <x v="1"/>
    <x v="3"/>
    <x v="1"/>
    <x v="1"/>
  </r>
  <r>
    <n v="37"/>
    <x v="1"/>
    <s v="Travel_Frequently"/>
    <n v="319"/>
    <x v="0"/>
    <n v="4"/>
    <n v="4"/>
    <s v="Marketing"/>
    <n v="311"/>
    <n v="1"/>
    <x v="1"/>
    <n v="41"/>
    <n v="3"/>
    <n v="1"/>
    <x v="6"/>
    <n v="4"/>
    <x v="2"/>
    <n v="2793"/>
    <n v="4"/>
    <x v="1"/>
    <n v="17"/>
    <n v="3"/>
    <n v="3"/>
    <n v="1"/>
    <n v="13"/>
    <n v="2"/>
    <n v="3"/>
    <n v="9"/>
    <n v="8"/>
    <n v="5"/>
    <n v="8"/>
    <x v="1"/>
    <x v="1"/>
    <x v="2"/>
    <x v="3"/>
    <x v="0"/>
    <x v="1"/>
    <x v="0"/>
    <x v="3"/>
    <s v="Low"/>
    <x v="1"/>
    <x v="0"/>
    <x v="1"/>
    <x v="0"/>
  </r>
  <r>
    <n v="29"/>
    <x v="1"/>
    <s v="Travel_Frequently"/>
    <n v="1413"/>
    <x v="0"/>
    <n v="1"/>
    <n v="1"/>
    <s v="Medical"/>
    <n v="312"/>
    <n v="2"/>
    <x v="0"/>
    <n v="42"/>
    <n v="3"/>
    <n v="3"/>
    <x v="0"/>
    <n v="4"/>
    <x v="1"/>
    <n v="7918"/>
    <n v="1"/>
    <x v="1"/>
    <n v="14"/>
    <n v="3"/>
    <n v="4"/>
    <n v="1"/>
    <n v="11"/>
    <n v="5"/>
    <n v="3"/>
    <n v="11"/>
    <n v="10"/>
    <n v="4"/>
    <n v="1"/>
    <x v="1"/>
    <x v="1"/>
    <x v="1"/>
    <x v="0"/>
    <x v="0"/>
    <x v="2"/>
    <x v="0"/>
    <x v="1"/>
    <s v="Low"/>
    <x v="1"/>
    <x v="2"/>
    <x v="2"/>
    <x v="4"/>
  </r>
  <r>
    <n v="35"/>
    <x v="1"/>
    <s v="Travel_Frequently"/>
    <n v="944"/>
    <x v="0"/>
    <n v="1"/>
    <n v="3"/>
    <s v="Marketing"/>
    <n v="314"/>
    <n v="3"/>
    <x v="0"/>
    <n v="92"/>
    <n v="3"/>
    <n v="3"/>
    <x v="0"/>
    <n v="3"/>
    <x v="0"/>
    <n v="8789"/>
    <n v="1"/>
    <x v="1"/>
    <n v="14"/>
    <n v="3"/>
    <n v="1"/>
    <n v="0"/>
    <n v="10"/>
    <n v="3"/>
    <n v="4"/>
    <n v="10"/>
    <n v="7"/>
    <n v="0"/>
    <n v="8"/>
    <x v="1"/>
    <x v="1"/>
    <x v="3"/>
    <x v="1"/>
    <x v="0"/>
    <x v="2"/>
    <x v="2"/>
    <x v="0"/>
    <s v="No Options"/>
    <x v="3"/>
    <x v="0"/>
    <x v="2"/>
    <x v="0"/>
  </r>
  <r>
    <n v="29"/>
    <x v="0"/>
    <s v="Travel_Rarely"/>
    <n v="896"/>
    <x v="1"/>
    <n v="18"/>
    <n v="1"/>
    <s v="Medical"/>
    <n v="315"/>
    <n v="3"/>
    <x v="1"/>
    <n v="86"/>
    <n v="2"/>
    <n v="1"/>
    <x v="1"/>
    <n v="4"/>
    <x v="0"/>
    <n v="2389"/>
    <n v="1"/>
    <x v="0"/>
    <n v="13"/>
    <n v="3"/>
    <n v="3"/>
    <n v="0"/>
    <n v="4"/>
    <n v="3"/>
    <n v="2"/>
    <n v="4"/>
    <n v="3"/>
    <n v="0"/>
    <n v="1"/>
    <x v="0"/>
    <x v="0"/>
    <x v="1"/>
    <x v="1"/>
    <x v="1"/>
    <x v="1"/>
    <x v="0"/>
    <x v="3"/>
    <s v="No Options"/>
    <x v="2"/>
    <x v="2"/>
    <x v="1"/>
    <x v="2"/>
  </r>
  <r>
    <n v="52"/>
    <x v="1"/>
    <s v="Travel_Rarely"/>
    <n v="1323"/>
    <x v="1"/>
    <n v="2"/>
    <n v="3"/>
    <s v="Life Sciences"/>
    <n v="316"/>
    <n v="3"/>
    <x v="0"/>
    <n v="89"/>
    <n v="2"/>
    <n v="1"/>
    <x v="2"/>
    <n v="4"/>
    <x v="0"/>
    <n v="3212"/>
    <n v="7"/>
    <x v="1"/>
    <n v="15"/>
    <n v="3"/>
    <n v="2"/>
    <n v="0"/>
    <n v="6"/>
    <n v="3"/>
    <n v="2"/>
    <n v="2"/>
    <n v="2"/>
    <n v="2"/>
    <n v="2"/>
    <x v="1"/>
    <x v="1"/>
    <x v="3"/>
    <x v="1"/>
    <x v="1"/>
    <x v="1"/>
    <x v="0"/>
    <x v="2"/>
    <s v="No Options"/>
    <x v="2"/>
    <x v="1"/>
    <x v="0"/>
    <x v="1"/>
  </r>
  <r>
    <n v="42"/>
    <x v="1"/>
    <s v="Travel_Rarely"/>
    <n v="532"/>
    <x v="1"/>
    <n v="4"/>
    <n v="2"/>
    <s v="Technical Degree"/>
    <n v="319"/>
    <n v="3"/>
    <x v="1"/>
    <n v="58"/>
    <n v="3"/>
    <n v="5"/>
    <x v="5"/>
    <n v="4"/>
    <x v="1"/>
    <n v="19232"/>
    <n v="1"/>
    <x v="1"/>
    <n v="11"/>
    <n v="3"/>
    <n v="4"/>
    <n v="0"/>
    <n v="22"/>
    <n v="3"/>
    <n v="3"/>
    <n v="22"/>
    <n v="17"/>
    <n v="11"/>
    <n v="15"/>
    <x v="1"/>
    <x v="1"/>
    <x v="0"/>
    <x v="1"/>
    <x v="0"/>
    <x v="4"/>
    <x v="0"/>
    <x v="1"/>
    <s v="No Options"/>
    <x v="1"/>
    <x v="0"/>
    <x v="3"/>
    <x v="3"/>
  </r>
  <r>
    <n v="59"/>
    <x v="1"/>
    <s v="Travel_Rarely"/>
    <n v="818"/>
    <x v="2"/>
    <n v="6"/>
    <n v="2"/>
    <s v="Medical"/>
    <n v="321"/>
    <n v="2"/>
    <x v="1"/>
    <n v="52"/>
    <n v="3"/>
    <n v="1"/>
    <x v="8"/>
    <n v="3"/>
    <x v="1"/>
    <n v="2267"/>
    <n v="8"/>
    <x v="1"/>
    <n v="17"/>
    <n v="3"/>
    <n v="4"/>
    <n v="0"/>
    <n v="7"/>
    <n v="2"/>
    <n v="2"/>
    <n v="2"/>
    <n v="2"/>
    <n v="2"/>
    <n v="2"/>
    <x v="1"/>
    <x v="1"/>
    <x v="0"/>
    <x v="0"/>
    <x v="0"/>
    <x v="1"/>
    <x v="2"/>
    <x v="1"/>
    <s v="No Options"/>
    <x v="2"/>
    <x v="3"/>
    <x v="1"/>
    <x v="1"/>
  </r>
  <r>
    <n v="50"/>
    <x v="1"/>
    <s v="Travel_Rarely"/>
    <n v="854"/>
    <x v="0"/>
    <n v="1"/>
    <n v="4"/>
    <s v="Medical"/>
    <n v="323"/>
    <n v="4"/>
    <x v="0"/>
    <n v="68"/>
    <n v="3"/>
    <n v="5"/>
    <x v="5"/>
    <n v="4"/>
    <x v="2"/>
    <n v="19517"/>
    <n v="3"/>
    <x v="1"/>
    <n v="11"/>
    <n v="3"/>
    <n v="3"/>
    <n v="1"/>
    <n v="32"/>
    <n v="3"/>
    <n v="2"/>
    <n v="7"/>
    <n v="0"/>
    <n v="0"/>
    <n v="6"/>
    <x v="1"/>
    <x v="1"/>
    <x v="2"/>
    <x v="2"/>
    <x v="0"/>
    <x v="4"/>
    <x v="0"/>
    <x v="3"/>
    <s v="Low"/>
    <x v="2"/>
    <x v="1"/>
    <x v="3"/>
    <x v="0"/>
  </r>
  <r>
    <n v="33"/>
    <x v="0"/>
    <s v="Travel_Rarely"/>
    <n v="813"/>
    <x v="1"/>
    <n v="14"/>
    <n v="3"/>
    <s v="Medical"/>
    <n v="325"/>
    <n v="3"/>
    <x v="1"/>
    <n v="58"/>
    <n v="3"/>
    <n v="1"/>
    <x v="2"/>
    <n v="4"/>
    <x v="1"/>
    <n v="2436"/>
    <n v="5"/>
    <x v="0"/>
    <n v="13"/>
    <n v="3"/>
    <n v="3"/>
    <n v="1"/>
    <n v="8"/>
    <n v="2"/>
    <n v="1"/>
    <n v="5"/>
    <n v="4"/>
    <n v="0"/>
    <n v="4"/>
    <x v="0"/>
    <x v="0"/>
    <x v="3"/>
    <x v="1"/>
    <x v="0"/>
    <x v="1"/>
    <x v="0"/>
    <x v="3"/>
    <s v="Low"/>
    <x v="0"/>
    <x v="2"/>
    <x v="1"/>
    <x v="2"/>
  </r>
  <r>
    <n v="43"/>
    <x v="1"/>
    <s v="Travel_Rarely"/>
    <n v="1034"/>
    <x v="0"/>
    <n v="16"/>
    <n v="3"/>
    <s v="Marketing"/>
    <n v="327"/>
    <n v="4"/>
    <x v="0"/>
    <n v="80"/>
    <n v="3"/>
    <n v="4"/>
    <x v="5"/>
    <n v="4"/>
    <x v="1"/>
    <n v="16064"/>
    <n v="5"/>
    <x v="0"/>
    <n v="22"/>
    <n v="4"/>
    <n v="3"/>
    <n v="1"/>
    <n v="22"/>
    <n v="3"/>
    <n v="3"/>
    <n v="17"/>
    <n v="13"/>
    <n v="1"/>
    <n v="9"/>
    <x v="1"/>
    <x v="0"/>
    <x v="3"/>
    <x v="2"/>
    <x v="0"/>
    <x v="3"/>
    <x v="0"/>
    <x v="3"/>
    <s v="Low"/>
    <x v="1"/>
    <x v="0"/>
    <x v="3"/>
    <x v="4"/>
  </r>
  <r>
    <n v="33"/>
    <x v="0"/>
    <s v="Travel_Rarely"/>
    <n v="465"/>
    <x v="1"/>
    <n v="2"/>
    <n v="2"/>
    <s v="Life Sciences"/>
    <n v="328"/>
    <n v="1"/>
    <x v="0"/>
    <n v="39"/>
    <n v="3"/>
    <n v="1"/>
    <x v="2"/>
    <n v="1"/>
    <x v="1"/>
    <n v="2707"/>
    <n v="7"/>
    <x v="1"/>
    <n v="20"/>
    <n v="4"/>
    <n v="1"/>
    <n v="0"/>
    <n v="13"/>
    <n v="3"/>
    <n v="4"/>
    <n v="9"/>
    <n v="7"/>
    <n v="1"/>
    <n v="7"/>
    <x v="0"/>
    <x v="1"/>
    <x v="0"/>
    <x v="3"/>
    <x v="0"/>
    <x v="1"/>
    <x v="3"/>
    <x v="0"/>
    <s v="No Options"/>
    <x v="3"/>
    <x v="2"/>
    <x v="1"/>
    <x v="0"/>
  </r>
  <r>
    <n v="52"/>
    <x v="1"/>
    <s v="Non-Travel"/>
    <n v="771"/>
    <x v="0"/>
    <n v="2"/>
    <n v="4"/>
    <s v="Life Sciences"/>
    <n v="329"/>
    <n v="1"/>
    <x v="1"/>
    <n v="79"/>
    <n v="2"/>
    <n v="5"/>
    <x v="5"/>
    <n v="3"/>
    <x v="0"/>
    <n v="19068"/>
    <n v="1"/>
    <x v="0"/>
    <n v="18"/>
    <n v="3"/>
    <n v="4"/>
    <n v="0"/>
    <n v="33"/>
    <n v="2"/>
    <n v="4"/>
    <n v="33"/>
    <n v="7"/>
    <n v="15"/>
    <n v="12"/>
    <x v="1"/>
    <x v="0"/>
    <x v="2"/>
    <x v="3"/>
    <x v="1"/>
    <x v="4"/>
    <x v="2"/>
    <x v="1"/>
    <s v="No Options"/>
    <x v="3"/>
    <x v="1"/>
    <x v="3"/>
    <x v="3"/>
  </r>
  <r>
    <n v="32"/>
    <x v="1"/>
    <s v="Travel_Rarely"/>
    <n v="1401"/>
    <x v="0"/>
    <n v="4"/>
    <n v="2"/>
    <s v="Life Sciences"/>
    <n v="330"/>
    <n v="3"/>
    <x v="0"/>
    <n v="56"/>
    <n v="3"/>
    <n v="1"/>
    <x v="6"/>
    <n v="2"/>
    <x v="1"/>
    <n v="3931"/>
    <n v="2"/>
    <x v="1"/>
    <n v="11"/>
    <n v="3"/>
    <n v="1"/>
    <n v="1"/>
    <n v="6"/>
    <n v="5"/>
    <n v="3"/>
    <n v="4"/>
    <n v="3"/>
    <n v="1"/>
    <n v="2"/>
    <x v="1"/>
    <x v="1"/>
    <x v="0"/>
    <x v="1"/>
    <x v="0"/>
    <x v="1"/>
    <x v="1"/>
    <x v="0"/>
    <s v="Low"/>
    <x v="1"/>
    <x v="2"/>
    <x v="0"/>
    <x v="2"/>
  </r>
  <r>
    <n v="32"/>
    <x v="0"/>
    <s v="Travel_Rarely"/>
    <n v="515"/>
    <x v="1"/>
    <n v="1"/>
    <n v="3"/>
    <s v="Life Sciences"/>
    <n v="331"/>
    <n v="4"/>
    <x v="1"/>
    <n v="62"/>
    <n v="2"/>
    <n v="1"/>
    <x v="2"/>
    <n v="3"/>
    <x v="0"/>
    <n v="3730"/>
    <n v="0"/>
    <x v="0"/>
    <n v="14"/>
    <n v="3"/>
    <n v="4"/>
    <n v="0"/>
    <n v="4"/>
    <n v="2"/>
    <n v="1"/>
    <n v="3"/>
    <n v="2"/>
    <n v="1"/>
    <n v="2"/>
    <x v="0"/>
    <x v="0"/>
    <x v="3"/>
    <x v="2"/>
    <x v="1"/>
    <x v="1"/>
    <x v="2"/>
    <x v="1"/>
    <s v="No Options"/>
    <x v="0"/>
    <x v="2"/>
    <x v="0"/>
    <x v="2"/>
  </r>
  <r>
    <n v="39"/>
    <x v="1"/>
    <s v="Travel_Rarely"/>
    <n v="1431"/>
    <x v="1"/>
    <n v="1"/>
    <n v="4"/>
    <s v="Medical"/>
    <n v="332"/>
    <n v="3"/>
    <x v="0"/>
    <n v="96"/>
    <n v="3"/>
    <n v="1"/>
    <x v="2"/>
    <n v="3"/>
    <x v="2"/>
    <n v="2232"/>
    <n v="7"/>
    <x v="1"/>
    <n v="14"/>
    <n v="3"/>
    <n v="3"/>
    <n v="3"/>
    <n v="7"/>
    <n v="1"/>
    <n v="3"/>
    <n v="3"/>
    <n v="2"/>
    <n v="1"/>
    <n v="2"/>
    <x v="1"/>
    <x v="1"/>
    <x v="2"/>
    <x v="1"/>
    <x v="0"/>
    <x v="1"/>
    <x v="2"/>
    <x v="3"/>
    <s v="High"/>
    <x v="1"/>
    <x v="0"/>
    <x v="1"/>
    <x v="2"/>
  </r>
  <r>
    <n v="32"/>
    <x v="1"/>
    <s v="Non-Travel"/>
    <n v="976"/>
    <x v="0"/>
    <n v="26"/>
    <n v="4"/>
    <s v="Marketing"/>
    <n v="333"/>
    <n v="3"/>
    <x v="1"/>
    <n v="100"/>
    <n v="3"/>
    <n v="2"/>
    <x v="0"/>
    <n v="4"/>
    <x v="1"/>
    <n v="4465"/>
    <n v="0"/>
    <x v="1"/>
    <n v="18"/>
    <n v="3"/>
    <n v="1"/>
    <n v="0"/>
    <n v="4"/>
    <n v="2"/>
    <n v="3"/>
    <n v="3"/>
    <n v="2"/>
    <n v="2"/>
    <n v="2"/>
    <x v="1"/>
    <x v="1"/>
    <x v="2"/>
    <x v="1"/>
    <x v="0"/>
    <x v="0"/>
    <x v="0"/>
    <x v="0"/>
    <s v="No Options"/>
    <x v="1"/>
    <x v="2"/>
    <x v="0"/>
    <x v="2"/>
  </r>
  <r>
    <n v="41"/>
    <x v="1"/>
    <s v="Travel_Rarely"/>
    <n v="1411"/>
    <x v="1"/>
    <n v="19"/>
    <n v="2"/>
    <s v="Life Sciences"/>
    <n v="334"/>
    <n v="3"/>
    <x v="1"/>
    <n v="36"/>
    <n v="3"/>
    <n v="2"/>
    <x v="1"/>
    <n v="1"/>
    <x v="2"/>
    <n v="3072"/>
    <n v="2"/>
    <x v="1"/>
    <n v="16"/>
    <n v="3"/>
    <n v="1"/>
    <n v="2"/>
    <n v="17"/>
    <n v="2"/>
    <n v="2"/>
    <n v="1"/>
    <n v="0"/>
    <n v="0"/>
    <n v="0"/>
    <x v="1"/>
    <x v="1"/>
    <x v="0"/>
    <x v="1"/>
    <x v="0"/>
    <x v="0"/>
    <x v="3"/>
    <x v="0"/>
    <s v="Medium"/>
    <x v="2"/>
    <x v="0"/>
    <x v="0"/>
    <x v="1"/>
  </r>
  <r>
    <n v="40"/>
    <x v="1"/>
    <s v="Travel_Rarely"/>
    <n v="1300"/>
    <x v="1"/>
    <n v="24"/>
    <n v="2"/>
    <s v="Technical Degree"/>
    <n v="335"/>
    <n v="1"/>
    <x v="1"/>
    <n v="62"/>
    <n v="3"/>
    <n v="2"/>
    <x v="1"/>
    <n v="4"/>
    <x v="2"/>
    <n v="3319"/>
    <n v="1"/>
    <x v="1"/>
    <n v="17"/>
    <n v="3"/>
    <n v="1"/>
    <n v="2"/>
    <n v="9"/>
    <n v="3"/>
    <n v="3"/>
    <n v="9"/>
    <n v="8"/>
    <n v="4"/>
    <n v="7"/>
    <x v="1"/>
    <x v="1"/>
    <x v="0"/>
    <x v="3"/>
    <x v="0"/>
    <x v="0"/>
    <x v="0"/>
    <x v="0"/>
    <s v="Medium"/>
    <x v="1"/>
    <x v="0"/>
    <x v="0"/>
    <x v="0"/>
  </r>
  <r>
    <n v="45"/>
    <x v="1"/>
    <s v="Travel_Rarely"/>
    <n v="252"/>
    <x v="1"/>
    <n v="1"/>
    <n v="3"/>
    <s v="Other"/>
    <n v="336"/>
    <n v="3"/>
    <x v="1"/>
    <n v="70"/>
    <n v="4"/>
    <n v="5"/>
    <x v="5"/>
    <n v="4"/>
    <x v="1"/>
    <n v="19202"/>
    <n v="0"/>
    <x v="1"/>
    <n v="11"/>
    <n v="3"/>
    <n v="3"/>
    <n v="1"/>
    <n v="25"/>
    <n v="2"/>
    <n v="3"/>
    <n v="24"/>
    <n v="0"/>
    <n v="1"/>
    <n v="7"/>
    <x v="1"/>
    <x v="1"/>
    <x v="3"/>
    <x v="1"/>
    <x v="2"/>
    <x v="4"/>
    <x v="0"/>
    <x v="3"/>
    <s v="Low"/>
    <x v="1"/>
    <x v="1"/>
    <x v="3"/>
    <x v="3"/>
  </r>
  <r>
    <n v="31"/>
    <x v="1"/>
    <s v="Travel_Frequently"/>
    <n v="1327"/>
    <x v="1"/>
    <n v="3"/>
    <n v="4"/>
    <s v="Medical"/>
    <n v="337"/>
    <n v="2"/>
    <x v="1"/>
    <n v="73"/>
    <n v="3"/>
    <n v="3"/>
    <x v="7"/>
    <n v="3"/>
    <x v="2"/>
    <n v="13675"/>
    <n v="9"/>
    <x v="1"/>
    <n v="12"/>
    <n v="3"/>
    <n v="1"/>
    <n v="1"/>
    <n v="9"/>
    <n v="3"/>
    <n v="3"/>
    <n v="2"/>
    <n v="2"/>
    <n v="2"/>
    <n v="2"/>
    <x v="1"/>
    <x v="1"/>
    <x v="2"/>
    <x v="0"/>
    <x v="0"/>
    <x v="2"/>
    <x v="2"/>
    <x v="0"/>
    <s v="Low"/>
    <x v="1"/>
    <x v="2"/>
    <x v="3"/>
    <x v="1"/>
  </r>
  <r>
    <n v="33"/>
    <x v="1"/>
    <s v="Travel_Rarely"/>
    <n v="832"/>
    <x v="1"/>
    <n v="5"/>
    <n v="4"/>
    <s v="Life Sciences"/>
    <n v="338"/>
    <n v="3"/>
    <x v="0"/>
    <n v="63"/>
    <n v="2"/>
    <n v="1"/>
    <x v="1"/>
    <n v="4"/>
    <x v="1"/>
    <n v="2911"/>
    <n v="1"/>
    <x v="1"/>
    <n v="13"/>
    <n v="3"/>
    <n v="3"/>
    <n v="1"/>
    <n v="2"/>
    <n v="2"/>
    <n v="2"/>
    <n v="2"/>
    <n v="2"/>
    <n v="0"/>
    <n v="2"/>
    <x v="1"/>
    <x v="1"/>
    <x v="2"/>
    <x v="1"/>
    <x v="1"/>
    <x v="1"/>
    <x v="0"/>
    <x v="3"/>
    <s v="Low"/>
    <x v="2"/>
    <x v="2"/>
    <x v="1"/>
    <x v="1"/>
  </r>
  <r>
    <n v="34"/>
    <x v="1"/>
    <s v="Travel_Rarely"/>
    <n v="470"/>
    <x v="1"/>
    <n v="2"/>
    <n v="4"/>
    <s v="Life Sciences"/>
    <n v="339"/>
    <n v="4"/>
    <x v="1"/>
    <n v="84"/>
    <n v="2"/>
    <n v="2"/>
    <x v="3"/>
    <n v="1"/>
    <x v="1"/>
    <n v="5957"/>
    <n v="6"/>
    <x v="1"/>
    <n v="13"/>
    <n v="3"/>
    <n v="2"/>
    <n v="1"/>
    <n v="13"/>
    <n v="3"/>
    <n v="3"/>
    <n v="11"/>
    <n v="9"/>
    <n v="5"/>
    <n v="9"/>
    <x v="1"/>
    <x v="1"/>
    <x v="2"/>
    <x v="2"/>
    <x v="1"/>
    <x v="0"/>
    <x v="3"/>
    <x v="2"/>
    <s v="Low"/>
    <x v="1"/>
    <x v="2"/>
    <x v="0"/>
    <x v="4"/>
  </r>
  <r>
    <n v="37"/>
    <x v="1"/>
    <s v="Travel_Rarely"/>
    <n v="1017"/>
    <x v="1"/>
    <n v="1"/>
    <n v="2"/>
    <s v="Medical"/>
    <n v="340"/>
    <n v="3"/>
    <x v="0"/>
    <n v="83"/>
    <n v="2"/>
    <n v="1"/>
    <x v="1"/>
    <n v="1"/>
    <x v="1"/>
    <n v="3920"/>
    <n v="2"/>
    <x v="1"/>
    <n v="14"/>
    <n v="3"/>
    <n v="1"/>
    <n v="1"/>
    <n v="17"/>
    <n v="2"/>
    <n v="2"/>
    <n v="3"/>
    <n v="1"/>
    <n v="0"/>
    <n v="2"/>
    <x v="1"/>
    <x v="1"/>
    <x v="0"/>
    <x v="1"/>
    <x v="1"/>
    <x v="1"/>
    <x v="3"/>
    <x v="0"/>
    <s v="Low"/>
    <x v="2"/>
    <x v="0"/>
    <x v="0"/>
    <x v="2"/>
  </r>
  <r>
    <n v="45"/>
    <x v="1"/>
    <s v="Travel_Frequently"/>
    <n v="1199"/>
    <x v="1"/>
    <n v="7"/>
    <n v="4"/>
    <s v="Life Sciences"/>
    <n v="341"/>
    <n v="1"/>
    <x v="1"/>
    <n v="77"/>
    <n v="4"/>
    <n v="2"/>
    <x v="3"/>
    <n v="3"/>
    <x v="1"/>
    <n v="6434"/>
    <n v="4"/>
    <x v="1"/>
    <n v="17"/>
    <n v="3"/>
    <n v="4"/>
    <n v="1"/>
    <n v="9"/>
    <n v="1"/>
    <n v="3"/>
    <n v="3"/>
    <n v="2"/>
    <n v="0"/>
    <n v="2"/>
    <x v="1"/>
    <x v="1"/>
    <x v="2"/>
    <x v="3"/>
    <x v="2"/>
    <x v="0"/>
    <x v="2"/>
    <x v="1"/>
    <s v="Low"/>
    <x v="1"/>
    <x v="1"/>
    <x v="0"/>
    <x v="2"/>
  </r>
  <r>
    <n v="37"/>
    <x v="0"/>
    <s v="Travel_Frequently"/>
    <n v="504"/>
    <x v="1"/>
    <n v="10"/>
    <n v="3"/>
    <s v="Medical"/>
    <n v="342"/>
    <n v="1"/>
    <x v="1"/>
    <n v="61"/>
    <n v="3"/>
    <n v="3"/>
    <x v="3"/>
    <n v="3"/>
    <x v="2"/>
    <n v="10048"/>
    <n v="6"/>
    <x v="1"/>
    <n v="11"/>
    <n v="3"/>
    <n v="2"/>
    <n v="2"/>
    <n v="17"/>
    <n v="5"/>
    <n v="3"/>
    <n v="1"/>
    <n v="0"/>
    <n v="0"/>
    <n v="0"/>
    <x v="0"/>
    <x v="1"/>
    <x v="3"/>
    <x v="3"/>
    <x v="0"/>
    <x v="2"/>
    <x v="2"/>
    <x v="2"/>
    <s v="Medium"/>
    <x v="1"/>
    <x v="0"/>
    <x v="2"/>
    <x v="1"/>
  </r>
  <r>
    <n v="39"/>
    <x v="1"/>
    <s v="Travel_Frequently"/>
    <n v="505"/>
    <x v="1"/>
    <n v="2"/>
    <n v="4"/>
    <s v="Technical Degree"/>
    <n v="343"/>
    <n v="3"/>
    <x v="0"/>
    <n v="64"/>
    <n v="3"/>
    <n v="3"/>
    <x v="4"/>
    <n v="3"/>
    <x v="0"/>
    <n v="10938"/>
    <n v="0"/>
    <x v="1"/>
    <n v="25"/>
    <n v="4"/>
    <n v="4"/>
    <n v="0"/>
    <n v="20"/>
    <n v="1"/>
    <n v="3"/>
    <n v="19"/>
    <n v="6"/>
    <n v="11"/>
    <n v="8"/>
    <x v="1"/>
    <x v="1"/>
    <x v="2"/>
    <x v="1"/>
    <x v="0"/>
    <x v="2"/>
    <x v="2"/>
    <x v="1"/>
    <s v="No Options"/>
    <x v="1"/>
    <x v="0"/>
    <x v="2"/>
    <x v="4"/>
  </r>
  <r>
    <n v="29"/>
    <x v="1"/>
    <s v="Travel_Rarely"/>
    <n v="665"/>
    <x v="1"/>
    <n v="15"/>
    <n v="3"/>
    <s v="Life Sciences"/>
    <n v="346"/>
    <n v="3"/>
    <x v="1"/>
    <n v="60"/>
    <n v="3"/>
    <n v="1"/>
    <x v="1"/>
    <n v="4"/>
    <x v="0"/>
    <n v="2340"/>
    <n v="1"/>
    <x v="1"/>
    <n v="19"/>
    <n v="3"/>
    <n v="1"/>
    <n v="0"/>
    <n v="6"/>
    <n v="1"/>
    <n v="3"/>
    <n v="6"/>
    <n v="5"/>
    <n v="1"/>
    <n v="5"/>
    <x v="1"/>
    <x v="1"/>
    <x v="3"/>
    <x v="1"/>
    <x v="0"/>
    <x v="1"/>
    <x v="0"/>
    <x v="0"/>
    <s v="No Options"/>
    <x v="1"/>
    <x v="2"/>
    <x v="1"/>
    <x v="0"/>
  </r>
  <r>
    <n v="42"/>
    <x v="1"/>
    <s v="Travel_Rarely"/>
    <n v="916"/>
    <x v="1"/>
    <n v="17"/>
    <n v="2"/>
    <s v="Life Sciences"/>
    <n v="347"/>
    <n v="4"/>
    <x v="0"/>
    <n v="82"/>
    <n v="4"/>
    <n v="2"/>
    <x v="1"/>
    <n v="1"/>
    <x v="0"/>
    <n v="6545"/>
    <n v="3"/>
    <x v="0"/>
    <n v="13"/>
    <n v="3"/>
    <n v="3"/>
    <n v="0"/>
    <n v="10"/>
    <n v="1"/>
    <n v="3"/>
    <n v="3"/>
    <n v="2"/>
    <n v="0"/>
    <n v="2"/>
    <x v="1"/>
    <x v="0"/>
    <x v="0"/>
    <x v="2"/>
    <x v="2"/>
    <x v="0"/>
    <x v="3"/>
    <x v="3"/>
    <s v="No Options"/>
    <x v="1"/>
    <x v="0"/>
    <x v="0"/>
    <x v="2"/>
  </r>
  <r>
    <n v="29"/>
    <x v="1"/>
    <s v="Travel_Rarely"/>
    <n v="1247"/>
    <x v="0"/>
    <n v="20"/>
    <n v="2"/>
    <s v="Marketing"/>
    <n v="349"/>
    <n v="4"/>
    <x v="1"/>
    <n v="45"/>
    <n v="3"/>
    <n v="2"/>
    <x v="0"/>
    <n v="4"/>
    <x v="2"/>
    <n v="6931"/>
    <n v="2"/>
    <x v="1"/>
    <n v="14"/>
    <n v="3"/>
    <n v="4"/>
    <n v="1"/>
    <n v="10"/>
    <n v="2"/>
    <n v="3"/>
    <n v="3"/>
    <n v="2"/>
    <n v="0"/>
    <n v="2"/>
    <x v="1"/>
    <x v="1"/>
    <x v="0"/>
    <x v="2"/>
    <x v="0"/>
    <x v="0"/>
    <x v="0"/>
    <x v="1"/>
    <s v="Low"/>
    <x v="1"/>
    <x v="2"/>
    <x v="0"/>
    <x v="2"/>
  </r>
  <r>
    <n v="25"/>
    <x v="1"/>
    <s v="Travel_Rarely"/>
    <n v="685"/>
    <x v="1"/>
    <n v="1"/>
    <n v="3"/>
    <s v="Life Sciences"/>
    <n v="350"/>
    <n v="1"/>
    <x v="0"/>
    <n v="62"/>
    <n v="3"/>
    <n v="2"/>
    <x v="3"/>
    <n v="3"/>
    <x v="1"/>
    <n v="4898"/>
    <n v="0"/>
    <x v="1"/>
    <n v="12"/>
    <n v="3"/>
    <n v="4"/>
    <n v="2"/>
    <n v="5"/>
    <n v="3"/>
    <n v="3"/>
    <n v="4"/>
    <n v="2"/>
    <n v="1"/>
    <n v="2"/>
    <x v="1"/>
    <x v="1"/>
    <x v="3"/>
    <x v="3"/>
    <x v="0"/>
    <x v="0"/>
    <x v="2"/>
    <x v="1"/>
    <s v="Medium"/>
    <x v="1"/>
    <x v="2"/>
    <x v="0"/>
    <x v="2"/>
  </r>
  <r>
    <n v="42"/>
    <x v="1"/>
    <s v="Travel_Rarely"/>
    <n v="269"/>
    <x v="1"/>
    <n v="2"/>
    <n v="3"/>
    <s v="Medical"/>
    <n v="351"/>
    <n v="4"/>
    <x v="0"/>
    <n v="56"/>
    <n v="2"/>
    <n v="1"/>
    <x v="2"/>
    <n v="1"/>
    <x v="2"/>
    <n v="2593"/>
    <n v="0"/>
    <x v="0"/>
    <n v="11"/>
    <n v="3"/>
    <n v="3"/>
    <n v="1"/>
    <n v="10"/>
    <n v="4"/>
    <n v="3"/>
    <n v="9"/>
    <n v="6"/>
    <n v="7"/>
    <n v="8"/>
    <x v="1"/>
    <x v="0"/>
    <x v="3"/>
    <x v="2"/>
    <x v="1"/>
    <x v="1"/>
    <x v="3"/>
    <x v="3"/>
    <s v="Low"/>
    <x v="1"/>
    <x v="0"/>
    <x v="1"/>
    <x v="0"/>
  </r>
  <r>
    <n v="40"/>
    <x v="1"/>
    <s v="Travel_Rarely"/>
    <n v="1416"/>
    <x v="1"/>
    <n v="2"/>
    <n v="2"/>
    <s v="Medical"/>
    <n v="352"/>
    <n v="1"/>
    <x v="1"/>
    <n v="49"/>
    <n v="3"/>
    <n v="5"/>
    <x v="7"/>
    <n v="3"/>
    <x v="2"/>
    <n v="19436"/>
    <n v="0"/>
    <x v="1"/>
    <n v="19"/>
    <n v="3"/>
    <n v="4"/>
    <n v="1"/>
    <n v="22"/>
    <n v="5"/>
    <n v="3"/>
    <n v="21"/>
    <n v="7"/>
    <n v="3"/>
    <n v="9"/>
    <x v="1"/>
    <x v="1"/>
    <x v="0"/>
    <x v="3"/>
    <x v="0"/>
    <x v="4"/>
    <x v="2"/>
    <x v="1"/>
    <s v="Low"/>
    <x v="1"/>
    <x v="0"/>
    <x v="3"/>
    <x v="3"/>
  </r>
  <r>
    <n v="51"/>
    <x v="1"/>
    <s v="Travel_Rarely"/>
    <n v="833"/>
    <x v="1"/>
    <n v="1"/>
    <n v="3"/>
    <s v="Life Sciences"/>
    <n v="353"/>
    <n v="3"/>
    <x v="1"/>
    <n v="96"/>
    <n v="3"/>
    <n v="1"/>
    <x v="1"/>
    <n v="4"/>
    <x v="1"/>
    <n v="2723"/>
    <n v="1"/>
    <x v="1"/>
    <n v="11"/>
    <n v="3"/>
    <n v="2"/>
    <n v="0"/>
    <n v="1"/>
    <n v="0"/>
    <n v="2"/>
    <n v="1"/>
    <n v="0"/>
    <n v="0"/>
    <n v="0"/>
    <x v="1"/>
    <x v="1"/>
    <x v="3"/>
    <x v="1"/>
    <x v="0"/>
    <x v="1"/>
    <x v="0"/>
    <x v="2"/>
    <s v="No Options"/>
    <x v="2"/>
    <x v="1"/>
    <x v="1"/>
    <x v="1"/>
  </r>
  <r>
    <n v="31"/>
    <x v="0"/>
    <s v="Travel_Frequently"/>
    <n v="307"/>
    <x v="1"/>
    <n v="29"/>
    <n v="2"/>
    <s v="Medical"/>
    <n v="355"/>
    <n v="3"/>
    <x v="1"/>
    <n v="71"/>
    <n v="2"/>
    <n v="1"/>
    <x v="2"/>
    <n v="2"/>
    <x v="0"/>
    <n v="3479"/>
    <n v="0"/>
    <x v="1"/>
    <n v="11"/>
    <n v="3"/>
    <n v="2"/>
    <n v="0"/>
    <n v="6"/>
    <n v="2"/>
    <n v="4"/>
    <n v="5"/>
    <n v="4"/>
    <n v="1"/>
    <n v="4"/>
    <x v="0"/>
    <x v="1"/>
    <x v="0"/>
    <x v="1"/>
    <x v="1"/>
    <x v="1"/>
    <x v="1"/>
    <x v="2"/>
    <s v="No Options"/>
    <x v="3"/>
    <x v="2"/>
    <x v="0"/>
    <x v="2"/>
  </r>
  <r>
    <n v="32"/>
    <x v="1"/>
    <s v="Travel_Frequently"/>
    <n v="1311"/>
    <x v="1"/>
    <n v="7"/>
    <n v="3"/>
    <s v="Life Sciences"/>
    <n v="359"/>
    <n v="2"/>
    <x v="1"/>
    <n v="100"/>
    <n v="4"/>
    <n v="1"/>
    <x v="2"/>
    <n v="2"/>
    <x v="1"/>
    <n v="2794"/>
    <n v="1"/>
    <x v="1"/>
    <n v="20"/>
    <n v="4"/>
    <n v="3"/>
    <n v="0"/>
    <n v="5"/>
    <n v="3"/>
    <n v="1"/>
    <n v="5"/>
    <n v="1"/>
    <n v="0"/>
    <n v="3"/>
    <x v="1"/>
    <x v="1"/>
    <x v="3"/>
    <x v="0"/>
    <x v="2"/>
    <x v="1"/>
    <x v="1"/>
    <x v="3"/>
    <s v="No Options"/>
    <x v="0"/>
    <x v="2"/>
    <x v="1"/>
    <x v="2"/>
  </r>
  <r>
    <n v="38"/>
    <x v="1"/>
    <s v="Non-Travel"/>
    <n v="1327"/>
    <x v="0"/>
    <n v="2"/>
    <n v="2"/>
    <s v="Life Sciences"/>
    <n v="361"/>
    <n v="4"/>
    <x v="1"/>
    <n v="39"/>
    <n v="2"/>
    <n v="2"/>
    <x v="0"/>
    <n v="4"/>
    <x v="1"/>
    <n v="5249"/>
    <n v="3"/>
    <x v="1"/>
    <n v="18"/>
    <n v="3"/>
    <n v="4"/>
    <n v="1"/>
    <n v="13"/>
    <n v="0"/>
    <n v="3"/>
    <n v="8"/>
    <n v="7"/>
    <n v="7"/>
    <n v="5"/>
    <x v="1"/>
    <x v="1"/>
    <x v="0"/>
    <x v="2"/>
    <x v="1"/>
    <x v="0"/>
    <x v="0"/>
    <x v="1"/>
    <s v="Low"/>
    <x v="1"/>
    <x v="0"/>
    <x v="0"/>
    <x v="0"/>
  </r>
  <r>
    <n v="32"/>
    <x v="1"/>
    <s v="Travel_Rarely"/>
    <n v="128"/>
    <x v="1"/>
    <n v="2"/>
    <n v="1"/>
    <s v="Technical Degree"/>
    <n v="362"/>
    <n v="4"/>
    <x v="1"/>
    <n v="84"/>
    <n v="2"/>
    <n v="2"/>
    <x v="2"/>
    <n v="1"/>
    <x v="0"/>
    <n v="2176"/>
    <n v="4"/>
    <x v="1"/>
    <n v="13"/>
    <n v="3"/>
    <n v="4"/>
    <n v="0"/>
    <n v="9"/>
    <n v="5"/>
    <n v="3"/>
    <n v="6"/>
    <n v="2"/>
    <n v="0"/>
    <n v="4"/>
    <x v="1"/>
    <x v="1"/>
    <x v="1"/>
    <x v="2"/>
    <x v="1"/>
    <x v="0"/>
    <x v="3"/>
    <x v="1"/>
    <s v="No Options"/>
    <x v="1"/>
    <x v="2"/>
    <x v="1"/>
    <x v="0"/>
  </r>
  <r>
    <n v="46"/>
    <x v="1"/>
    <s v="Travel_Rarely"/>
    <n v="488"/>
    <x v="0"/>
    <n v="2"/>
    <n v="3"/>
    <s v="Technical Degree"/>
    <n v="363"/>
    <n v="3"/>
    <x v="0"/>
    <n v="75"/>
    <n v="1"/>
    <n v="4"/>
    <x v="5"/>
    <n v="2"/>
    <x v="1"/>
    <n v="16872"/>
    <n v="3"/>
    <x v="0"/>
    <n v="12"/>
    <n v="3"/>
    <n v="2"/>
    <n v="1"/>
    <n v="28"/>
    <n v="2"/>
    <n v="2"/>
    <n v="7"/>
    <n v="7"/>
    <n v="7"/>
    <n v="7"/>
    <x v="1"/>
    <x v="0"/>
    <x v="3"/>
    <x v="1"/>
    <x v="3"/>
    <x v="3"/>
    <x v="1"/>
    <x v="2"/>
    <s v="Low"/>
    <x v="2"/>
    <x v="1"/>
    <x v="3"/>
    <x v="0"/>
  </r>
  <r>
    <n v="28"/>
    <x v="0"/>
    <s v="Travel_Rarely"/>
    <n v="529"/>
    <x v="1"/>
    <n v="2"/>
    <n v="4"/>
    <s v="Life Sciences"/>
    <n v="364"/>
    <n v="1"/>
    <x v="1"/>
    <n v="79"/>
    <n v="3"/>
    <n v="1"/>
    <x v="2"/>
    <n v="3"/>
    <x v="0"/>
    <n v="3485"/>
    <n v="2"/>
    <x v="1"/>
    <n v="11"/>
    <n v="3"/>
    <n v="3"/>
    <n v="0"/>
    <n v="5"/>
    <n v="5"/>
    <n v="1"/>
    <n v="0"/>
    <n v="0"/>
    <n v="0"/>
    <n v="0"/>
    <x v="0"/>
    <x v="1"/>
    <x v="2"/>
    <x v="3"/>
    <x v="0"/>
    <x v="1"/>
    <x v="2"/>
    <x v="3"/>
    <s v="No Options"/>
    <x v="0"/>
    <x v="2"/>
    <x v="0"/>
    <x v="1"/>
  </r>
  <r>
    <n v="29"/>
    <x v="1"/>
    <s v="Travel_Rarely"/>
    <n v="1210"/>
    <x v="0"/>
    <n v="2"/>
    <n v="3"/>
    <s v="Medical"/>
    <n v="366"/>
    <n v="1"/>
    <x v="1"/>
    <n v="78"/>
    <n v="2"/>
    <n v="2"/>
    <x v="0"/>
    <n v="2"/>
    <x v="1"/>
    <n v="6644"/>
    <n v="2"/>
    <x v="1"/>
    <n v="19"/>
    <n v="3"/>
    <n v="2"/>
    <n v="2"/>
    <n v="10"/>
    <n v="2"/>
    <n v="3"/>
    <n v="0"/>
    <n v="0"/>
    <n v="0"/>
    <n v="0"/>
    <x v="1"/>
    <x v="1"/>
    <x v="3"/>
    <x v="3"/>
    <x v="1"/>
    <x v="0"/>
    <x v="1"/>
    <x v="2"/>
    <s v="Medium"/>
    <x v="1"/>
    <x v="2"/>
    <x v="0"/>
    <x v="1"/>
  </r>
  <r>
    <n v="31"/>
    <x v="1"/>
    <s v="Travel_Rarely"/>
    <n v="1463"/>
    <x v="1"/>
    <n v="23"/>
    <n v="3"/>
    <s v="Medical"/>
    <n v="367"/>
    <n v="2"/>
    <x v="1"/>
    <n v="64"/>
    <n v="2"/>
    <n v="2"/>
    <x v="4"/>
    <n v="4"/>
    <x v="1"/>
    <n v="5582"/>
    <n v="0"/>
    <x v="1"/>
    <n v="21"/>
    <n v="4"/>
    <n v="2"/>
    <n v="1"/>
    <n v="10"/>
    <n v="2"/>
    <n v="3"/>
    <n v="9"/>
    <n v="0"/>
    <n v="7"/>
    <n v="8"/>
    <x v="1"/>
    <x v="1"/>
    <x v="3"/>
    <x v="0"/>
    <x v="1"/>
    <x v="0"/>
    <x v="0"/>
    <x v="2"/>
    <s v="Low"/>
    <x v="1"/>
    <x v="2"/>
    <x v="0"/>
    <x v="0"/>
  </r>
  <r>
    <n v="25"/>
    <x v="1"/>
    <s v="Non-Travel"/>
    <n v="675"/>
    <x v="1"/>
    <n v="5"/>
    <n v="2"/>
    <s v="Life Sciences"/>
    <n v="369"/>
    <n v="2"/>
    <x v="1"/>
    <n v="85"/>
    <n v="4"/>
    <n v="2"/>
    <x v="4"/>
    <n v="1"/>
    <x v="2"/>
    <n v="4000"/>
    <n v="1"/>
    <x v="1"/>
    <n v="12"/>
    <n v="3"/>
    <n v="4"/>
    <n v="2"/>
    <n v="6"/>
    <n v="2"/>
    <n v="3"/>
    <n v="6"/>
    <n v="3"/>
    <n v="1"/>
    <n v="5"/>
    <x v="1"/>
    <x v="1"/>
    <x v="0"/>
    <x v="0"/>
    <x v="2"/>
    <x v="0"/>
    <x v="3"/>
    <x v="1"/>
    <s v="Medium"/>
    <x v="1"/>
    <x v="2"/>
    <x v="0"/>
    <x v="0"/>
  </r>
  <r>
    <n v="45"/>
    <x v="1"/>
    <s v="Travel_Rarely"/>
    <n v="1385"/>
    <x v="1"/>
    <n v="20"/>
    <n v="2"/>
    <s v="Medical"/>
    <n v="372"/>
    <n v="3"/>
    <x v="1"/>
    <n v="79"/>
    <n v="3"/>
    <n v="4"/>
    <x v="4"/>
    <n v="4"/>
    <x v="1"/>
    <n v="13496"/>
    <n v="0"/>
    <x v="0"/>
    <n v="14"/>
    <n v="3"/>
    <n v="2"/>
    <n v="0"/>
    <n v="21"/>
    <n v="2"/>
    <n v="3"/>
    <n v="20"/>
    <n v="7"/>
    <n v="4"/>
    <n v="10"/>
    <x v="1"/>
    <x v="0"/>
    <x v="0"/>
    <x v="1"/>
    <x v="0"/>
    <x v="3"/>
    <x v="0"/>
    <x v="2"/>
    <s v="No Options"/>
    <x v="1"/>
    <x v="1"/>
    <x v="3"/>
    <x v="4"/>
  </r>
  <r>
    <n v="36"/>
    <x v="1"/>
    <s v="Travel_Rarely"/>
    <n v="1403"/>
    <x v="1"/>
    <n v="6"/>
    <n v="3"/>
    <s v="Life Sciences"/>
    <n v="373"/>
    <n v="4"/>
    <x v="1"/>
    <n v="47"/>
    <n v="3"/>
    <n v="1"/>
    <x v="2"/>
    <n v="4"/>
    <x v="1"/>
    <n v="3210"/>
    <n v="0"/>
    <x v="1"/>
    <n v="11"/>
    <n v="3"/>
    <n v="3"/>
    <n v="1"/>
    <n v="16"/>
    <n v="4"/>
    <n v="3"/>
    <n v="15"/>
    <n v="13"/>
    <n v="10"/>
    <n v="11"/>
    <x v="1"/>
    <x v="1"/>
    <x v="3"/>
    <x v="2"/>
    <x v="0"/>
    <x v="1"/>
    <x v="0"/>
    <x v="3"/>
    <s v="Low"/>
    <x v="1"/>
    <x v="0"/>
    <x v="0"/>
    <x v="4"/>
  </r>
  <r>
    <n v="55"/>
    <x v="1"/>
    <s v="Travel_Rarely"/>
    <n v="452"/>
    <x v="1"/>
    <n v="1"/>
    <n v="3"/>
    <s v="Medical"/>
    <n v="374"/>
    <n v="4"/>
    <x v="1"/>
    <n v="81"/>
    <n v="3"/>
    <n v="5"/>
    <x v="5"/>
    <n v="1"/>
    <x v="0"/>
    <n v="19045"/>
    <n v="0"/>
    <x v="0"/>
    <n v="14"/>
    <n v="3"/>
    <n v="3"/>
    <n v="0"/>
    <n v="37"/>
    <n v="2"/>
    <n v="3"/>
    <n v="36"/>
    <n v="10"/>
    <n v="4"/>
    <n v="13"/>
    <x v="1"/>
    <x v="0"/>
    <x v="3"/>
    <x v="2"/>
    <x v="0"/>
    <x v="4"/>
    <x v="3"/>
    <x v="3"/>
    <s v="No Options"/>
    <x v="1"/>
    <x v="3"/>
    <x v="3"/>
    <x v="3"/>
  </r>
  <r>
    <n v="47"/>
    <x v="0"/>
    <s v="Non-Travel"/>
    <n v="666"/>
    <x v="1"/>
    <n v="29"/>
    <n v="4"/>
    <s v="Life Sciences"/>
    <n v="376"/>
    <n v="1"/>
    <x v="1"/>
    <n v="88"/>
    <n v="3"/>
    <n v="3"/>
    <x v="5"/>
    <n v="2"/>
    <x v="1"/>
    <n v="11849"/>
    <n v="1"/>
    <x v="0"/>
    <n v="12"/>
    <n v="3"/>
    <n v="4"/>
    <n v="1"/>
    <n v="10"/>
    <n v="2"/>
    <n v="2"/>
    <n v="10"/>
    <n v="7"/>
    <n v="9"/>
    <n v="9"/>
    <x v="0"/>
    <x v="0"/>
    <x v="2"/>
    <x v="3"/>
    <x v="0"/>
    <x v="2"/>
    <x v="1"/>
    <x v="1"/>
    <s v="Low"/>
    <x v="2"/>
    <x v="1"/>
    <x v="2"/>
    <x v="0"/>
  </r>
  <r>
    <n v="28"/>
    <x v="1"/>
    <s v="Travel_Rarely"/>
    <n v="1158"/>
    <x v="1"/>
    <n v="9"/>
    <n v="3"/>
    <s v="Medical"/>
    <n v="377"/>
    <n v="4"/>
    <x v="1"/>
    <n v="94"/>
    <n v="3"/>
    <n v="1"/>
    <x v="1"/>
    <n v="4"/>
    <x v="1"/>
    <n v="2070"/>
    <n v="1"/>
    <x v="1"/>
    <n v="23"/>
    <n v="4"/>
    <n v="4"/>
    <n v="1"/>
    <n v="5"/>
    <n v="3"/>
    <n v="2"/>
    <n v="5"/>
    <n v="2"/>
    <n v="0"/>
    <n v="4"/>
    <x v="1"/>
    <x v="1"/>
    <x v="3"/>
    <x v="2"/>
    <x v="0"/>
    <x v="1"/>
    <x v="0"/>
    <x v="1"/>
    <s v="Low"/>
    <x v="2"/>
    <x v="2"/>
    <x v="1"/>
    <x v="2"/>
  </r>
  <r>
    <n v="37"/>
    <x v="1"/>
    <s v="Travel_Rarely"/>
    <n v="228"/>
    <x v="0"/>
    <n v="6"/>
    <n v="4"/>
    <s v="Medical"/>
    <n v="378"/>
    <n v="3"/>
    <x v="1"/>
    <n v="98"/>
    <n v="3"/>
    <n v="2"/>
    <x v="0"/>
    <n v="4"/>
    <x v="1"/>
    <n v="6502"/>
    <n v="4"/>
    <x v="1"/>
    <n v="14"/>
    <n v="3"/>
    <n v="2"/>
    <n v="1"/>
    <n v="7"/>
    <n v="5"/>
    <n v="4"/>
    <n v="5"/>
    <n v="4"/>
    <n v="0"/>
    <n v="1"/>
    <x v="1"/>
    <x v="1"/>
    <x v="2"/>
    <x v="1"/>
    <x v="0"/>
    <x v="0"/>
    <x v="0"/>
    <x v="2"/>
    <s v="Low"/>
    <x v="3"/>
    <x v="0"/>
    <x v="0"/>
    <x v="2"/>
  </r>
  <r>
    <n v="21"/>
    <x v="1"/>
    <s v="Travel_Rarely"/>
    <n v="996"/>
    <x v="1"/>
    <n v="3"/>
    <n v="2"/>
    <s v="Medical"/>
    <n v="379"/>
    <n v="4"/>
    <x v="1"/>
    <n v="100"/>
    <n v="2"/>
    <n v="1"/>
    <x v="1"/>
    <n v="3"/>
    <x v="0"/>
    <n v="3230"/>
    <n v="1"/>
    <x v="1"/>
    <n v="17"/>
    <n v="3"/>
    <n v="1"/>
    <n v="0"/>
    <n v="3"/>
    <n v="4"/>
    <n v="4"/>
    <n v="3"/>
    <n v="2"/>
    <n v="1"/>
    <n v="0"/>
    <x v="1"/>
    <x v="1"/>
    <x v="0"/>
    <x v="2"/>
    <x v="1"/>
    <x v="1"/>
    <x v="2"/>
    <x v="0"/>
    <s v="No Options"/>
    <x v="3"/>
    <x v="4"/>
    <x v="0"/>
    <x v="2"/>
  </r>
  <r>
    <n v="37"/>
    <x v="1"/>
    <s v="Non-Travel"/>
    <n v="728"/>
    <x v="1"/>
    <n v="1"/>
    <n v="4"/>
    <s v="Medical"/>
    <n v="380"/>
    <n v="1"/>
    <x v="0"/>
    <n v="80"/>
    <n v="3"/>
    <n v="3"/>
    <x v="7"/>
    <n v="4"/>
    <x v="2"/>
    <n v="13603"/>
    <n v="2"/>
    <x v="0"/>
    <n v="18"/>
    <n v="3"/>
    <n v="1"/>
    <n v="2"/>
    <n v="15"/>
    <n v="2"/>
    <n v="3"/>
    <n v="5"/>
    <n v="2"/>
    <n v="0"/>
    <n v="2"/>
    <x v="1"/>
    <x v="0"/>
    <x v="2"/>
    <x v="3"/>
    <x v="0"/>
    <x v="2"/>
    <x v="0"/>
    <x v="0"/>
    <s v="Medium"/>
    <x v="1"/>
    <x v="0"/>
    <x v="3"/>
    <x v="2"/>
  </r>
  <r>
    <n v="35"/>
    <x v="1"/>
    <s v="Travel_Rarely"/>
    <n v="1315"/>
    <x v="1"/>
    <n v="22"/>
    <n v="3"/>
    <s v="Life Sciences"/>
    <n v="381"/>
    <n v="2"/>
    <x v="0"/>
    <n v="71"/>
    <n v="4"/>
    <n v="3"/>
    <x v="5"/>
    <n v="2"/>
    <x v="2"/>
    <n v="11996"/>
    <n v="7"/>
    <x v="1"/>
    <n v="18"/>
    <n v="3"/>
    <n v="2"/>
    <n v="1"/>
    <n v="10"/>
    <n v="6"/>
    <n v="2"/>
    <n v="7"/>
    <n v="7"/>
    <n v="6"/>
    <n v="2"/>
    <x v="1"/>
    <x v="1"/>
    <x v="3"/>
    <x v="0"/>
    <x v="2"/>
    <x v="2"/>
    <x v="1"/>
    <x v="2"/>
    <s v="Low"/>
    <x v="2"/>
    <x v="0"/>
    <x v="2"/>
    <x v="0"/>
  </r>
  <r>
    <n v="38"/>
    <x v="1"/>
    <s v="Travel_Rarely"/>
    <n v="322"/>
    <x v="0"/>
    <n v="7"/>
    <n v="2"/>
    <s v="Medical"/>
    <n v="382"/>
    <n v="1"/>
    <x v="0"/>
    <n v="44"/>
    <n v="4"/>
    <n v="2"/>
    <x v="0"/>
    <n v="1"/>
    <x v="2"/>
    <n v="5605"/>
    <n v="1"/>
    <x v="0"/>
    <n v="24"/>
    <n v="4"/>
    <n v="3"/>
    <n v="1"/>
    <n v="8"/>
    <n v="3"/>
    <n v="3"/>
    <n v="8"/>
    <n v="0"/>
    <n v="7"/>
    <n v="7"/>
    <x v="1"/>
    <x v="0"/>
    <x v="0"/>
    <x v="3"/>
    <x v="2"/>
    <x v="0"/>
    <x v="3"/>
    <x v="3"/>
    <s v="Low"/>
    <x v="1"/>
    <x v="0"/>
    <x v="0"/>
    <x v="0"/>
  </r>
  <r>
    <n v="26"/>
    <x v="1"/>
    <s v="Travel_Frequently"/>
    <n v="1479"/>
    <x v="1"/>
    <n v="1"/>
    <n v="3"/>
    <s v="Life Sciences"/>
    <n v="384"/>
    <n v="3"/>
    <x v="0"/>
    <n v="84"/>
    <n v="3"/>
    <n v="2"/>
    <x v="3"/>
    <n v="2"/>
    <x v="2"/>
    <n v="6397"/>
    <n v="1"/>
    <x v="1"/>
    <n v="20"/>
    <n v="4"/>
    <n v="1"/>
    <n v="1"/>
    <n v="6"/>
    <n v="6"/>
    <n v="1"/>
    <n v="6"/>
    <n v="5"/>
    <n v="1"/>
    <n v="4"/>
    <x v="1"/>
    <x v="1"/>
    <x v="3"/>
    <x v="1"/>
    <x v="0"/>
    <x v="0"/>
    <x v="1"/>
    <x v="0"/>
    <s v="Low"/>
    <x v="0"/>
    <x v="2"/>
    <x v="0"/>
    <x v="0"/>
  </r>
  <r>
    <n v="50"/>
    <x v="1"/>
    <s v="Travel_Rarely"/>
    <n v="797"/>
    <x v="1"/>
    <n v="4"/>
    <n v="1"/>
    <s v="Life Sciences"/>
    <n v="385"/>
    <n v="1"/>
    <x v="1"/>
    <n v="96"/>
    <n v="3"/>
    <n v="5"/>
    <x v="7"/>
    <n v="2"/>
    <x v="2"/>
    <n v="19144"/>
    <n v="3"/>
    <x v="1"/>
    <n v="14"/>
    <n v="3"/>
    <n v="1"/>
    <n v="2"/>
    <n v="28"/>
    <n v="4"/>
    <n v="2"/>
    <n v="10"/>
    <n v="4"/>
    <n v="1"/>
    <n v="6"/>
    <x v="1"/>
    <x v="1"/>
    <x v="1"/>
    <x v="3"/>
    <x v="0"/>
    <x v="4"/>
    <x v="1"/>
    <x v="0"/>
    <s v="Medium"/>
    <x v="2"/>
    <x v="1"/>
    <x v="3"/>
    <x v="0"/>
  </r>
  <r>
    <n v="53"/>
    <x v="1"/>
    <s v="Travel_Rarely"/>
    <n v="1070"/>
    <x v="1"/>
    <n v="3"/>
    <n v="4"/>
    <s v="Medical"/>
    <n v="386"/>
    <n v="3"/>
    <x v="1"/>
    <n v="45"/>
    <n v="3"/>
    <n v="4"/>
    <x v="7"/>
    <n v="3"/>
    <x v="1"/>
    <n v="17584"/>
    <n v="3"/>
    <x v="0"/>
    <n v="16"/>
    <n v="3"/>
    <n v="4"/>
    <n v="3"/>
    <n v="21"/>
    <n v="5"/>
    <n v="2"/>
    <n v="5"/>
    <n v="3"/>
    <n v="1"/>
    <n v="3"/>
    <x v="1"/>
    <x v="0"/>
    <x v="2"/>
    <x v="1"/>
    <x v="0"/>
    <x v="3"/>
    <x v="2"/>
    <x v="1"/>
    <s v="High"/>
    <x v="2"/>
    <x v="1"/>
    <x v="3"/>
    <x v="2"/>
  </r>
  <r>
    <n v="42"/>
    <x v="1"/>
    <s v="Travel_Rarely"/>
    <n v="635"/>
    <x v="0"/>
    <n v="1"/>
    <n v="1"/>
    <s v="Life Sciences"/>
    <n v="387"/>
    <n v="2"/>
    <x v="1"/>
    <n v="99"/>
    <n v="3"/>
    <n v="2"/>
    <x v="0"/>
    <n v="3"/>
    <x v="1"/>
    <n v="4907"/>
    <n v="1"/>
    <x v="1"/>
    <n v="25"/>
    <n v="4"/>
    <n v="3"/>
    <n v="0"/>
    <n v="20"/>
    <n v="3"/>
    <n v="3"/>
    <n v="20"/>
    <n v="16"/>
    <n v="11"/>
    <n v="6"/>
    <x v="1"/>
    <x v="1"/>
    <x v="1"/>
    <x v="0"/>
    <x v="0"/>
    <x v="0"/>
    <x v="2"/>
    <x v="3"/>
    <s v="No Options"/>
    <x v="1"/>
    <x v="0"/>
    <x v="0"/>
    <x v="4"/>
  </r>
  <r>
    <n v="29"/>
    <x v="1"/>
    <s v="Travel_Frequently"/>
    <n v="442"/>
    <x v="0"/>
    <n v="2"/>
    <n v="2"/>
    <s v="Life Sciences"/>
    <n v="388"/>
    <n v="2"/>
    <x v="1"/>
    <n v="44"/>
    <n v="3"/>
    <n v="2"/>
    <x v="0"/>
    <n v="4"/>
    <x v="0"/>
    <n v="4554"/>
    <n v="1"/>
    <x v="1"/>
    <n v="18"/>
    <n v="3"/>
    <n v="1"/>
    <n v="0"/>
    <n v="10"/>
    <n v="3"/>
    <n v="2"/>
    <n v="10"/>
    <n v="7"/>
    <n v="0"/>
    <n v="9"/>
    <x v="1"/>
    <x v="1"/>
    <x v="0"/>
    <x v="0"/>
    <x v="0"/>
    <x v="0"/>
    <x v="0"/>
    <x v="0"/>
    <s v="No Options"/>
    <x v="2"/>
    <x v="2"/>
    <x v="0"/>
    <x v="0"/>
  </r>
  <r>
    <n v="55"/>
    <x v="1"/>
    <s v="Travel_Rarely"/>
    <n v="147"/>
    <x v="1"/>
    <n v="20"/>
    <n v="2"/>
    <s v="Technical Degree"/>
    <n v="389"/>
    <n v="2"/>
    <x v="1"/>
    <n v="37"/>
    <n v="3"/>
    <n v="2"/>
    <x v="2"/>
    <n v="4"/>
    <x v="1"/>
    <n v="5415"/>
    <n v="3"/>
    <x v="0"/>
    <n v="19"/>
    <n v="3"/>
    <n v="4"/>
    <n v="1"/>
    <n v="12"/>
    <n v="4"/>
    <n v="3"/>
    <n v="10"/>
    <n v="7"/>
    <n v="0"/>
    <n v="8"/>
    <x v="1"/>
    <x v="0"/>
    <x v="0"/>
    <x v="0"/>
    <x v="0"/>
    <x v="0"/>
    <x v="0"/>
    <x v="1"/>
    <s v="Low"/>
    <x v="1"/>
    <x v="3"/>
    <x v="0"/>
    <x v="0"/>
  </r>
  <r>
    <n v="26"/>
    <x v="1"/>
    <s v="Travel_Frequently"/>
    <n v="496"/>
    <x v="1"/>
    <n v="11"/>
    <n v="2"/>
    <s v="Medical"/>
    <n v="390"/>
    <n v="1"/>
    <x v="1"/>
    <n v="60"/>
    <n v="3"/>
    <n v="2"/>
    <x v="4"/>
    <n v="1"/>
    <x v="1"/>
    <n v="4741"/>
    <n v="1"/>
    <x v="0"/>
    <n v="13"/>
    <n v="3"/>
    <n v="3"/>
    <n v="1"/>
    <n v="5"/>
    <n v="3"/>
    <n v="3"/>
    <n v="5"/>
    <n v="3"/>
    <n v="3"/>
    <n v="3"/>
    <x v="1"/>
    <x v="0"/>
    <x v="0"/>
    <x v="3"/>
    <x v="0"/>
    <x v="0"/>
    <x v="3"/>
    <x v="3"/>
    <s v="Low"/>
    <x v="1"/>
    <x v="2"/>
    <x v="0"/>
    <x v="2"/>
  </r>
  <r>
    <n v="37"/>
    <x v="1"/>
    <s v="Travel_Rarely"/>
    <n v="1372"/>
    <x v="1"/>
    <n v="1"/>
    <n v="3"/>
    <s v="Life Sciences"/>
    <n v="391"/>
    <n v="4"/>
    <x v="0"/>
    <n v="42"/>
    <n v="3"/>
    <n v="1"/>
    <x v="1"/>
    <n v="4"/>
    <x v="0"/>
    <n v="2115"/>
    <n v="1"/>
    <x v="1"/>
    <n v="12"/>
    <n v="3"/>
    <n v="2"/>
    <n v="0"/>
    <n v="17"/>
    <n v="3"/>
    <n v="3"/>
    <n v="17"/>
    <n v="12"/>
    <n v="5"/>
    <n v="7"/>
    <x v="1"/>
    <x v="1"/>
    <x v="3"/>
    <x v="2"/>
    <x v="0"/>
    <x v="1"/>
    <x v="0"/>
    <x v="2"/>
    <s v="No Options"/>
    <x v="1"/>
    <x v="0"/>
    <x v="1"/>
    <x v="4"/>
  </r>
  <r>
    <n v="44"/>
    <x v="0"/>
    <s v="Travel_Frequently"/>
    <n v="920"/>
    <x v="1"/>
    <n v="24"/>
    <n v="3"/>
    <s v="Life Sciences"/>
    <n v="392"/>
    <n v="4"/>
    <x v="1"/>
    <n v="43"/>
    <n v="3"/>
    <n v="1"/>
    <x v="2"/>
    <n v="3"/>
    <x v="2"/>
    <n v="3161"/>
    <n v="3"/>
    <x v="0"/>
    <n v="22"/>
    <n v="4"/>
    <n v="4"/>
    <n v="1"/>
    <n v="19"/>
    <n v="0"/>
    <n v="1"/>
    <n v="1"/>
    <n v="0"/>
    <n v="0"/>
    <n v="0"/>
    <x v="0"/>
    <x v="0"/>
    <x v="3"/>
    <x v="2"/>
    <x v="0"/>
    <x v="1"/>
    <x v="2"/>
    <x v="1"/>
    <s v="Low"/>
    <x v="0"/>
    <x v="0"/>
    <x v="0"/>
    <x v="1"/>
  </r>
  <r>
    <n v="38"/>
    <x v="1"/>
    <s v="Travel_Rarely"/>
    <n v="688"/>
    <x v="1"/>
    <n v="23"/>
    <n v="4"/>
    <s v="Life Sciences"/>
    <n v="393"/>
    <n v="4"/>
    <x v="1"/>
    <n v="82"/>
    <n v="3"/>
    <n v="2"/>
    <x v="4"/>
    <n v="4"/>
    <x v="2"/>
    <n v="5745"/>
    <n v="9"/>
    <x v="1"/>
    <n v="14"/>
    <n v="3"/>
    <n v="2"/>
    <n v="1"/>
    <n v="10"/>
    <n v="2"/>
    <n v="3"/>
    <n v="2"/>
    <n v="2"/>
    <n v="1"/>
    <n v="2"/>
    <x v="1"/>
    <x v="1"/>
    <x v="2"/>
    <x v="2"/>
    <x v="0"/>
    <x v="0"/>
    <x v="0"/>
    <x v="2"/>
    <s v="Low"/>
    <x v="1"/>
    <x v="0"/>
    <x v="0"/>
    <x v="1"/>
  </r>
  <r>
    <n v="26"/>
    <x v="0"/>
    <s v="Travel_Rarely"/>
    <n v="1449"/>
    <x v="1"/>
    <n v="16"/>
    <n v="4"/>
    <s v="Medical"/>
    <n v="394"/>
    <n v="1"/>
    <x v="1"/>
    <n v="45"/>
    <n v="3"/>
    <n v="1"/>
    <x v="2"/>
    <n v="2"/>
    <x v="2"/>
    <n v="2373"/>
    <n v="2"/>
    <x v="0"/>
    <n v="13"/>
    <n v="3"/>
    <n v="4"/>
    <n v="1"/>
    <n v="5"/>
    <n v="2"/>
    <n v="3"/>
    <n v="3"/>
    <n v="2"/>
    <n v="0"/>
    <n v="2"/>
    <x v="0"/>
    <x v="0"/>
    <x v="2"/>
    <x v="3"/>
    <x v="0"/>
    <x v="1"/>
    <x v="1"/>
    <x v="1"/>
    <s v="Low"/>
    <x v="1"/>
    <x v="2"/>
    <x v="1"/>
    <x v="2"/>
  </r>
  <r>
    <n v="28"/>
    <x v="1"/>
    <s v="Travel_Rarely"/>
    <n v="1117"/>
    <x v="1"/>
    <n v="8"/>
    <n v="2"/>
    <s v="Life Sciences"/>
    <n v="395"/>
    <n v="4"/>
    <x v="0"/>
    <n v="66"/>
    <n v="3"/>
    <n v="1"/>
    <x v="1"/>
    <n v="4"/>
    <x v="0"/>
    <n v="3310"/>
    <n v="1"/>
    <x v="1"/>
    <n v="21"/>
    <n v="4"/>
    <n v="4"/>
    <n v="0"/>
    <n v="5"/>
    <n v="3"/>
    <n v="3"/>
    <n v="5"/>
    <n v="3"/>
    <n v="0"/>
    <n v="2"/>
    <x v="1"/>
    <x v="1"/>
    <x v="0"/>
    <x v="2"/>
    <x v="0"/>
    <x v="1"/>
    <x v="0"/>
    <x v="1"/>
    <s v="No Options"/>
    <x v="1"/>
    <x v="2"/>
    <x v="0"/>
    <x v="2"/>
  </r>
  <r>
    <n v="49"/>
    <x v="1"/>
    <s v="Travel_Frequently"/>
    <n v="636"/>
    <x v="1"/>
    <n v="10"/>
    <n v="4"/>
    <s v="Life Sciences"/>
    <n v="396"/>
    <n v="3"/>
    <x v="0"/>
    <n v="35"/>
    <n v="3"/>
    <n v="5"/>
    <x v="7"/>
    <n v="1"/>
    <x v="0"/>
    <n v="18665"/>
    <n v="9"/>
    <x v="0"/>
    <n v="11"/>
    <n v="3"/>
    <n v="4"/>
    <n v="0"/>
    <n v="22"/>
    <n v="4"/>
    <n v="3"/>
    <n v="3"/>
    <n v="2"/>
    <n v="1"/>
    <n v="2"/>
    <x v="1"/>
    <x v="0"/>
    <x v="2"/>
    <x v="1"/>
    <x v="0"/>
    <x v="4"/>
    <x v="3"/>
    <x v="1"/>
    <s v="No Options"/>
    <x v="1"/>
    <x v="1"/>
    <x v="3"/>
    <x v="2"/>
  </r>
  <r>
    <n v="36"/>
    <x v="1"/>
    <s v="Travel_Rarely"/>
    <n v="506"/>
    <x v="1"/>
    <n v="3"/>
    <n v="3"/>
    <s v="Technical Degree"/>
    <n v="397"/>
    <n v="3"/>
    <x v="1"/>
    <n v="30"/>
    <n v="3"/>
    <n v="2"/>
    <x v="1"/>
    <n v="2"/>
    <x v="0"/>
    <n v="4485"/>
    <n v="4"/>
    <x v="1"/>
    <n v="12"/>
    <n v="3"/>
    <n v="4"/>
    <n v="0"/>
    <n v="10"/>
    <n v="2"/>
    <n v="3"/>
    <n v="8"/>
    <n v="0"/>
    <n v="7"/>
    <n v="7"/>
    <x v="1"/>
    <x v="1"/>
    <x v="3"/>
    <x v="1"/>
    <x v="0"/>
    <x v="0"/>
    <x v="1"/>
    <x v="1"/>
    <s v="No Options"/>
    <x v="1"/>
    <x v="0"/>
    <x v="0"/>
    <x v="0"/>
  </r>
  <r>
    <n v="31"/>
    <x v="1"/>
    <s v="Travel_Frequently"/>
    <n v="444"/>
    <x v="0"/>
    <n v="5"/>
    <n v="3"/>
    <s v="Marketing"/>
    <n v="399"/>
    <n v="4"/>
    <x v="0"/>
    <n v="84"/>
    <n v="3"/>
    <n v="1"/>
    <x v="6"/>
    <n v="2"/>
    <x v="2"/>
    <n v="2789"/>
    <n v="1"/>
    <x v="1"/>
    <n v="11"/>
    <n v="3"/>
    <n v="3"/>
    <n v="1"/>
    <n v="2"/>
    <n v="5"/>
    <n v="2"/>
    <n v="2"/>
    <n v="2"/>
    <n v="2"/>
    <n v="2"/>
    <x v="1"/>
    <x v="1"/>
    <x v="3"/>
    <x v="2"/>
    <x v="0"/>
    <x v="1"/>
    <x v="1"/>
    <x v="3"/>
    <s v="Low"/>
    <x v="2"/>
    <x v="2"/>
    <x v="1"/>
    <x v="1"/>
  </r>
  <r>
    <n v="26"/>
    <x v="0"/>
    <s v="Travel_Rarely"/>
    <n v="950"/>
    <x v="0"/>
    <n v="4"/>
    <n v="4"/>
    <s v="Marketing"/>
    <n v="401"/>
    <n v="4"/>
    <x v="1"/>
    <n v="48"/>
    <n v="2"/>
    <n v="2"/>
    <x v="0"/>
    <n v="4"/>
    <x v="0"/>
    <n v="5828"/>
    <n v="1"/>
    <x v="0"/>
    <n v="12"/>
    <n v="3"/>
    <n v="2"/>
    <n v="0"/>
    <n v="8"/>
    <n v="0"/>
    <n v="3"/>
    <n v="8"/>
    <n v="7"/>
    <n v="7"/>
    <n v="4"/>
    <x v="0"/>
    <x v="0"/>
    <x v="2"/>
    <x v="2"/>
    <x v="1"/>
    <x v="0"/>
    <x v="0"/>
    <x v="2"/>
    <s v="No Options"/>
    <x v="1"/>
    <x v="2"/>
    <x v="0"/>
    <x v="0"/>
  </r>
  <r>
    <n v="37"/>
    <x v="1"/>
    <s v="Travel_Frequently"/>
    <n v="889"/>
    <x v="1"/>
    <n v="9"/>
    <n v="3"/>
    <s v="Medical"/>
    <n v="403"/>
    <n v="2"/>
    <x v="1"/>
    <n v="53"/>
    <n v="3"/>
    <n v="1"/>
    <x v="1"/>
    <n v="4"/>
    <x v="1"/>
    <n v="2326"/>
    <n v="1"/>
    <x v="0"/>
    <n v="12"/>
    <n v="3"/>
    <n v="3"/>
    <n v="3"/>
    <n v="4"/>
    <n v="3"/>
    <n v="2"/>
    <n v="4"/>
    <n v="2"/>
    <n v="1"/>
    <n v="2"/>
    <x v="1"/>
    <x v="0"/>
    <x v="3"/>
    <x v="0"/>
    <x v="0"/>
    <x v="1"/>
    <x v="0"/>
    <x v="3"/>
    <s v="High"/>
    <x v="2"/>
    <x v="0"/>
    <x v="1"/>
    <x v="2"/>
  </r>
  <r>
    <n v="42"/>
    <x v="1"/>
    <s v="Travel_Frequently"/>
    <n v="555"/>
    <x v="0"/>
    <n v="26"/>
    <n v="3"/>
    <s v="Marketing"/>
    <n v="404"/>
    <n v="3"/>
    <x v="0"/>
    <n v="77"/>
    <n v="3"/>
    <n v="4"/>
    <x v="0"/>
    <n v="2"/>
    <x v="1"/>
    <n v="13525"/>
    <n v="5"/>
    <x v="1"/>
    <n v="14"/>
    <n v="3"/>
    <n v="4"/>
    <n v="1"/>
    <n v="23"/>
    <n v="2"/>
    <n v="4"/>
    <n v="20"/>
    <n v="4"/>
    <n v="4"/>
    <n v="8"/>
    <x v="1"/>
    <x v="1"/>
    <x v="3"/>
    <x v="1"/>
    <x v="0"/>
    <x v="3"/>
    <x v="1"/>
    <x v="1"/>
    <s v="Low"/>
    <x v="3"/>
    <x v="0"/>
    <x v="3"/>
    <x v="4"/>
  </r>
  <r>
    <n v="18"/>
    <x v="0"/>
    <s v="Travel_Rarely"/>
    <n v="230"/>
    <x v="1"/>
    <n v="3"/>
    <n v="3"/>
    <s v="Life Sciences"/>
    <n v="405"/>
    <n v="3"/>
    <x v="1"/>
    <n v="54"/>
    <n v="3"/>
    <n v="1"/>
    <x v="2"/>
    <n v="3"/>
    <x v="0"/>
    <n v="1420"/>
    <n v="1"/>
    <x v="1"/>
    <n v="13"/>
    <n v="3"/>
    <n v="3"/>
    <n v="0"/>
    <n v="0"/>
    <n v="2"/>
    <n v="3"/>
    <n v="0"/>
    <n v="0"/>
    <n v="0"/>
    <n v="0"/>
    <x v="0"/>
    <x v="1"/>
    <x v="3"/>
    <x v="1"/>
    <x v="0"/>
    <x v="1"/>
    <x v="2"/>
    <x v="3"/>
    <s v="No Options"/>
    <x v="1"/>
    <x v="4"/>
    <x v="1"/>
    <x v="1"/>
  </r>
  <r>
    <n v="35"/>
    <x v="1"/>
    <s v="Travel_Rarely"/>
    <n v="1232"/>
    <x v="0"/>
    <n v="16"/>
    <n v="3"/>
    <s v="Marketing"/>
    <n v="406"/>
    <n v="3"/>
    <x v="1"/>
    <n v="96"/>
    <n v="3"/>
    <n v="3"/>
    <x v="0"/>
    <n v="2"/>
    <x v="1"/>
    <n v="8020"/>
    <n v="0"/>
    <x v="1"/>
    <n v="15"/>
    <n v="3"/>
    <n v="3"/>
    <n v="2"/>
    <n v="12"/>
    <n v="3"/>
    <n v="2"/>
    <n v="11"/>
    <n v="9"/>
    <n v="6"/>
    <n v="9"/>
    <x v="1"/>
    <x v="1"/>
    <x v="3"/>
    <x v="1"/>
    <x v="0"/>
    <x v="2"/>
    <x v="1"/>
    <x v="3"/>
    <s v="Medium"/>
    <x v="2"/>
    <x v="0"/>
    <x v="2"/>
    <x v="4"/>
  </r>
  <r>
    <n v="36"/>
    <x v="1"/>
    <s v="Travel_Frequently"/>
    <n v="566"/>
    <x v="1"/>
    <n v="18"/>
    <n v="4"/>
    <s v="Life Sciences"/>
    <n v="407"/>
    <n v="3"/>
    <x v="1"/>
    <n v="81"/>
    <n v="4"/>
    <n v="1"/>
    <x v="2"/>
    <n v="4"/>
    <x v="1"/>
    <n v="3688"/>
    <n v="4"/>
    <x v="1"/>
    <n v="18"/>
    <n v="3"/>
    <n v="4"/>
    <n v="2"/>
    <n v="4"/>
    <n v="2"/>
    <n v="3"/>
    <n v="1"/>
    <n v="0"/>
    <n v="0"/>
    <n v="0"/>
    <x v="1"/>
    <x v="1"/>
    <x v="2"/>
    <x v="1"/>
    <x v="2"/>
    <x v="1"/>
    <x v="0"/>
    <x v="1"/>
    <s v="Medium"/>
    <x v="1"/>
    <x v="0"/>
    <x v="0"/>
    <x v="1"/>
  </r>
  <r>
    <n v="51"/>
    <x v="1"/>
    <s v="Travel_Rarely"/>
    <n v="1302"/>
    <x v="1"/>
    <n v="2"/>
    <n v="3"/>
    <s v="Medical"/>
    <n v="408"/>
    <n v="4"/>
    <x v="1"/>
    <n v="84"/>
    <n v="1"/>
    <n v="2"/>
    <x v="3"/>
    <n v="2"/>
    <x v="2"/>
    <n v="5482"/>
    <n v="5"/>
    <x v="1"/>
    <n v="18"/>
    <n v="3"/>
    <n v="4"/>
    <n v="1"/>
    <n v="13"/>
    <n v="3"/>
    <n v="3"/>
    <n v="4"/>
    <n v="1"/>
    <n v="1"/>
    <n v="2"/>
    <x v="1"/>
    <x v="1"/>
    <x v="3"/>
    <x v="2"/>
    <x v="3"/>
    <x v="0"/>
    <x v="1"/>
    <x v="1"/>
    <s v="Low"/>
    <x v="1"/>
    <x v="1"/>
    <x v="0"/>
    <x v="2"/>
  </r>
  <r>
    <n v="41"/>
    <x v="1"/>
    <s v="Travel_Rarely"/>
    <n v="334"/>
    <x v="0"/>
    <n v="2"/>
    <n v="4"/>
    <s v="Life Sciences"/>
    <n v="410"/>
    <n v="4"/>
    <x v="1"/>
    <n v="88"/>
    <n v="3"/>
    <n v="4"/>
    <x v="5"/>
    <n v="2"/>
    <x v="0"/>
    <n v="16015"/>
    <n v="1"/>
    <x v="1"/>
    <n v="19"/>
    <n v="3"/>
    <n v="2"/>
    <n v="0"/>
    <n v="22"/>
    <n v="2"/>
    <n v="3"/>
    <n v="22"/>
    <n v="10"/>
    <n v="0"/>
    <n v="4"/>
    <x v="1"/>
    <x v="1"/>
    <x v="2"/>
    <x v="2"/>
    <x v="0"/>
    <x v="3"/>
    <x v="1"/>
    <x v="2"/>
    <s v="No Options"/>
    <x v="1"/>
    <x v="0"/>
    <x v="3"/>
    <x v="3"/>
  </r>
  <r>
    <n v="18"/>
    <x v="1"/>
    <s v="Travel_Rarely"/>
    <n v="812"/>
    <x v="0"/>
    <n v="10"/>
    <n v="3"/>
    <s v="Medical"/>
    <n v="411"/>
    <n v="4"/>
    <x v="0"/>
    <n v="69"/>
    <n v="2"/>
    <n v="1"/>
    <x v="6"/>
    <n v="3"/>
    <x v="0"/>
    <n v="1200"/>
    <n v="1"/>
    <x v="1"/>
    <n v="12"/>
    <n v="3"/>
    <n v="1"/>
    <n v="0"/>
    <n v="0"/>
    <n v="2"/>
    <n v="3"/>
    <n v="0"/>
    <n v="0"/>
    <n v="0"/>
    <n v="0"/>
    <x v="1"/>
    <x v="1"/>
    <x v="3"/>
    <x v="2"/>
    <x v="1"/>
    <x v="1"/>
    <x v="2"/>
    <x v="0"/>
    <s v="No Options"/>
    <x v="1"/>
    <x v="4"/>
    <x v="1"/>
    <x v="1"/>
  </r>
  <r>
    <n v="28"/>
    <x v="1"/>
    <s v="Travel_Rarely"/>
    <n v="1476"/>
    <x v="1"/>
    <n v="16"/>
    <n v="2"/>
    <s v="Medical"/>
    <n v="412"/>
    <n v="2"/>
    <x v="1"/>
    <n v="68"/>
    <n v="4"/>
    <n v="2"/>
    <x v="4"/>
    <n v="1"/>
    <x v="0"/>
    <n v="5661"/>
    <n v="0"/>
    <x v="1"/>
    <n v="19"/>
    <n v="3"/>
    <n v="3"/>
    <n v="0"/>
    <n v="9"/>
    <n v="2"/>
    <n v="3"/>
    <n v="8"/>
    <n v="3"/>
    <n v="0"/>
    <n v="7"/>
    <x v="1"/>
    <x v="1"/>
    <x v="0"/>
    <x v="0"/>
    <x v="2"/>
    <x v="0"/>
    <x v="3"/>
    <x v="3"/>
    <s v="No Options"/>
    <x v="1"/>
    <x v="2"/>
    <x v="0"/>
    <x v="0"/>
  </r>
  <r>
    <n v="31"/>
    <x v="1"/>
    <s v="Travel_Rarely"/>
    <n v="218"/>
    <x v="0"/>
    <n v="7"/>
    <n v="3"/>
    <s v="Technical Degree"/>
    <n v="416"/>
    <n v="2"/>
    <x v="1"/>
    <n v="100"/>
    <n v="4"/>
    <n v="2"/>
    <x v="0"/>
    <n v="4"/>
    <x v="1"/>
    <n v="6929"/>
    <n v="4"/>
    <x v="1"/>
    <n v="11"/>
    <n v="3"/>
    <n v="2"/>
    <n v="1"/>
    <n v="10"/>
    <n v="3"/>
    <n v="2"/>
    <n v="8"/>
    <n v="7"/>
    <n v="7"/>
    <n v="7"/>
    <x v="1"/>
    <x v="1"/>
    <x v="3"/>
    <x v="0"/>
    <x v="2"/>
    <x v="0"/>
    <x v="0"/>
    <x v="2"/>
    <s v="Low"/>
    <x v="2"/>
    <x v="2"/>
    <x v="0"/>
    <x v="0"/>
  </r>
  <r>
    <n v="39"/>
    <x v="1"/>
    <s v="Travel_Rarely"/>
    <n v="1132"/>
    <x v="1"/>
    <n v="1"/>
    <n v="3"/>
    <s v="Medical"/>
    <n v="417"/>
    <n v="3"/>
    <x v="1"/>
    <n v="48"/>
    <n v="4"/>
    <n v="3"/>
    <x v="4"/>
    <n v="4"/>
    <x v="2"/>
    <n v="9613"/>
    <n v="0"/>
    <x v="1"/>
    <n v="17"/>
    <n v="3"/>
    <n v="1"/>
    <n v="3"/>
    <n v="19"/>
    <n v="5"/>
    <n v="2"/>
    <n v="18"/>
    <n v="10"/>
    <n v="3"/>
    <n v="7"/>
    <x v="1"/>
    <x v="1"/>
    <x v="3"/>
    <x v="1"/>
    <x v="2"/>
    <x v="2"/>
    <x v="0"/>
    <x v="0"/>
    <s v="High"/>
    <x v="2"/>
    <x v="0"/>
    <x v="2"/>
    <x v="4"/>
  </r>
  <r>
    <n v="36"/>
    <x v="1"/>
    <s v="Non-Travel"/>
    <n v="1105"/>
    <x v="1"/>
    <n v="24"/>
    <n v="4"/>
    <s v="Life Sciences"/>
    <n v="419"/>
    <n v="2"/>
    <x v="0"/>
    <n v="47"/>
    <n v="3"/>
    <n v="2"/>
    <x v="2"/>
    <n v="2"/>
    <x v="1"/>
    <n v="5674"/>
    <n v="7"/>
    <x v="1"/>
    <n v="15"/>
    <n v="3"/>
    <n v="3"/>
    <n v="1"/>
    <n v="11"/>
    <n v="3"/>
    <n v="3"/>
    <n v="9"/>
    <n v="8"/>
    <n v="0"/>
    <n v="8"/>
    <x v="1"/>
    <x v="1"/>
    <x v="2"/>
    <x v="0"/>
    <x v="0"/>
    <x v="0"/>
    <x v="1"/>
    <x v="3"/>
    <s v="Low"/>
    <x v="1"/>
    <x v="0"/>
    <x v="0"/>
    <x v="0"/>
  </r>
  <r>
    <n v="32"/>
    <x v="1"/>
    <s v="Travel_Rarely"/>
    <n v="906"/>
    <x v="0"/>
    <n v="7"/>
    <n v="3"/>
    <s v="Life Sciences"/>
    <n v="420"/>
    <n v="4"/>
    <x v="1"/>
    <n v="91"/>
    <n v="2"/>
    <n v="2"/>
    <x v="0"/>
    <n v="3"/>
    <x v="1"/>
    <n v="5484"/>
    <n v="1"/>
    <x v="1"/>
    <n v="14"/>
    <n v="3"/>
    <n v="3"/>
    <n v="1"/>
    <n v="13"/>
    <n v="3"/>
    <n v="2"/>
    <n v="13"/>
    <n v="8"/>
    <n v="4"/>
    <n v="8"/>
    <x v="1"/>
    <x v="1"/>
    <x v="3"/>
    <x v="2"/>
    <x v="1"/>
    <x v="0"/>
    <x v="2"/>
    <x v="3"/>
    <s v="Low"/>
    <x v="2"/>
    <x v="2"/>
    <x v="0"/>
    <x v="4"/>
  </r>
  <r>
    <n v="38"/>
    <x v="1"/>
    <s v="Travel_Rarely"/>
    <n v="849"/>
    <x v="1"/>
    <n v="25"/>
    <n v="2"/>
    <s v="Life Sciences"/>
    <n v="421"/>
    <n v="1"/>
    <x v="0"/>
    <n v="81"/>
    <n v="2"/>
    <n v="3"/>
    <x v="7"/>
    <n v="2"/>
    <x v="1"/>
    <n v="12061"/>
    <n v="3"/>
    <x v="1"/>
    <n v="17"/>
    <n v="3"/>
    <n v="3"/>
    <n v="1"/>
    <n v="19"/>
    <n v="2"/>
    <n v="3"/>
    <n v="10"/>
    <n v="8"/>
    <n v="0"/>
    <n v="1"/>
    <x v="1"/>
    <x v="1"/>
    <x v="0"/>
    <x v="3"/>
    <x v="1"/>
    <x v="2"/>
    <x v="1"/>
    <x v="3"/>
    <s v="Low"/>
    <x v="1"/>
    <x v="0"/>
    <x v="2"/>
    <x v="0"/>
  </r>
  <r>
    <n v="58"/>
    <x v="1"/>
    <s v="Non-Travel"/>
    <n v="390"/>
    <x v="1"/>
    <n v="1"/>
    <n v="4"/>
    <s v="Life Sciences"/>
    <n v="422"/>
    <n v="4"/>
    <x v="1"/>
    <n v="32"/>
    <n v="1"/>
    <n v="2"/>
    <x v="4"/>
    <n v="3"/>
    <x v="2"/>
    <n v="5660"/>
    <n v="2"/>
    <x v="0"/>
    <n v="13"/>
    <n v="3"/>
    <n v="4"/>
    <n v="1"/>
    <n v="12"/>
    <n v="2"/>
    <n v="3"/>
    <n v="5"/>
    <n v="3"/>
    <n v="1"/>
    <n v="2"/>
    <x v="1"/>
    <x v="0"/>
    <x v="2"/>
    <x v="2"/>
    <x v="3"/>
    <x v="0"/>
    <x v="2"/>
    <x v="1"/>
    <s v="Low"/>
    <x v="1"/>
    <x v="3"/>
    <x v="0"/>
    <x v="2"/>
  </r>
  <r>
    <n v="31"/>
    <x v="1"/>
    <s v="Travel_Rarely"/>
    <n v="691"/>
    <x v="1"/>
    <n v="5"/>
    <n v="4"/>
    <s v="Technical Degree"/>
    <n v="423"/>
    <n v="3"/>
    <x v="1"/>
    <n v="86"/>
    <n v="3"/>
    <n v="1"/>
    <x v="1"/>
    <n v="4"/>
    <x v="1"/>
    <n v="4821"/>
    <n v="0"/>
    <x v="0"/>
    <n v="12"/>
    <n v="3"/>
    <n v="3"/>
    <n v="1"/>
    <n v="6"/>
    <n v="4"/>
    <n v="3"/>
    <n v="5"/>
    <n v="2"/>
    <n v="0"/>
    <n v="3"/>
    <x v="1"/>
    <x v="0"/>
    <x v="2"/>
    <x v="1"/>
    <x v="0"/>
    <x v="1"/>
    <x v="0"/>
    <x v="3"/>
    <s v="Low"/>
    <x v="1"/>
    <x v="2"/>
    <x v="0"/>
    <x v="2"/>
  </r>
  <r>
    <n v="31"/>
    <x v="1"/>
    <s v="Travel_Rarely"/>
    <n v="106"/>
    <x v="2"/>
    <n v="2"/>
    <n v="3"/>
    <s v="Human Resources"/>
    <n v="424"/>
    <n v="1"/>
    <x v="1"/>
    <n v="62"/>
    <n v="2"/>
    <n v="2"/>
    <x v="8"/>
    <n v="1"/>
    <x v="1"/>
    <n v="6410"/>
    <n v="3"/>
    <x v="1"/>
    <n v="12"/>
    <n v="3"/>
    <n v="4"/>
    <n v="0"/>
    <n v="9"/>
    <n v="1"/>
    <n v="3"/>
    <n v="2"/>
    <n v="2"/>
    <n v="1"/>
    <n v="0"/>
    <x v="1"/>
    <x v="1"/>
    <x v="3"/>
    <x v="3"/>
    <x v="1"/>
    <x v="0"/>
    <x v="3"/>
    <x v="1"/>
    <s v="No Options"/>
    <x v="1"/>
    <x v="2"/>
    <x v="0"/>
    <x v="1"/>
  </r>
  <r>
    <n v="45"/>
    <x v="1"/>
    <s v="Travel_Frequently"/>
    <n v="1249"/>
    <x v="1"/>
    <n v="7"/>
    <n v="3"/>
    <s v="Life Sciences"/>
    <n v="425"/>
    <n v="1"/>
    <x v="1"/>
    <n v="97"/>
    <n v="3"/>
    <n v="3"/>
    <x v="2"/>
    <n v="1"/>
    <x v="2"/>
    <n v="5210"/>
    <n v="1"/>
    <x v="1"/>
    <n v="18"/>
    <n v="3"/>
    <n v="1"/>
    <n v="1"/>
    <n v="24"/>
    <n v="2"/>
    <n v="3"/>
    <n v="24"/>
    <n v="9"/>
    <n v="9"/>
    <n v="11"/>
    <x v="1"/>
    <x v="1"/>
    <x v="3"/>
    <x v="3"/>
    <x v="0"/>
    <x v="2"/>
    <x v="3"/>
    <x v="0"/>
    <s v="Low"/>
    <x v="1"/>
    <x v="1"/>
    <x v="0"/>
    <x v="3"/>
  </r>
  <r>
    <n v="31"/>
    <x v="1"/>
    <s v="Travel_Rarely"/>
    <n v="192"/>
    <x v="1"/>
    <n v="2"/>
    <n v="4"/>
    <s v="Life Sciences"/>
    <n v="426"/>
    <n v="3"/>
    <x v="1"/>
    <n v="32"/>
    <n v="3"/>
    <n v="1"/>
    <x v="1"/>
    <n v="4"/>
    <x v="2"/>
    <n v="2695"/>
    <n v="0"/>
    <x v="0"/>
    <n v="18"/>
    <n v="3"/>
    <n v="2"/>
    <n v="1"/>
    <n v="3"/>
    <n v="2"/>
    <n v="1"/>
    <n v="2"/>
    <n v="2"/>
    <n v="2"/>
    <n v="2"/>
    <x v="1"/>
    <x v="0"/>
    <x v="2"/>
    <x v="1"/>
    <x v="0"/>
    <x v="1"/>
    <x v="0"/>
    <x v="2"/>
    <s v="Low"/>
    <x v="0"/>
    <x v="2"/>
    <x v="1"/>
    <x v="1"/>
  </r>
  <r>
    <n v="33"/>
    <x v="1"/>
    <s v="Travel_Frequently"/>
    <n v="553"/>
    <x v="1"/>
    <n v="5"/>
    <n v="4"/>
    <s v="Life Sciences"/>
    <n v="428"/>
    <n v="4"/>
    <x v="0"/>
    <n v="74"/>
    <n v="3"/>
    <n v="3"/>
    <x v="5"/>
    <n v="2"/>
    <x v="1"/>
    <n v="11878"/>
    <n v="6"/>
    <x v="1"/>
    <n v="11"/>
    <n v="3"/>
    <n v="2"/>
    <n v="2"/>
    <n v="12"/>
    <n v="2"/>
    <n v="3"/>
    <n v="10"/>
    <n v="6"/>
    <n v="8"/>
    <n v="8"/>
    <x v="1"/>
    <x v="1"/>
    <x v="2"/>
    <x v="2"/>
    <x v="0"/>
    <x v="2"/>
    <x v="1"/>
    <x v="2"/>
    <s v="Medium"/>
    <x v="1"/>
    <x v="2"/>
    <x v="2"/>
    <x v="0"/>
  </r>
  <r>
    <n v="39"/>
    <x v="1"/>
    <s v="Travel_Rarely"/>
    <n v="117"/>
    <x v="1"/>
    <n v="10"/>
    <n v="1"/>
    <s v="Medical"/>
    <n v="429"/>
    <n v="3"/>
    <x v="1"/>
    <n v="99"/>
    <n v="3"/>
    <n v="4"/>
    <x v="5"/>
    <n v="1"/>
    <x v="1"/>
    <n v="17068"/>
    <n v="1"/>
    <x v="0"/>
    <n v="14"/>
    <n v="3"/>
    <n v="4"/>
    <n v="0"/>
    <n v="21"/>
    <n v="3"/>
    <n v="3"/>
    <n v="21"/>
    <n v="9"/>
    <n v="11"/>
    <n v="10"/>
    <x v="1"/>
    <x v="0"/>
    <x v="1"/>
    <x v="1"/>
    <x v="0"/>
    <x v="3"/>
    <x v="3"/>
    <x v="1"/>
    <s v="No Options"/>
    <x v="1"/>
    <x v="0"/>
    <x v="3"/>
    <x v="3"/>
  </r>
  <r>
    <n v="43"/>
    <x v="1"/>
    <s v="Travel_Frequently"/>
    <n v="185"/>
    <x v="1"/>
    <n v="10"/>
    <n v="4"/>
    <s v="Life Sciences"/>
    <n v="430"/>
    <n v="3"/>
    <x v="0"/>
    <n v="33"/>
    <n v="3"/>
    <n v="1"/>
    <x v="2"/>
    <n v="4"/>
    <x v="0"/>
    <n v="2455"/>
    <n v="0"/>
    <x v="1"/>
    <n v="19"/>
    <n v="3"/>
    <n v="1"/>
    <n v="0"/>
    <n v="9"/>
    <n v="5"/>
    <n v="3"/>
    <n v="8"/>
    <n v="7"/>
    <n v="1"/>
    <n v="7"/>
    <x v="1"/>
    <x v="1"/>
    <x v="2"/>
    <x v="1"/>
    <x v="0"/>
    <x v="1"/>
    <x v="0"/>
    <x v="0"/>
    <s v="No Options"/>
    <x v="1"/>
    <x v="0"/>
    <x v="1"/>
    <x v="0"/>
  </r>
  <r>
    <n v="49"/>
    <x v="1"/>
    <s v="Travel_Rarely"/>
    <n v="1091"/>
    <x v="1"/>
    <n v="1"/>
    <n v="2"/>
    <s v="Technical Degree"/>
    <n v="431"/>
    <n v="3"/>
    <x v="0"/>
    <n v="90"/>
    <n v="2"/>
    <n v="4"/>
    <x v="4"/>
    <n v="3"/>
    <x v="0"/>
    <n v="13964"/>
    <n v="7"/>
    <x v="0"/>
    <n v="12"/>
    <n v="3"/>
    <n v="4"/>
    <n v="0"/>
    <n v="25"/>
    <n v="2"/>
    <n v="3"/>
    <n v="7"/>
    <n v="1"/>
    <n v="0"/>
    <n v="7"/>
    <x v="1"/>
    <x v="0"/>
    <x v="0"/>
    <x v="1"/>
    <x v="1"/>
    <x v="3"/>
    <x v="2"/>
    <x v="1"/>
    <s v="No Options"/>
    <x v="1"/>
    <x v="1"/>
    <x v="3"/>
    <x v="0"/>
  </r>
  <r>
    <n v="52"/>
    <x v="0"/>
    <s v="Travel_Rarely"/>
    <n v="723"/>
    <x v="1"/>
    <n v="8"/>
    <n v="4"/>
    <s v="Medical"/>
    <n v="433"/>
    <n v="3"/>
    <x v="1"/>
    <n v="85"/>
    <n v="2"/>
    <n v="2"/>
    <x v="1"/>
    <n v="2"/>
    <x v="1"/>
    <n v="4941"/>
    <n v="2"/>
    <x v="1"/>
    <n v="15"/>
    <n v="3"/>
    <n v="1"/>
    <n v="0"/>
    <n v="11"/>
    <n v="3"/>
    <n v="2"/>
    <n v="8"/>
    <n v="2"/>
    <n v="7"/>
    <n v="7"/>
    <x v="0"/>
    <x v="1"/>
    <x v="2"/>
    <x v="1"/>
    <x v="1"/>
    <x v="0"/>
    <x v="1"/>
    <x v="0"/>
    <s v="No Options"/>
    <x v="2"/>
    <x v="1"/>
    <x v="0"/>
    <x v="0"/>
  </r>
  <r>
    <n v="27"/>
    <x v="1"/>
    <s v="Travel_Rarely"/>
    <n v="1220"/>
    <x v="1"/>
    <n v="5"/>
    <n v="3"/>
    <s v="Life Sciences"/>
    <n v="434"/>
    <n v="3"/>
    <x v="0"/>
    <n v="85"/>
    <n v="3"/>
    <n v="1"/>
    <x v="1"/>
    <n v="2"/>
    <x v="0"/>
    <n v="2478"/>
    <n v="1"/>
    <x v="0"/>
    <n v="12"/>
    <n v="3"/>
    <n v="2"/>
    <n v="0"/>
    <n v="4"/>
    <n v="2"/>
    <n v="2"/>
    <n v="4"/>
    <n v="3"/>
    <n v="1"/>
    <n v="2"/>
    <x v="1"/>
    <x v="0"/>
    <x v="3"/>
    <x v="1"/>
    <x v="0"/>
    <x v="1"/>
    <x v="1"/>
    <x v="2"/>
    <s v="No Options"/>
    <x v="2"/>
    <x v="2"/>
    <x v="1"/>
    <x v="2"/>
  </r>
  <r>
    <n v="32"/>
    <x v="1"/>
    <s v="Travel_Rarely"/>
    <n v="588"/>
    <x v="0"/>
    <n v="8"/>
    <n v="2"/>
    <s v="Technical Degree"/>
    <n v="436"/>
    <n v="3"/>
    <x v="0"/>
    <n v="65"/>
    <n v="2"/>
    <n v="2"/>
    <x v="0"/>
    <n v="2"/>
    <x v="1"/>
    <n v="5228"/>
    <n v="1"/>
    <x v="0"/>
    <n v="11"/>
    <n v="3"/>
    <n v="4"/>
    <n v="0"/>
    <n v="13"/>
    <n v="2"/>
    <n v="3"/>
    <n v="13"/>
    <n v="12"/>
    <n v="11"/>
    <n v="9"/>
    <x v="1"/>
    <x v="0"/>
    <x v="0"/>
    <x v="1"/>
    <x v="1"/>
    <x v="0"/>
    <x v="1"/>
    <x v="1"/>
    <s v="No Options"/>
    <x v="1"/>
    <x v="2"/>
    <x v="0"/>
    <x v="4"/>
  </r>
  <r>
    <n v="27"/>
    <x v="1"/>
    <s v="Travel_Rarely"/>
    <n v="1377"/>
    <x v="0"/>
    <n v="2"/>
    <n v="3"/>
    <s v="Life Sciences"/>
    <n v="437"/>
    <n v="4"/>
    <x v="1"/>
    <n v="74"/>
    <n v="3"/>
    <n v="2"/>
    <x v="0"/>
    <n v="3"/>
    <x v="0"/>
    <n v="4478"/>
    <n v="1"/>
    <x v="0"/>
    <n v="11"/>
    <n v="3"/>
    <n v="1"/>
    <n v="0"/>
    <n v="5"/>
    <n v="3"/>
    <n v="3"/>
    <n v="5"/>
    <n v="4"/>
    <n v="0"/>
    <n v="4"/>
    <x v="1"/>
    <x v="0"/>
    <x v="3"/>
    <x v="2"/>
    <x v="0"/>
    <x v="0"/>
    <x v="2"/>
    <x v="0"/>
    <s v="No Options"/>
    <x v="1"/>
    <x v="2"/>
    <x v="0"/>
    <x v="2"/>
  </r>
  <r>
    <n v="31"/>
    <x v="1"/>
    <s v="Travel_Rarely"/>
    <n v="691"/>
    <x v="0"/>
    <n v="7"/>
    <n v="3"/>
    <s v="Marketing"/>
    <n v="438"/>
    <n v="4"/>
    <x v="1"/>
    <n v="73"/>
    <n v="3"/>
    <n v="2"/>
    <x v="0"/>
    <n v="4"/>
    <x v="2"/>
    <n v="7547"/>
    <n v="4"/>
    <x v="1"/>
    <n v="12"/>
    <n v="3"/>
    <n v="4"/>
    <n v="3"/>
    <n v="13"/>
    <n v="3"/>
    <n v="3"/>
    <n v="7"/>
    <n v="7"/>
    <n v="1"/>
    <n v="7"/>
    <x v="1"/>
    <x v="1"/>
    <x v="3"/>
    <x v="2"/>
    <x v="0"/>
    <x v="0"/>
    <x v="0"/>
    <x v="1"/>
    <s v="High"/>
    <x v="1"/>
    <x v="2"/>
    <x v="2"/>
    <x v="0"/>
  </r>
  <r>
    <n v="32"/>
    <x v="1"/>
    <s v="Travel_Rarely"/>
    <n v="1018"/>
    <x v="1"/>
    <n v="2"/>
    <n v="4"/>
    <s v="Medical"/>
    <n v="439"/>
    <n v="1"/>
    <x v="0"/>
    <n v="74"/>
    <n v="4"/>
    <n v="2"/>
    <x v="1"/>
    <n v="4"/>
    <x v="0"/>
    <n v="5055"/>
    <n v="7"/>
    <x v="1"/>
    <n v="16"/>
    <n v="3"/>
    <n v="3"/>
    <n v="0"/>
    <n v="10"/>
    <n v="0"/>
    <n v="2"/>
    <n v="7"/>
    <n v="7"/>
    <n v="0"/>
    <n v="7"/>
    <x v="1"/>
    <x v="1"/>
    <x v="2"/>
    <x v="3"/>
    <x v="2"/>
    <x v="0"/>
    <x v="0"/>
    <x v="3"/>
    <s v="No Options"/>
    <x v="2"/>
    <x v="2"/>
    <x v="0"/>
    <x v="0"/>
  </r>
  <r>
    <n v="28"/>
    <x v="0"/>
    <s v="Travel_Rarely"/>
    <n v="1157"/>
    <x v="1"/>
    <n v="2"/>
    <n v="4"/>
    <s v="Medical"/>
    <n v="440"/>
    <n v="1"/>
    <x v="1"/>
    <n v="84"/>
    <n v="1"/>
    <n v="1"/>
    <x v="1"/>
    <n v="4"/>
    <x v="1"/>
    <n v="3464"/>
    <n v="5"/>
    <x v="0"/>
    <n v="13"/>
    <n v="3"/>
    <n v="4"/>
    <n v="0"/>
    <n v="5"/>
    <n v="4"/>
    <n v="2"/>
    <n v="3"/>
    <n v="2"/>
    <n v="2"/>
    <n v="2"/>
    <x v="0"/>
    <x v="0"/>
    <x v="2"/>
    <x v="3"/>
    <x v="3"/>
    <x v="1"/>
    <x v="0"/>
    <x v="1"/>
    <s v="No Options"/>
    <x v="2"/>
    <x v="2"/>
    <x v="0"/>
    <x v="2"/>
  </r>
  <r>
    <n v="30"/>
    <x v="1"/>
    <s v="Travel_Rarely"/>
    <n v="1275"/>
    <x v="1"/>
    <n v="28"/>
    <n v="2"/>
    <s v="Medical"/>
    <n v="441"/>
    <n v="4"/>
    <x v="0"/>
    <n v="64"/>
    <n v="3"/>
    <n v="2"/>
    <x v="1"/>
    <n v="4"/>
    <x v="1"/>
    <n v="5775"/>
    <n v="1"/>
    <x v="1"/>
    <n v="13"/>
    <n v="3"/>
    <n v="4"/>
    <n v="2"/>
    <n v="11"/>
    <n v="2"/>
    <n v="3"/>
    <n v="10"/>
    <n v="8"/>
    <n v="1"/>
    <n v="9"/>
    <x v="1"/>
    <x v="1"/>
    <x v="0"/>
    <x v="2"/>
    <x v="0"/>
    <x v="0"/>
    <x v="0"/>
    <x v="1"/>
    <s v="Medium"/>
    <x v="1"/>
    <x v="2"/>
    <x v="0"/>
    <x v="0"/>
  </r>
  <r>
    <n v="31"/>
    <x v="1"/>
    <s v="Travel_Frequently"/>
    <n v="798"/>
    <x v="1"/>
    <n v="7"/>
    <n v="2"/>
    <s v="Life Sciences"/>
    <n v="442"/>
    <n v="3"/>
    <x v="0"/>
    <n v="48"/>
    <n v="2"/>
    <n v="3"/>
    <x v="3"/>
    <n v="3"/>
    <x v="1"/>
    <n v="8943"/>
    <n v="1"/>
    <x v="1"/>
    <n v="24"/>
    <n v="4"/>
    <n v="1"/>
    <n v="1"/>
    <n v="10"/>
    <n v="2"/>
    <n v="3"/>
    <n v="10"/>
    <n v="9"/>
    <n v="8"/>
    <n v="9"/>
    <x v="1"/>
    <x v="1"/>
    <x v="0"/>
    <x v="1"/>
    <x v="1"/>
    <x v="2"/>
    <x v="2"/>
    <x v="0"/>
    <s v="Low"/>
    <x v="1"/>
    <x v="2"/>
    <x v="2"/>
    <x v="0"/>
  </r>
  <r>
    <n v="39"/>
    <x v="1"/>
    <s v="Travel_Frequently"/>
    <n v="672"/>
    <x v="1"/>
    <n v="7"/>
    <n v="2"/>
    <s v="Medical"/>
    <n v="444"/>
    <n v="3"/>
    <x v="1"/>
    <n v="54"/>
    <n v="2"/>
    <n v="5"/>
    <x v="5"/>
    <n v="4"/>
    <x v="1"/>
    <n v="19272"/>
    <n v="1"/>
    <x v="1"/>
    <n v="15"/>
    <n v="3"/>
    <n v="1"/>
    <n v="1"/>
    <n v="21"/>
    <n v="2"/>
    <n v="3"/>
    <n v="21"/>
    <n v="9"/>
    <n v="13"/>
    <n v="3"/>
    <x v="1"/>
    <x v="1"/>
    <x v="0"/>
    <x v="1"/>
    <x v="1"/>
    <x v="4"/>
    <x v="0"/>
    <x v="0"/>
    <s v="Low"/>
    <x v="1"/>
    <x v="0"/>
    <x v="3"/>
    <x v="3"/>
  </r>
  <r>
    <n v="39"/>
    <x v="0"/>
    <s v="Travel_Rarely"/>
    <n v="1162"/>
    <x v="0"/>
    <n v="3"/>
    <n v="2"/>
    <s v="Medical"/>
    <n v="445"/>
    <n v="4"/>
    <x v="0"/>
    <n v="41"/>
    <n v="3"/>
    <n v="2"/>
    <x v="0"/>
    <n v="3"/>
    <x v="1"/>
    <n v="5238"/>
    <n v="4"/>
    <x v="0"/>
    <n v="18"/>
    <n v="3"/>
    <n v="1"/>
    <n v="0"/>
    <n v="12"/>
    <n v="3"/>
    <n v="2"/>
    <n v="1"/>
    <n v="0"/>
    <n v="0"/>
    <n v="0"/>
    <x v="0"/>
    <x v="0"/>
    <x v="0"/>
    <x v="2"/>
    <x v="0"/>
    <x v="0"/>
    <x v="2"/>
    <x v="0"/>
    <s v="No Options"/>
    <x v="2"/>
    <x v="0"/>
    <x v="0"/>
    <x v="1"/>
  </r>
  <r>
    <n v="33"/>
    <x v="1"/>
    <s v="Travel_Frequently"/>
    <n v="508"/>
    <x v="0"/>
    <n v="10"/>
    <n v="3"/>
    <s v="Marketing"/>
    <n v="446"/>
    <n v="2"/>
    <x v="1"/>
    <n v="46"/>
    <n v="2"/>
    <n v="2"/>
    <x v="0"/>
    <n v="4"/>
    <x v="0"/>
    <n v="4682"/>
    <n v="3"/>
    <x v="1"/>
    <n v="14"/>
    <n v="3"/>
    <n v="3"/>
    <n v="0"/>
    <n v="9"/>
    <n v="6"/>
    <n v="2"/>
    <n v="7"/>
    <n v="7"/>
    <n v="0"/>
    <n v="1"/>
    <x v="1"/>
    <x v="1"/>
    <x v="3"/>
    <x v="0"/>
    <x v="1"/>
    <x v="0"/>
    <x v="0"/>
    <x v="3"/>
    <s v="No Options"/>
    <x v="2"/>
    <x v="2"/>
    <x v="0"/>
    <x v="0"/>
  </r>
  <r>
    <n v="47"/>
    <x v="1"/>
    <s v="Travel_Rarely"/>
    <n v="1482"/>
    <x v="1"/>
    <n v="5"/>
    <n v="5"/>
    <s v="Life Sciences"/>
    <n v="447"/>
    <n v="4"/>
    <x v="1"/>
    <n v="42"/>
    <n v="3"/>
    <n v="5"/>
    <x v="7"/>
    <n v="3"/>
    <x v="1"/>
    <n v="18300"/>
    <n v="4"/>
    <x v="1"/>
    <n v="11"/>
    <n v="3"/>
    <n v="2"/>
    <n v="1"/>
    <n v="21"/>
    <n v="2"/>
    <n v="3"/>
    <n v="3"/>
    <n v="2"/>
    <n v="1"/>
    <n v="1"/>
    <x v="1"/>
    <x v="1"/>
    <x v="4"/>
    <x v="2"/>
    <x v="0"/>
    <x v="4"/>
    <x v="2"/>
    <x v="2"/>
    <s v="Low"/>
    <x v="1"/>
    <x v="1"/>
    <x v="3"/>
    <x v="2"/>
  </r>
  <r>
    <n v="43"/>
    <x v="1"/>
    <s v="Travel_Frequently"/>
    <n v="559"/>
    <x v="1"/>
    <n v="10"/>
    <n v="4"/>
    <s v="Life Sciences"/>
    <n v="448"/>
    <n v="3"/>
    <x v="0"/>
    <n v="82"/>
    <n v="2"/>
    <n v="2"/>
    <x v="2"/>
    <n v="3"/>
    <x v="2"/>
    <n v="5257"/>
    <n v="1"/>
    <x v="1"/>
    <n v="11"/>
    <n v="3"/>
    <n v="2"/>
    <n v="1"/>
    <n v="9"/>
    <n v="3"/>
    <n v="4"/>
    <n v="9"/>
    <n v="7"/>
    <n v="0"/>
    <n v="0"/>
    <x v="1"/>
    <x v="1"/>
    <x v="2"/>
    <x v="1"/>
    <x v="1"/>
    <x v="0"/>
    <x v="2"/>
    <x v="2"/>
    <s v="Low"/>
    <x v="3"/>
    <x v="0"/>
    <x v="0"/>
    <x v="0"/>
  </r>
  <r>
    <n v="27"/>
    <x v="1"/>
    <s v="Non-Travel"/>
    <n v="210"/>
    <x v="0"/>
    <n v="1"/>
    <n v="1"/>
    <s v="Marketing"/>
    <n v="449"/>
    <n v="3"/>
    <x v="1"/>
    <n v="73"/>
    <n v="3"/>
    <n v="2"/>
    <x v="0"/>
    <n v="2"/>
    <x v="1"/>
    <n v="6349"/>
    <n v="0"/>
    <x v="0"/>
    <n v="13"/>
    <n v="3"/>
    <n v="4"/>
    <n v="1"/>
    <n v="6"/>
    <n v="0"/>
    <n v="3"/>
    <n v="5"/>
    <n v="4"/>
    <n v="1"/>
    <n v="4"/>
    <x v="1"/>
    <x v="0"/>
    <x v="1"/>
    <x v="1"/>
    <x v="0"/>
    <x v="0"/>
    <x v="1"/>
    <x v="1"/>
    <s v="Low"/>
    <x v="1"/>
    <x v="2"/>
    <x v="0"/>
    <x v="2"/>
  </r>
  <r>
    <n v="54"/>
    <x v="1"/>
    <s v="Travel_Frequently"/>
    <n v="928"/>
    <x v="1"/>
    <n v="20"/>
    <n v="4"/>
    <s v="Life Sciences"/>
    <n v="450"/>
    <n v="4"/>
    <x v="0"/>
    <n v="31"/>
    <n v="3"/>
    <n v="2"/>
    <x v="1"/>
    <n v="3"/>
    <x v="0"/>
    <n v="4869"/>
    <n v="3"/>
    <x v="1"/>
    <n v="12"/>
    <n v="3"/>
    <n v="4"/>
    <n v="0"/>
    <n v="20"/>
    <n v="4"/>
    <n v="2"/>
    <n v="4"/>
    <n v="3"/>
    <n v="0"/>
    <n v="3"/>
    <x v="1"/>
    <x v="1"/>
    <x v="2"/>
    <x v="2"/>
    <x v="0"/>
    <x v="0"/>
    <x v="2"/>
    <x v="1"/>
    <s v="No Options"/>
    <x v="2"/>
    <x v="1"/>
    <x v="0"/>
    <x v="2"/>
  </r>
  <r>
    <n v="43"/>
    <x v="1"/>
    <s v="Travel_Rarely"/>
    <n v="1001"/>
    <x v="1"/>
    <n v="7"/>
    <n v="3"/>
    <s v="Life Sciences"/>
    <n v="451"/>
    <n v="3"/>
    <x v="0"/>
    <n v="43"/>
    <n v="3"/>
    <n v="3"/>
    <x v="4"/>
    <n v="1"/>
    <x v="1"/>
    <n v="9985"/>
    <n v="8"/>
    <x v="1"/>
    <n v="16"/>
    <n v="3"/>
    <n v="1"/>
    <n v="1"/>
    <n v="10"/>
    <n v="1"/>
    <n v="2"/>
    <n v="1"/>
    <n v="0"/>
    <n v="0"/>
    <n v="0"/>
    <x v="1"/>
    <x v="1"/>
    <x v="3"/>
    <x v="1"/>
    <x v="0"/>
    <x v="2"/>
    <x v="3"/>
    <x v="0"/>
    <s v="Low"/>
    <x v="2"/>
    <x v="0"/>
    <x v="2"/>
    <x v="1"/>
  </r>
  <r>
    <n v="45"/>
    <x v="1"/>
    <s v="Travel_Rarely"/>
    <n v="549"/>
    <x v="1"/>
    <n v="8"/>
    <n v="4"/>
    <s v="Other"/>
    <n v="452"/>
    <n v="4"/>
    <x v="1"/>
    <n v="75"/>
    <n v="3"/>
    <n v="2"/>
    <x v="1"/>
    <n v="4"/>
    <x v="1"/>
    <n v="3697"/>
    <n v="9"/>
    <x v="1"/>
    <n v="14"/>
    <n v="3"/>
    <n v="1"/>
    <n v="2"/>
    <n v="12"/>
    <n v="3"/>
    <n v="3"/>
    <n v="10"/>
    <n v="9"/>
    <n v="9"/>
    <n v="8"/>
    <x v="1"/>
    <x v="1"/>
    <x v="2"/>
    <x v="2"/>
    <x v="0"/>
    <x v="0"/>
    <x v="0"/>
    <x v="0"/>
    <s v="Medium"/>
    <x v="1"/>
    <x v="1"/>
    <x v="0"/>
    <x v="0"/>
  </r>
  <r>
    <n v="40"/>
    <x v="1"/>
    <s v="Travel_Rarely"/>
    <n v="1124"/>
    <x v="0"/>
    <n v="1"/>
    <n v="2"/>
    <s v="Medical"/>
    <n v="453"/>
    <n v="2"/>
    <x v="1"/>
    <n v="57"/>
    <n v="1"/>
    <n v="2"/>
    <x v="0"/>
    <n v="4"/>
    <x v="1"/>
    <n v="7457"/>
    <n v="2"/>
    <x v="0"/>
    <n v="22"/>
    <n v="4"/>
    <n v="3"/>
    <n v="3"/>
    <n v="6"/>
    <n v="2"/>
    <n v="2"/>
    <n v="4"/>
    <n v="3"/>
    <n v="0"/>
    <n v="2"/>
    <x v="1"/>
    <x v="0"/>
    <x v="0"/>
    <x v="0"/>
    <x v="3"/>
    <x v="0"/>
    <x v="0"/>
    <x v="3"/>
    <s v="High"/>
    <x v="2"/>
    <x v="0"/>
    <x v="2"/>
    <x v="2"/>
  </r>
  <r>
    <n v="29"/>
    <x v="0"/>
    <s v="Travel_Rarely"/>
    <n v="318"/>
    <x v="1"/>
    <n v="8"/>
    <n v="4"/>
    <s v="Other"/>
    <n v="454"/>
    <n v="2"/>
    <x v="1"/>
    <n v="77"/>
    <n v="1"/>
    <n v="1"/>
    <x v="2"/>
    <n v="1"/>
    <x v="1"/>
    <n v="2119"/>
    <n v="1"/>
    <x v="0"/>
    <n v="11"/>
    <n v="3"/>
    <n v="4"/>
    <n v="0"/>
    <n v="7"/>
    <n v="4"/>
    <n v="2"/>
    <n v="7"/>
    <n v="7"/>
    <n v="0"/>
    <n v="7"/>
    <x v="0"/>
    <x v="0"/>
    <x v="2"/>
    <x v="0"/>
    <x v="3"/>
    <x v="1"/>
    <x v="3"/>
    <x v="1"/>
    <s v="No Options"/>
    <x v="2"/>
    <x v="2"/>
    <x v="1"/>
    <x v="0"/>
  </r>
  <r>
    <n v="29"/>
    <x v="1"/>
    <s v="Travel_Rarely"/>
    <n v="738"/>
    <x v="1"/>
    <n v="9"/>
    <n v="5"/>
    <s v="Other"/>
    <n v="455"/>
    <n v="2"/>
    <x v="1"/>
    <n v="30"/>
    <n v="2"/>
    <n v="1"/>
    <x v="2"/>
    <n v="4"/>
    <x v="0"/>
    <n v="3983"/>
    <n v="0"/>
    <x v="1"/>
    <n v="17"/>
    <n v="3"/>
    <n v="3"/>
    <n v="0"/>
    <n v="4"/>
    <n v="2"/>
    <n v="3"/>
    <n v="3"/>
    <n v="2"/>
    <n v="2"/>
    <n v="2"/>
    <x v="1"/>
    <x v="1"/>
    <x v="4"/>
    <x v="0"/>
    <x v="1"/>
    <x v="1"/>
    <x v="0"/>
    <x v="3"/>
    <s v="No Options"/>
    <x v="1"/>
    <x v="2"/>
    <x v="0"/>
    <x v="2"/>
  </r>
  <r>
    <n v="30"/>
    <x v="1"/>
    <s v="Travel_Rarely"/>
    <n v="570"/>
    <x v="0"/>
    <n v="5"/>
    <n v="3"/>
    <s v="Marketing"/>
    <n v="456"/>
    <n v="4"/>
    <x v="0"/>
    <n v="30"/>
    <n v="2"/>
    <n v="2"/>
    <x v="0"/>
    <n v="3"/>
    <x v="2"/>
    <n v="6118"/>
    <n v="1"/>
    <x v="1"/>
    <n v="13"/>
    <n v="3"/>
    <n v="3"/>
    <n v="3"/>
    <n v="10"/>
    <n v="2"/>
    <n v="3"/>
    <n v="10"/>
    <n v="9"/>
    <n v="1"/>
    <n v="2"/>
    <x v="1"/>
    <x v="1"/>
    <x v="3"/>
    <x v="2"/>
    <x v="1"/>
    <x v="0"/>
    <x v="2"/>
    <x v="3"/>
    <s v="High"/>
    <x v="1"/>
    <x v="2"/>
    <x v="0"/>
    <x v="0"/>
  </r>
  <r>
    <n v="27"/>
    <x v="1"/>
    <s v="Travel_Rarely"/>
    <n v="1130"/>
    <x v="0"/>
    <n v="8"/>
    <n v="4"/>
    <s v="Marketing"/>
    <n v="458"/>
    <n v="2"/>
    <x v="0"/>
    <n v="56"/>
    <n v="3"/>
    <n v="2"/>
    <x v="0"/>
    <n v="2"/>
    <x v="1"/>
    <n v="6214"/>
    <n v="1"/>
    <x v="1"/>
    <n v="18"/>
    <n v="3"/>
    <n v="1"/>
    <n v="1"/>
    <n v="8"/>
    <n v="3"/>
    <n v="3"/>
    <n v="8"/>
    <n v="7"/>
    <n v="0"/>
    <n v="7"/>
    <x v="1"/>
    <x v="1"/>
    <x v="2"/>
    <x v="0"/>
    <x v="0"/>
    <x v="0"/>
    <x v="1"/>
    <x v="0"/>
    <s v="Low"/>
    <x v="1"/>
    <x v="2"/>
    <x v="0"/>
    <x v="0"/>
  </r>
  <r>
    <n v="37"/>
    <x v="1"/>
    <s v="Travel_Rarely"/>
    <n v="1192"/>
    <x v="1"/>
    <n v="5"/>
    <n v="2"/>
    <s v="Medical"/>
    <n v="460"/>
    <n v="4"/>
    <x v="1"/>
    <n v="61"/>
    <n v="3"/>
    <n v="2"/>
    <x v="3"/>
    <n v="4"/>
    <x v="2"/>
    <n v="6347"/>
    <n v="7"/>
    <x v="1"/>
    <n v="16"/>
    <n v="3"/>
    <n v="3"/>
    <n v="2"/>
    <n v="8"/>
    <n v="2"/>
    <n v="2"/>
    <n v="6"/>
    <n v="2"/>
    <n v="0"/>
    <n v="4"/>
    <x v="1"/>
    <x v="1"/>
    <x v="0"/>
    <x v="2"/>
    <x v="0"/>
    <x v="0"/>
    <x v="0"/>
    <x v="3"/>
    <s v="Medium"/>
    <x v="2"/>
    <x v="0"/>
    <x v="0"/>
    <x v="0"/>
  </r>
  <r>
    <n v="38"/>
    <x v="1"/>
    <s v="Travel_Rarely"/>
    <n v="343"/>
    <x v="1"/>
    <n v="15"/>
    <n v="2"/>
    <s v="Life Sciences"/>
    <n v="461"/>
    <n v="3"/>
    <x v="1"/>
    <n v="92"/>
    <n v="2"/>
    <n v="3"/>
    <x v="7"/>
    <n v="4"/>
    <x v="2"/>
    <n v="11510"/>
    <n v="0"/>
    <x v="0"/>
    <n v="14"/>
    <n v="3"/>
    <n v="2"/>
    <n v="1"/>
    <n v="12"/>
    <n v="3"/>
    <n v="3"/>
    <n v="11"/>
    <n v="10"/>
    <n v="2"/>
    <n v="9"/>
    <x v="1"/>
    <x v="0"/>
    <x v="0"/>
    <x v="1"/>
    <x v="1"/>
    <x v="2"/>
    <x v="0"/>
    <x v="2"/>
    <s v="Low"/>
    <x v="1"/>
    <x v="0"/>
    <x v="2"/>
    <x v="4"/>
  </r>
  <r>
    <n v="31"/>
    <x v="1"/>
    <s v="Travel_Rarely"/>
    <n v="1232"/>
    <x v="1"/>
    <n v="7"/>
    <n v="4"/>
    <s v="Medical"/>
    <n v="462"/>
    <n v="3"/>
    <x v="0"/>
    <n v="39"/>
    <n v="3"/>
    <n v="3"/>
    <x v="3"/>
    <n v="4"/>
    <x v="0"/>
    <n v="7143"/>
    <n v="1"/>
    <x v="0"/>
    <n v="14"/>
    <n v="3"/>
    <n v="3"/>
    <n v="0"/>
    <n v="11"/>
    <n v="2"/>
    <n v="2"/>
    <n v="11"/>
    <n v="9"/>
    <n v="4"/>
    <n v="10"/>
    <x v="1"/>
    <x v="0"/>
    <x v="2"/>
    <x v="1"/>
    <x v="0"/>
    <x v="2"/>
    <x v="0"/>
    <x v="3"/>
    <s v="No Options"/>
    <x v="2"/>
    <x v="2"/>
    <x v="2"/>
    <x v="4"/>
  </r>
  <r>
    <n v="29"/>
    <x v="1"/>
    <s v="Travel_Rarely"/>
    <n v="144"/>
    <x v="0"/>
    <n v="10"/>
    <n v="1"/>
    <s v="Marketing"/>
    <n v="463"/>
    <n v="4"/>
    <x v="0"/>
    <n v="39"/>
    <n v="2"/>
    <n v="2"/>
    <x v="0"/>
    <n v="2"/>
    <x v="2"/>
    <n v="8268"/>
    <n v="1"/>
    <x v="0"/>
    <n v="14"/>
    <n v="3"/>
    <n v="1"/>
    <n v="2"/>
    <n v="7"/>
    <n v="2"/>
    <n v="3"/>
    <n v="7"/>
    <n v="7"/>
    <n v="1"/>
    <n v="7"/>
    <x v="1"/>
    <x v="0"/>
    <x v="1"/>
    <x v="2"/>
    <x v="1"/>
    <x v="0"/>
    <x v="1"/>
    <x v="0"/>
    <s v="Medium"/>
    <x v="1"/>
    <x v="2"/>
    <x v="2"/>
    <x v="0"/>
  </r>
  <r>
    <n v="35"/>
    <x v="1"/>
    <s v="Travel_Rarely"/>
    <n v="1296"/>
    <x v="1"/>
    <n v="5"/>
    <n v="4"/>
    <s v="Technical Degree"/>
    <n v="464"/>
    <n v="3"/>
    <x v="1"/>
    <n v="62"/>
    <n v="3"/>
    <n v="3"/>
    <x v="3"/>
    <n v="2"/>
    <x v="0"/>
    <n v="8095"/>
    <n v="0"/>
    <x v="1"/>
    <n v="13"/>
    <n v="3"/>
    <n v="4"/>
    <n v="0"/>
    <n v="17"/>
    <n v="5"/>
    <n v="3"/>
    <n v="16"/>
    <n v="6"/>
    <n v="0"/>
    <n v="13"/>
    <x v="1"/>
    <x v="1"/>
    <x v="2"/>
    <x v="1"/>
    <x v="0"/>
    <x v="2"/>
    <x v="1"/>
    <x v="1"/>
    <s v="No Options"/>
    <x v="1"/>
    <x v="0"/>
    <x v="2"/>
    <x v="4"/>
  </r>
  <r>
    <n v="23"/>
    <x v="1"/>
    <s v="Travel_Rarely"/>
    <n v="1309"/>
    <x v="1"/>
    <n v="26"/>
    <n v="1"/>
    <s v="Life Sciences"/>
    <n v="465"/>
    <n v="3"/>
    <x v="1"/>
    <n v="83"/>
    <n v="3"/>
    <n v="1"/>
    <x v="1"/>
    <n v="4"/>
    <x v="2"/>
    <n v="2904"/>
    <n v="1"/>
    <x v="1"/>
    <n v="12"/>
    <n v="3"/>
    <n v="3"/>
    <n v="2"/>
    <n v="4"/>
    <n v="2"/>
    <n v="2"/>
    <n v="4"/>
    <n v="2"/>
    <n v="0"/>
    <n v="2"/>
    <x v="1"/>
    <x v="1"/>
    <x v="1"/>
    <x v="1"/>
    <x v="0"/>
    <x v="1"/>
    <x v="0"/>
    <x v="3"/>
    <s v="Medium"/>
    <x v="2"/>
    <x v="4"/>
    <x v="1"/>
    <x v="2"/>
  </r>
  <r>
    <n v="41"/>
    <x v="1"/>
    <s v="Travel_Rarely"/>
    <n v="483"/>
    <x v="1"/>
    <n v="6"/>
    <n v="3"/>
    <s v="Medical"/>
    <n v="466"/>
    <n v="4"/>
    <x v="1"/>
    <n v="95"/>
    <n v="2"/>
    <n v="2"/>
    <x v="3"/>
    <n v="2"/>
    <x v="0"/>
    <n v="6032"/>
    <n v="6"/>
    <x v="0"/>
    <n v="15"/>
    <n v="3"/>
    <n v="4"/>
    <n v="0"/>
    <n v="8"/>
    <n v="3"/>
    <n v="3"/>
    <n v="5"/>
    <n v="4"/>
    <n v="1"/>
    <n v="2"/>
    <x v="1"/>
    <x v="0"/>
    <x v="3"/>
    <x v="2"/>
    <x v="1"/>
    <x v="0"/>
    <x v="1"/>
    <x v="1"/>
    <s v="No Options"/>
    <x v="1"/>
    <x v="0"/>
    <x v="0"/>
    <x v="2"/>
  </r>
  <r>
    <n v="47"/>
    <x v="1"/>
    <s v="Travel_Frequently"/>
    <n v="1309"/>
    <x v="0"/>
    <n v="4"/>
    <n v="1"/>
    <s v="Medical"/>
    <n v="467"/>
    <n v="2"/>
    <x v="1"/>
    <n v="99"/>
    <n v="3"/>
    <n v="2"/>
    <x v="6"/>
    <n v="3"/>
    <x v="0"/>
    <n v="2976"/>
    <n v="3"/>
    <x v="1"/>
    <n v="19"/>
    <n v="3"/>
    <n v="1"/>
    <n v="0"/>
    <n v="5"/>
    <n v="3"/>
    <n v="3"/>
    <n v="0"/>
    <n v="0"/>
    <n v="0"/>
    <n v="0"/>
    <x v="1"/>
    <x v="1"/>
    <x v="1"/>
    <x v="0"/>
    <x v="0"/>
    <x v="0"/>
    <x v="2"/>
    <x v="0"/>
    <s v="No Options"/>
    <x v="1"/>
    <x v="1"/>
    <x v="1"/>
    <x v="1"/>
  </r>
  <r>
    <n v="42"/>
    <x v="1"/>
    <s v="Travel_Rarely"/>
    <n v="810"/>
    <x v="1"/>
    <n v="23"/>
    <n v="5"/>
    <s v="Life Sciences"/>
    <n v="468"/>
    <n v="1"/>
    <x v="0"/>
    <n v="44"/>
    <n v="3"/>
    <n v="4"/>
    <x v="7"/>
    <n v="4"/>
    <x v="0"/>
    <n v="15992"/>
    <n v="2"/>
    <x v="1"/>
    <n v="14"/>
    <n v="3"/>
    <n v="2"/>
    <n v="0"/>
    <n v="16"/>
    <n v="2"/>
    <n v="3"/>
    <n v="1"/>
    <n v="0"/>
    <n v="0"/>
    <n v="0"/>
    <x v="1"/>
    <x v="1"/>
    <x v="4"/>
    <x v="3"/>
    <x v="0"/>
    <x v="3"/>
    <x v="0"/>
    <x v="2"/>
    <s v="No Options"/>
    <x v="1"/>
    <x v="0"/>
    <x v="3"/>
    <x v="1"/>
  </r>
  <r>
    <n v="29"/>
    <x v="1"/>
    <s v="Non-Travel"/>
    <n v="746"/>
    <x v="0"/>
    <n v="2"/>
    <n v="3"/>
    <s v="Life Sciences"/>
    <n v="469"/>
    <n v="4"/>
    <x v="1"/>
    <n v="61"/>
    <n v="3"/>
    <n v="2"/>
    <x v="0"/>
    <n v="3"/>
    <x v="1"/>
    <n v="4649"/>
    <n v="1"/>
    <x v="1"/>
    <n v="14"/>
    <n v="3"/>
    <n v="1"/>
    <n v="1"/>
    <n v="4"/>
    <n v="3"/>
    <n v="2"/>
    <n v="4"/>
    <n v="3"/>
    <n v="0"/>
    <n v="2"/>
    <x v="1"/>
    <x v="1"/>
    <x v="3"/>
    <x v="2"/>
    <x v="0"/>
    <x v="0"/>
    <x v="2"/>
    <x v="0"/>
    <s v="Low"/>
    <x v="2"/>
    <x v="2"/>
    <x v="0"/>
    <x v="2"/>
  </r>
  <r>
    <n v="42"/>
    <x v="1"/>
    <s v="Travel_Rarely"/>
    <n v="544"/>
    <x v="2"/>
    <n v="2"/>
    <n v="1"/>
    <s v="Technical Degree"/>
    <n v="470"/>
    <n v="3"/>
    <x v="1"/>
    <n v="52"/>
    <n v="3"/>
    <n v="1"/>
    <x v="8"/>
    <n v="3"/>
    <x v="2"/>
    <n v="2696"/>
    <n v="0"/>
    <x v="0"/>
    <n v="11"/>
    <n v="3"/>
    <n v="3"/>
    <n v="1"/>
    <n v="4"/>
    <n v="5"/>
    <n v="3"/>
    <n v="3"/>
    <n v="2"/>
    <n v="1"/>
    <n v="0"/>
    <x v="1"/>
    <x v="0"/>
    <x v="1"/>
    <x v="1"/>
    <x v="0"/>
    <x v="1"/>
    <x v="2"/>
    <x v="3"/>
    <s v="Low"/>
    <x v="1"/>
    <x v="0"/>
    <x v="1"/>
    <x v="2"/>
  </r>
  <r>
    <n v="32"/>
    <x v="1"/>
    <s v="Travel_Rarely"/>
    <n v="1062"/>
    <x v="1"/>
    <n v="2"/>
    <n v="3"/>
    <s v="Medical"/>
    <n v="471"/>
    <n v="3"/>
    <x v="0"/>
    <n v="75"/>
    <n v="3"/>
    <n v="1"/>
    <x v="2"/>
    <n v="2"/>
    <x v="1"/>
    <n v="2370"/>
    <n v="1"/>
    <x v="1"/>
    <n v="13"/>
    <n v="3"/>
    <n v="3"/>
    <n v="1"/>
    <n v="8"/>
    <n v="4"/>
    <n v="3"/>
    <n v="8"/>
    <n v="0"/>
    <n v="0"/>
    <n v="7"/>
    <x v="1"/>
    <x v="1"/>
    <x v="3"/>
    <x v="1"/>
    <x v="0"/>
    <x v="1"/>
    <x v="1"/>
    <x v="3"/>
    <s v="Low"/>
    <x v="1"/>
    <x v="2"/>
    <x v="1"/>
    <x v="0"/>
  </r>
  <r>
    <n v="48"/>
    <x v="1"/>
    <s v="Travel_Rarely"/>
    <n v="530"/>
    <x v="0"/>
    <n v="29"/>
    <n v="1"/>
    <s v="Medical"/>
    <n v="473"/>
    <n v="1"/>
    <x v="0"/>
    <n v="91"/>
    <n v="3"/>
    <n v="3"/>
    <x v="5"/>
    <n v="3"/>
    <x v="1"/>
    <n v="12504"/>
    <n v="3"/>
    <x v="1"/>
    <n v="21"/>
    <n v="4"/>
    <n v="2"/>
    <n v="1"/>
    <n v="15"/>
    <n v="3"/>
    <n v="1"/>
    <n v="0"/>
    <n v="0"/>
    <n v="0"/>
    <n v="0"/>
    <x v="1"/>
    <x v="1"/>
    <x v="1"/>
    <x v="3"/>
    <x v="0"/>
    <x v="2"/>
    <x v="2"/>
    <x v="2"/>
    <s v="Low"/>
    <x v="0"/>
    <x v="1"/>
    <x v="2"/>
    <x v="1"/>
  </r>
  <r>
    <n v="37"/>
    <x v="1"/>
    <s v="Travel_Rarely"/>
    <n v="1319"/>
    <x v="1"/>
    <n v="6"/>
    <n v="3"/>
    <s v="Medical"/>
    <n v="474"/>
    <n v="3"/>
    <x v="1"/>
    <n v="51"/>
    <n v="4"/>
    <n v="2"/>
    <x v="1"/>
    <n v="1"/>
    <x v="2"/>
    <n v="5974"/>
    <n v="4"/>
    <x v="0"/>
    <n v="13"/>
    <n v="3"/>
    <n v="1"/>
    <n v="2"/>
    <n v="13"/>
    <n v="2"/>
    <n v="3"/>
    <n v="7"/>
    <n v="7"/>
    <n v="6"/>
    <n v="7"/>
    <x v="1"/>
    <x v="0"/>
    <x v="3"/>
    <x v="1"/>
    <x v="2"/>
    <x v="0"/>
    <x v="3"/>
    <x v="0"/>
    <s v="Medium"/>
    <x v="1"/>
    <x v="0"/>
    <x v="0"/>
    <x v="0"/>
  </r>
  <r>
    <n v="30"/>
    <x v="1"/>
    <s v="Non-Travel"/>
    <n v="641"/>
    <x v="0"/>
    <n v="25"/>
    <n v="2"/>
    <s v="Technical Degree"/>
    <n v="475"/>
    <n v="4"/>
    <x v="0"/>
    <n v="85"/>
    <n v="3"/>
    <n v="2"/>
    <x v="0"/>
    <n v="3"/>
    <x v="1"/>
    <n v="4736"/>
    <n v="7"/>
    <x v="0"/>
    <n v="12"/>
    <n v="3"/>
    <n v="2"/>
    <n v="1"/>
    <n v="4"/>
    <n v="2"/>
    <n v="4"/>
    <n v="2"/>
    <n v="2"/>
    <n v="2"/>
    <n v="2"/>
    <x v="1"/>
    <x v="0"/>
    <x v="0"/>
    <x v="2"/>
    <x v="0"/>
    <x v="0"/>
    <x v="2"/>
    <x v="2"/>
    <s v="Low"/>
    <x v="3"/>
    <x v="2"/>
    <x v="0"/>
    <x v="1"/>
  </r>
  <r>
    <n v="26"/>
    <x v="1"/>
    <s v="Travel_Rarely"/>
    <n v="933"/>
    <x v="0"/>
    <n v="1"/>
    <n v="3"/>
    <s v="Life Sciences"/>
    <n v="476"/>
    <n v="3"/>
    <x v="1"/>
    <n v="57"/>
    <n v="3"/>
    <n v="2"/>
    <x v="0"/>
    <n v="3"/>
    <x v="1"/>
    <n v="5296"/>
    <n v="1"/>
    <x v="1"/>
    <n v="17"/>
    <n v="3"/>
    <n v="2"/>
    <n v="1"/>
    <n v="8"/>
    <n v="3"/>
    <n v="3"/>
    <n v="8"/>
    <n v="7"/>
    <n v="7"/>
    <n v="7"/>
    <x v="1"/>
    <x v="1"/>
    <x v="3"/>
    <x v="1"/>
    <x v="0"/>
    <x v="0"/>
    <x v="2"/>
    <x v="2"/>
    <s v="Low"/>
    <x v="1"/>
    <x v="2"/>
    <x v="0"/>
    <x v="0"/>
  </r>
  <r>
    <n v="42"/>
    <x v="1"/>
    <s v="Travel_Rarely"/>
    <n v="1332"/>
    <x v="1"/>
    <n v="2"/>
    <n v="4"/>
    <s v="Other"/>
    <n v="477"/>
    <n v="1"/>
    <x v="1"/>
    <n v="98"/>
    <n v="2"/>
    <n v="2"/>
    <x v="4"/>
    <n v="4"/>
    <x v="0"/>
    <n v="6781"/>
    <n v="3"/>
    <x v="1"/>
    <n v="23"/>
    <n v="4"/>
    <n v="2"/>
    <n v="0"/>
    <n v="14"/>
    <n v="6"/>
    <n v="3"/>
    <n v="1"/>
    <n v="0"/>
    <n v="0"/>
    <n v="0"/>
    <x v="1"/>
    <x v="1"/>
    <x v="2"/>
    <x v="3"/>
    <x v="1"/>
    <x v="0"/>
    <x v="0"/>
    <x v="2"/>
    <s v="No Options"/>
    <x v="1"/>
    <x v="0"/>
    <x v="0"/>
    <x v="1"/>
  </r>
  <r>
    <n v="21"/>
    <x v="0"/>
    <s v="Travel_Frequently"/>
    <n v="756"/>
    <x v="0"/>
    <n v="1"/>
    <n v="1"/>
    <s v="Technical Degree"/>
    <n v="478"/>
    <n v="1"/>
    <x v="0"/>
    <n v="99"/>
    <n v="2"/>
    <n v="1"/>
    <x v="6"/>
    <n v="2"/>
    <x v="0"/>
    <n v="2174"/>
    <n v="1"/>
    <x v="0"/>
    <n v="11"/>
    <n v="3"/>
    <n v="3"/>
    <n v="0"/>
    <n v="3"/>
    <n v="3"/>
    <n v="3"/>
    <n v="3"/>
    <n v="2"/>
    <n v="1"/>
    <n v="2"/>
    <x v="0"/>
    <x v="0"/>
    <x v="1"/>
    <x v="3"/>
    <x v="1"/>
    <x v="1"/>
    <x v="1"/>
    <x v="3"/>
    <s v="No Options"/>
    <x v="1"/>
    <x v="4"/>
    <x v="1"/>
    <x v="2"/>
  </r>
  <r>
    <n v="36"/>
    <x v="1"/>
    <s v="Non-Travel"/>
    <n v="845"/>
    <x v="0"/>
    <n v="1"/>
    <n v="5"/>
    <s v="Medical"/>
    <n v="479"/>
    <n v="4"/>
    <x v="0"/>
    <n v="45"/>
    <n v="3"/>
    <n v="2"/>
    <x v="0"/>
    <n v="4"/>
    <x v="0"/>
    <n v="6653"/>
    <n v="4"/>
    <x v="1"/>
    <n v="15"/>
    <n v="3"/>
    <n v="2"/>
    <n v="0"/>
    <n v="7"/>
    <n v="6"/>
    <n v="3"/>
    <n v="1"/>
    <n v="0"/>
    <n v="0"/>
    <n v="0"/>
    <x v="1"/>
    <x v="1"/>
    <x v="4"/>
    <x v="2"/>
    <x v="0"/>
    <x v="0"/>
    <x v="0"/>
    <x v="2"/>
    <s v="No Options"/>
    <x v="1"/>
    <x v="0"/>
    <x v="0"/>
    <x v="1"/>
  </r>
  <r>
    <n v="36"/>
    <x v="1"/>
    <s v="Travel_Frequently"/>
    <n v="541"/>
    <x v="0"/>
    <n v="3"/>
    <n v="4"/>
    <s v="Medical"/>
    <n v="481"/>
    <n v="1"/>
    <x v="1"/>
    <n v="48"/>
    <n v="2"/>
    <n v="3"/>
    <x v="0"/>
    <n v="4"/>
    <x v="1"/>
    <n v="9699"/>
    <n v="4"/>
    <x v="1"/>
    <n v="11"/>
    <n v="3"/>
    <n v="1"/>
    <n v="1"/>
    <n v="16"/>
    <n v="2"/>
    <n v="3"/>
    <n v="13"/>
    <n v="9"/>
    <n v="1"/>
    <n v="12"/>
    <x v="1"/>
    <x v="1"/>
    <x v="2"/>
    <x v="3"/>
    <x v="1"/>
    <x v="2"/>
    <x v="0"/>
    <x v="0"/>
    <s v="Low"/>
    <x v="1"/>
    <x v="0"/>
    <x v="2"/>
    <x v="4"/>
  </r>
  <r>
    <n v="57"/>
    <x v="1"/>
    <s v="Travel_Rarely"/>
    <n v="593"/>
    <x v="1"/>
    <n v="1"/>
    <n v="4"/>
    <s v="Medical"/>
    <n v="482"/>
    <n v="4"/>
    <x v="1"/>
    <n v="88"/>
    <n v="3"/>
    <n v="2"/>
    <x v="4"/>
    <n v="3"/>
    <x v="1"/>
    <n v="6755"/>
    <n v="2"/>
    <x v="1"/>
    <n v="11"/>
    <n v="3"/>
    <n v="3"/>
    <n v="0"/>
    <n v="15"/>
    <n v="2"/>
    <n v="3"/>
    <n v="3"/>
    <n v="2"/>
    <n v="1"/>
    <n v="2"/>
    <x v="1"/>
    <x v="1"/>
    <x v="2"/>
    <x v="2"/>
    <x v="0"/>
    <x v="0"/>
    <x v="2"/>
    <x v="3"/>
    <s v="No Options"/>
    <x v="1"/>
    <x v="3"/>
    <x v="0"/>
    <x v="2"/>
  </r>
  <r>
    <n v="40"/>
    <x v="1"/>
    <s v="Travel_Rarely"/>
    <n v="1171"/>
    <x v="1"/>
    <n v="10"/>
    <n v="4"/>
    <s v="Life Sciences"/>
    <n v="483"/>
    <n v="4"/>
    <x v="0"/>
    <n v="46"/>
    <n v="4"/>
    <n v="1"/>
    <x v="2"/>
    <n v="3"/>
    <x v="1"/>
    <n v="2213"/>
    <n v="3"/>
    <x v="0"/>
    <n v="13"/>
    <n v="3"/>
    <n v="3"/>
    <n v="1"/>
    <n v="10"/>
    <n v="3"/>
    <n v="3"/>
    <n v="7"/>
    <n v="7"/>
    <n v="1"/>
    <n v="7"/>
    <x v="1"/>
    <x v="0"/>
    <x v="2"/>
    <x v="2"/>
    <x v="2"/>
    <x v="1"/>
    <x v="2"/>
    <x v="3"/>
    <s v="Low"/>
    <x v="1"/>
    <x v="0"/>
    <x v="1"/>
    <x v="0"/>
  </r>
  <r>
    <n v="21"/>
    <x v="1"/>
    <s v="Non-Travel"/>
    <n v="895"/>
    <x v="0"/>
    <n v="9"/>
    <n v="2"/>
    <s v="Medical"/>
    <n v="484"/>
    <n v="1"/>
    <x v="1"/>
    <n v="39"/>
    <n v="3"/>
    <n v="1"/>
    <x v="6"/>
    <n v="4"/>
    <x v="0"/>
    <n v="2610"/>
    <n v="1"/>
    <x v="1"/>
    <n v="24"/>
    <n v="4"/>
    <n v="3"/>
    <n v="0"/>
    <n v="3"/>
    <n v="3"/>
    <n v="2"/>
    <n v="3"/>
    <n v="2"/>
    <n v="2"/>
    <n v="2"/>
    <x v="1"/>
    <x v="1"/>
    <x v="0"/>
    <x v="3"/>
    <x v="0"/>
    <x v="1"/>
    <x v="0"/>
    <x v="3"/>
    <s v="No Options"/>
    <x v="2"/>
    <x v="4"/>
    <x v="1"/>
    <x v="2"/>
  </r>
  <r>
    <n v="33"/>
    <x v="0"/>
    <s v="Travel_Rarely"/>
    <n v="350"/>
    <x v="0"/>
    <n v="5"/>
    <n v="3"/>
    <s v="Marketing"/>
    <n v="485"/>
    <n v="4"/>
    <x v="0"/>
    <n v="34"/>
    <n v="3"/>
    <n v="1"/>
    <x v="6"/>
    <n v="3"/>
    <x v="0"/>
    <n v="2851"/>
    <n v="1"/>
    <x v="0"/>
    <n v="13"/>
    <n v="3"/>
    <n v="2"/>
    <n v="0"/>
    <n v="1"/>
    <n v="2"/>
    <n v="3"/>
    <n v="1"/>
    <n v="0"/>
    <n v="0"/>
    <n v="0"/>
    <x v="0"/>
    <x v="0"/>
    <x v="3"/>
    <x v="2"/>
    <x v="0"/>
    <x v="1"/>
    <x v="2"/>
    <x v="2"/>
    <s v="No Options"/>
    <x v="1"/>
    <x v="2"/>
    <x v="1"/>
    <x v="1"/>
  </r>
  <r>
    <n v="37"/>
    <x v="1"/>
    <s v="Travel_Rarely"/>
    <n v="921"/>
    <x v="1"/>
    <n v="10"/>
    <n v="3"/>
    <s v="Medical"/>
    <n v="486"/>
    <n v="3"/>
    <x v="0"/>
    <n v="98"/>
    <n v="3"/>
    <n v="1"/>
    <x v="2"/>
    <n v="1"/>
    <x v="1"/>
    <n v="3452"/>
    <n v="6"/>
    <x v="1"/>
    <n v="20"/>
    <n v="4"/>
    <n v="2"/>
    <n v="1"/>
    <n v="17"/>
    <n v="3"/>
    <n v="3"/>
    <n v="5"/>
    <n v="4"/>
    <n v="0"/>
    <n v="3"/>
    <x v="1"/>
    <x v="1"/>
    <x v="3"/>
    <x v="1"/>
    <x v="0"/>
    <x v="1"/>
    <x v="3"/>
    <x v="2"/>
    <s v="Low"/>
    <x v="1"/>
    <x v="0"/>
    <x v="0"/>
    <x v="2"/>
  </r>
  <r>
    <n v="46"/>
    <x v="1"/>
    <s v="Non-Travel"/>
    <n v="1144"/>
    <x v="1"/>
    <n v="7"/>
    <n v="4"/>
    <s v="Medical"/>
    <n v="487"/>
    <n v="3"/>
    <x v="0"/>
    <n v="30"/>
    <n v="3"/>
    <n v="2"/>
    <x v="3"/>
    <n v="3"/>
    <x v="1"/>
    <n v="5258"/>
    <n v="2"/>
    <x v="1"/>
    <n v="14"/>
    <n v="3"/>
    <n v="3"/>
    <n v="0"/>
    <n v="7"/>
    <n v="2"/>
    <n v="4"/>
    <n v="1"/>
    <n v="0"/>
    <n v="0"/>
    <n v="0"/>
    <x v="1"/>
    <x v="1"/>
    <x v="2"/>
    <x v="1"/>
    <x v="0"/>
    <x v="0"/>
    <x v="2"/>
    <x v="3"/>
    <s v="No Options"/>
    <x v="3"/>
    <x v="1"/>
    <x v="0"/>
    <x v="1"/>
  </r>
  <r>
    <n v="41"/>
    <x v="0"/>
    <s v="Travel_Frequently"/>
    <n v="143"/>
    <x v="0"/>
    <n v="4"/>
    <n v="3"/>
    <s v="Marketing"/>
    <n v="488"/>
    <n v="1"/>
    <x v="1"/>
    <n v="56"/>
    <n v="3"/>
    <n v="2"/>
    <x v="0"/>
    <n v="2"/>
    <x v="0"/>
    <n v="9355"/>
    <n v="1"/>
    <x v="1"/>
    <n v="18"/>
    <n v="3"/>
    <n v="3"/>
    <n v="0"/>
    <n v="8"/>
    <n v="5"/>
    <n v="3"/>
    <n v="8"/>
    <n v="7"/>
    <n v="7"/>
    <n v="7"/>
    <x v="0"/>
    <x v="1"/>
    <x v="3"/>
    <x v="3"/>
    <x v="0"/>
    <x v="0"/>
    <x v="1"/>
    <x v="3"/>
    <s v="No Options"/>
    <x v="1"/>
    <x v="0"/>
    <x v="2"/>
    <x v="0"/>
  </r>
  <r>
    <n v="50"/>
    <x v="1"/>
    <s v="Travel_Rarely"/>
    <n v="1046"/>
    <x v="1"/>
    <n v="10"/>
    <n v="3"/>
    <s v="Technical Degree"/>
    <n v="491"/>
    <n v="4"/>
    <x v="1"/>
    <n v="100"/>
    <n v="2"/>
    <n v="3"/>
    <x v="4"/>
    <n v="4"/>
    <x v="0"/>
    <n v="10496"/>
    <n v="6"/>
    <x v="1"/>
    <n v="15"/>
    <n v="3"/>
    <n v="4"/>
    <n v="0"/>
    <n v="20"/>
    <n v="2"/>
    <n v="3"/>
    <n v="4"/>
    <n v="3"/>
    <n v="1"/>
    <n v="3"/>
    <x v="1"/>
    <x v="1"/>
    <x v="3"/>
    <x v="2"/>
    <x v="1"/>
    <x v="2"/>
    <x v="0"/>
    <x v="1"/>
    <s v="No Options"/>
    <x v="1"/>
    <x v="1"/>
    <x v="2"/>
    <x v="2"/>
  </r>
  <r>
    <n v="40"/>
    <x v="0"/>
    <s v="Travel_Rarely"/>
    <n v="575"/>
    <x v="0"/>
    <n v="22"/>
    <n v="2"/>
    <s v="Marketing"/>
    <n v="492"/>
    <n v="3"/>
    <x v="1"/>
    <n v="68"/>
    <n v="2"/>
    <n v="2"/>
    <x v="0"/>
    <n v="3"/>
    <x v="1"/>
    <n v="6380"/>
    <n v="2"/>
    <x v="0"/>
    <n v="12"/>
    <n v="3"/>
    <n v="1"/>
    <n v="2"/>
    <n v="8"/>
    <n v="6"/>
    <n v="3"/>
    <n v="6"/>
    <n v="4"/>
    <n v="1"/>
    <n v="0"/>
    <x v="0"/>
    <x v="0"/>
    <x v="0"/>
    <x v="1"/>
    <x v="1"/>
    <x v="0"/>
    <x v="2"/>
    <x v="0"/>
    <s v="Medium"/>
    <x v="1"/>
    <x v="0"/>
    <x v="0"/>
    <x v="0"/>
  </r>
  <r>
    <n v="31"/>
    <x v="1"/>
    <s v="Travel_Rarely"/>
    <n v="408"/>
    <x v="1"/>
    <n v="9"/>
    <n v="4"/>
    <s v="Life Sciences"/>
    <n v="493"/>
    <n v="3"/>
    <x v="1"/>
    <n v="42"/>
    <n v="2"/>
    <n v="1"/>
    <x v="1"/>
    <n v="2"/>
    <x v="0"/>
    <n v="2657"/>
    <n v="0"/>
    <x v="0"/>
    <n v="16"/>
    <n v="3"/>
    <n v="4"/>
    <n v="0"/>
    <n v="3"/>
    <n v="5"/>
    <n v="3"/>
    <n v="2"/>
    <n v="2"/>
    <n v="2"/>
    <n v="2"/>
    <x v="1"/>
    <x v="0"/>
    <x v="2"/>
    <x v="1"/>
    <x v="1"/>
    <x v="1"/>
    <x v="1"/>
    <x v="1"/>
    <s v="No Options"/>
    <x v="1"/>
    <x v="2"/>
    <x v="1"/>
    <x v="1"/>
  </r>
  <r>
    <n v="21"/>
    <x v="0"/>
    <s v="Travel_Rarely"/>
    <n v="156"/>
    <x v="0"/>
    <n v="12"/>
    <n v="3"/>
    <s v="Life Sciences"/>
    <n v="494"/>
    <n v="3"/>
    <x v="0"/>
    <n v="90"/>
    <n v="4"/>
    <n v="1"/>
    <x v="6"/>
    <n v="2"/>
    <x v="0"/>
    <n v="2716"/>
    <n v="1"/>
    <x v="1"/>
    <n v="15"/>
    <n v="3"/>
    <n v="4"/>
    <n v="0"/>
    <n v="1"/>
    <n v="0"/>
    <n v="3"/>
    <n v="1"/>
    <n v="0"/>
    <n v="0"/>
    <n v="0"/>
    <x v="0"/>
    <x v="1"/>
    <x v="3"/>
    <x v="1"/>
    <x v="2"/>
    <x v="1"/>
    <x v="1"/>
    <x v="1"/>
    <s v="No Options"/>
    <x v="1"/>
    <x v="4"/>
    <x v="1"/>
    <x v="1"/>
  </r>
  <r>
    <n v="29"/>
    <x v="1"/>
    <s v="Travel_Rarely"/>
    <n v="1283"/>
    <x v="1"/>
    <n v="23"/>
    <n v="3"/>
    <s v="Life Sciences"/>
    <n v="495"/>
    <n v="4"/>
    <x v="1"/>
    <n v="54"/>
    <n v="3"/>
    <n v="1"/>
    <x v="1"/>
    <n v="4"/>
    <x v="0"/>
    <n v="2201"/>
    <n v="9"/>
    <x v="1"/>
    <n v="16"/>
    <n v="3"/>
    <n v="4"/>
    <n v="0"/>
    <n v="6"/>
    <n v="4"/>
    <n v="3"/>
    <n v="3"/>
    <n v="2"/>
    <n v="1"/>
    <n v="2"/>
    <x v="1"/>
    <x v="1"/>
    <x v="3"/>
    <x v="2"/>
    <x v="0"/>
    <x v="1"/>
    <x v="0"/>
    <x v="1"/>
    <s v="No Options"/>
    <x v="1"/>
    <x v="2"/>
    <x v="1"/>
    <x v="2"/>
  </r>
  <r>
    <n v="35"/>
    <x v="1"/>
    <s v="Travel_Rarely"/>
    <n v="755"/>
    <x v="1"/>
    <n v="9"/>
    <n v="4"/>
    <s v="Life Sciences"/>
    <n v="496"/>
    <n v="3"/>
    <x v="1"/>
    <n v="97"/>
    <n v="2"/>
    <n v="2"/>
    <x v="4"/>
    <n v="2"/>
    <x v="0"/>
    <n v="6540"/>
    <n v="9"/>
    <x v="1"/>
    <n v="19"/>
    <n v="3"/>
    <n v="3"/>
    <n v="0"/>
    <n v="10"/>
    <n v="5"/>
    <n v="3"/>
    <n v="1"/>
    <n v="1"/>
    <n v="0"/>
    <n v="0"/>
    <x v="1"/>
    <x v="1"/>
    <x v="2"/>
    <x v="1"/>
    <x v="1"/>
    <x v="0"/>
    <x v="1"/>
    <x v="3"/>
    <s v="No Options"/>
    <x v="1"/>
    <x v="0"/>
    <x v="0"/>
    <x v="1"/>
  </r>
  <r>
    <n v="27"/>
    <x v="1"/>
    <s v="Travel_Rarely"/>
    <n v="1469"/>
    <x v="1"/>
    <n v="1"/>
    <n v="2"/>
    <s v="Medical"/>
    <n v="497"/>
    <n v="4"/>
    <x v="1"/>
    <n v="82"/>
    <n v="3"/>
    <n v="1"/>
    <x v="2"/>
    <n v="2"/>
    <x v="2"/>
    <n v="3816"/>
    <n v="1"/>
    <x v="1"/>
    <n v="11"/>
    <n v="3"/>
    <n v="2"/>
    <n v="1"/>
    <n v="5"/>
    <n v="2"/>
    <n v="3"/>
    <n v="5"/>
    <n v="2"/>
    <n v="0"/>
    <n v="4"/>
    <x v="1"/>
    <x v="1"/>
    <x v="0"/>
    <x v="2"/>
    <x v="0"/>
    <x v="1"/>
    <x v="1"/>
    <x v="2"/>
    <s v="Low"/>
    <x v="1"/>
    <x v="2"/>
    <x v="0"/>
    <x v="2"/>
  </r>
  <r>
    <n v="28"/>
    <x v="1"/>
    <s v="Travel_Rarely"/>
    <n v="304"/>
    <x v="0"/>
    <n v="9"/>
    <n v="4"/>
    <s v="Life Sciences"/>
    <n v="498"/>
    <n v="2"/>
    <x v="1"/>
    <n v="92"/>
    <n v="3"/>
    <n v="2"/>
    <x v="0"/>
    <n v="4"/>
    <x v="0"/>
    <n v="5253"/>
    <n v="1"/>
    <x v="1"/>
    <n v="16"/>
    <n v="3"/>
    <n v="4"/>
    <n v="0"/>
    <n v="7"/>
    <n v="1"/>
    <n v="3"/>
    <n v="7"/>
    <n v="5"/>
    <n v="0"/>
    <n v="7"/>
    <x v="1"/>
    <x v="1"/>
    <x v="2"/>
    <x v="0"/>
    <x v="0"/>
    <x v="0"/>
    <x v="0"/>
    <x v="1"/>
    <s v="No Options"/>
    <x v="1"/>
    <x v="2"/>
    <x v="0"/>
    <x v="0"/>
  </r>
  <r>
    <n v="49"/>
    <x v="1"/>
    <s v="Travel_Rarely"/>
    <n v="1261"/>
    <x v="1"/>
    <n v="7"/>
    <n v="3"/>
    <s v="Other"/>
    <n v="499"/>
    <n v="2"/>
    <x v="1"/>
    <n v="31"/>
    <n v="2"/>
    <n v="3"/>
    <x v="4"/>
    <n v="3"/>
    <x v="0"/>
    <n v="10965"/>
    <n v="8"/>
    <x v="1"/>
    <n v="24"/>
    <n v="4"/>
    <n v="3"/>
    <n v="0"/>
    <n v="26"/>
    <n v="2"/>
    <n v="3"/>
    <n v="5"/>
    <n v="2"/>
    <n v="0"/>
    <n v="0"/>
    <x v="1"/>
    <x v="1"/>
    <x v="3"/>
    <x v="0"/>
    <x v="1"/>
    <x v="2"/>
    <x v="2"/>
    <x v="3"/>
    <s v="No Options"/>
    <x v="1"/>
    <x v="1"/>
    <x v="2"/>
    <x v="2"/>
  </r>
  <r>
    <n v="51"/>
    <x v="1"/>
    <s v="Travel_Rarely"/>
    <n v="1178"/>
    <x v="0"/>
    <n v="14"/>
    <n v="2"/>
    <s v="Life Sciences"/>
    <n v="500"/>
    <n v="3"/>
    <x v="0"/>
    <n v="87"/>
    <n v="3"/>
    <n v="2"/>
    <x v="0"/>
    <n v="4"/>
    <x v="1"/>
    <n v="4936"/>
    <n v="4"/>
    <x v="1"/>
    <n v="11"/>
    <n v="3"/>
    <n v="3"/>
    <n v="1"/>
    <n v="18"/>
    <n v="2"/>
    <n v="2"/>
    <n v="7"/>
    <n v="7"/>
    <n v="0"/>
    <n v="7"/>
    <x v="1"/>
    <x v="1"/>
    <x v="0"/>
    <x v="1"/>
    <x v="0"/>
    <x v="0"/>
    <x v="0"/>
    <x v="3"/>
    <s v="Low"/>
    <x v="2"/>
    <x v="1"/>
    <x v="0"/>
    <x v="0"/>
  </r>
  <r>
    <n v="36"/>
    <x v="1"/>
    <s v="Travel_Rarely"/>
    <n v="329"/>
    <x v="1"/>
    <n v="2"/>
    <n v="3"/>
    <s v="Life Sciences"/>
    <n v="501"/>
    <n v="4"/>
    <x v="0"/>
    <n v="96"/>
    <n v="3"/>
    <n v="1"/>
    <x v="1"/>
    <n v="3"/>
    <x v="1"/>
    <n v="2543"/>
    <n v="4"/>
    <x v="1"/>
    <n v="13"/>
    <n v="3"/>
    <n v="2"/>
    <n v="1"/>
    <n v="6"/>
    <n v="3"/>
    <n v="3"/>
    <n v="2"/>
    <n v="2"/>
    <n v="2"/>
    <n v="2"/>
    <x v="1"/>
    <x v="1"/>
    <x v="3"/>
    <x v="2"/>
    <x v="0"/>
    <x v="1"/>
    <x v="2"/>
    <x v="2"/>
    <s v="Low"/>
    <x v="1"/>
    <x v="0"/>
    <x v="1"/>
    <x v="1"/>
  </r>
  <r>
    <n v="34"/>
    <x v="0"/>
    <s v="Non-Travel"/>
    <n v="1362"/>
    <x v="0"/>
    <n v="19"/>
    <n v="3"/>
    <s v="Marketing"/>
    <n v="502"/>
    <n v="1"/>
    <x v="1"/>
    <n v="67"/>
    <n v="4"/>
    <n v="2"/>
    <x v="0"/>
    <n v="4"/>
    <x v="0"/>
    <n v="5304"/>
    <n v="8"/>
    <x v="0"/>
    <n v="13"/>
    <n v="3"/>
    <n v="2"/>
    <n v="0"/>
    <n v="9"/>
    <n v="3"/>
    <n v="2"/>
    <n v="5"/>
    <n v="2"/>
    <n v="0"/>
    <n v="4"/>
    <x v="0"/>
    <x v="0"/>
    <x v="3"/>
    <x v="3"/>
    <x v="2"/>
    <x v="0"/>
    <x v="0"/>
    <x v="2"/>
    <s v="No Options"/>
    <x v="2"/>
    <x v="2"/>
    <x v="0"/>
    <x v="2"/>
  </r>
  <r>
    <n v="55"/>
    <x v="1"/>
    <s v="Travel_Rarely"/>
    <n v="1311"/>
    <x v="1"/>
    <n v="2"/>
    <n v="3"/>
    <s v="Life Sciences"/>
    <n v="505"/>
    <n v="3"/>
    <x v="0"/>
    <n v="97"/>
    <n v="3"/>
    <n v="4"/>
    <x v="5"/>
    <n v="4"/>
    <x v="0"/>
    <n v="16659"/>
    <n v="2"/>
    <x v="0"/>
    <n v="13"/>
    <n v="3"/>
    <n v="3"/>
    <n v="0"/>
    <n v="30"/>
    <n v="2"/>
    <n v="3"/>
    <n v="5"/>
    <n v="4"/>
    <n v="1"/>
    <n v="2"/>
    <x v="1"/>
    <x v="0"/>
    <x v="3"/>
    <x v="1"/>
    <x v="0"/>
    <x v="3"/>
    <x v="0"/>
    <x v="3"/>
    <s v="No Options"/>
    <x v="1"/>
    <x v="3"/>
    <x v="3"/>
    <x v="2"/>
  </r>
  <r>
    <n v="24"/>
    <x v="1"/>
    <s v="Travel_Rarely"/>
    <n v="1371"/>
    <x v="0"/>
    <n v="10"/>
    <n v="4"/>
    <s v="Marketing"/>
    <n v="507"/>
    <n v="4"/>
    <x v="0"/>
    <n v="77"/>
    <n v="3"/>
    <n v="2"/>
    <x v="0"/>
    <n v="3"/>
    <x v="2"/>
    <n v="4260"/>
    <n v="1"/>
    <x v="0"/>
    <n v="12"/>
    <n v="3"/>
    <n v="4"/>
    <n v="1"/>
    <n v="5"/>
    <n v="2"/>
    <n v="4"/>
    <n v="5"/>
    <n v="2"/>
    <n v="0"/>
    <n v="3"/>
    <x v="1"/>
    <x v="0"/>
    <x v="2"/>
    <x v="2"/>
    <x v="0"/>
    <x v="0"/>
    <x v="2"/>
    <x v="1"/>
    <s v="Low"/>
    <x v="3"/>
    <x v="4"/>
    <x v="0"/>
    <x v="2"/>
  </r>
  <r>
    <n v="30"/>
    <x v="1"/>
    <s v="Travel_Rarely"/>
    <n v="202"/>
    <x v="0"/>
    <n v="2"/>
    <n v="1"/>
    <s v="Technical Degree"/>
    <n v="508"/>
    <n v="3"/>
    <x v="1"/>
    <n v="72"/>
    <n v="3"/>
    <n v="1"/>
    <x v="6"/>
    <n v="2"/>
    <x v="1"/>
    <n v="2476"/>
    <n v="1"/>
    <x v="1"/>
    <n v="18"/>
    <n v="3"/>
    <n v="1"/>
    <n v="1"/>
    <n v="1"/>
    <n v="3"/>
    <n v="3"/>
    <n v="1"/>
    <n v="0"/>
    <n v="0"/>
    <n v="0"/>
    <x v="1"/>
    <x v="1"/>
    <x v="1"/>
    <x v="1"/>
    <x v="0"/>
    <x v="1"/>
    <x v="1"/>
    <x v="0"/>
    <s v="Low"/>
    <x v="1"/>
    <x v="2"/>
    <x v="1"/>
    <x v="1"/>
  </r>
  <r>
    <n v="26"/>
    <x v="0"/>
    <s v="Travel_Frequently"/>
    <n v="575"/>
    <x v="1"/>
    <n v="3"/>
    <n v="1"/>
    <s v="Technical Degree"/>
    <n v="510"/>
    <n v="3"/>
    <x v="1"/>
    <n v="73"/>
    <n v="3"/>
    <n v="1"/>
    <x v="1"/>
    <n v="1"/>
    <x v="0"/>
    <n v="3102"/>
    <n v="0"/>
    <x v="1"/>
    <n v="22"/>
    <n v="4"/>
    <n v="3"/>
    <n v="0"/>
    <n v="7"/>
    <n v="2"/>
    <n v="3"/>
    <n v="6"/>
    <n v="4"/>
    <n v="0"/>
    <n v="4"/>
    <x v="0"/>
    <x v="1"/>
    <x v="1"/>
    <x v="1"/>
    <x v="0"/>
    <x v="1"/>
    <x v="3"/>
    <x v="3"/>
    <s v="No Options"/>
    <x v="1"/>
    <x v="2"/>
    <x v="0"/>
    <x v="0"/>
  </r>
  <r>
    <n v="22"/>
    <x v="1"/>
    <s v="Travel_Rarely"/>
    <n v="253"/>
    <x v="1"/>
    <n v="11"/>
    <n v="3"/>
    <s v="Medical"/>
    <n v="511"/>
    <n v="1"/>
    <x v="0"/>
    <n v="43"/>
    <n v="3"/>
    <n v="1"/>
    <x v="1"/>
    <n v="2"/>
    <x v="1"/>
    <n v="2244"/>
    <n v="1"/>
    <x v="1"/>
    <n v="13"/>
    <n v="3"/>
    <n v="4"/>
    <n v="1"/>
    <n v="2"/>
    <n v="1"/>
    <n v="3"/>
    <n v="2"/>
    <n v="1"/>
    <n v="1"/>
    <n v="2"/>
    <x v="1"/>
    <x v="1"/>
    <x v="3"/>
    <x v="3"/>
    <x v="0"/>
    <x v="1"/>
    <x v="1"/>
    <x v="1"/>
    <s v="Low"/>
    <x v="1"/>
    <x v="4"/>
    <x v="1"/>
    <x v="1"/>
  </r>
  <r>
    <n v="36"/>
    <x v="1"/>
    <s v="Travel_Rarely"/>
    <n v="164"/>
    <x v="0"/>
    <n v="2"/>
    <n v="2"/>
    <s v="Medical"/>
    <n v="513"/>
    <n v="2"/>
    <x v="1"/>
    <n v="61"/>
    <n v="2"/>
    <n v="3"/>
    <x v="0"/>
    <n v="3"/>
    <x v="1"/>
    <n v="7596"/>
    <n v="1"/>
    <x v="1"/>
    <n v="13"/>
    <n v="3"/>
    <n v="2"/>
    <n v="2"/>
    <n v="10"/>
    <n v="2"/>
    <n v="3"/>
    <n v="10"/>
    <n v="9"/>
    <n v="9"/>
    <n v="0"/>
    <x v="1"/>
    <x v="1"/>
    <x v="0"/>
    <x v="0"/>
    <x v="1"/>
    <x v="2"/>
    <x v="2"/>
    <x v="2"/>
    <s v="Medium"/>
    <x v="1"/>
    <x v="0"/>
    <x v="2"/>
    <x v="0"/>
  </r>
  <r>
    <n v="30"/>
    <x v="0"/>
    <s v="Travel_Frequently"/>
    <n v="464"/>
    <x v="1"/>
    <n v="4"/>
    <n v="3"/>
    <s v="Technical Degree"/>
    <n v="514"/>
    <n v="3"/>
    <x v="1"/>
    <n v="40"/>
    <n v="3"/>
    <n v="1"/>
    <x v="1"/>
    <n v="4"/>
    <x v="0"/>
    <n v="2285"/>
    <n v="9"/>
    <x v="0"/>
    <n v="23"/>
    <n v="4"/>
    <n v="3"/>
    <n v="0"/>
    <n v="3"/>
    <n v="4"/>
    <n v="3"/>
    <n v="1"/>
    <n v="0"/>
    <n v="0"/>
    <n v="0"/>
    <x v="0"/>
    <x v="0"/>
    <x v="3"/>
    <x v="1"/>
    <x v="0"/>
    <x v="1"/>
    <x v="0"/>
    <x v="3"/>
    <s v="No Options"/>
    <x v="1"/>
    <x v="2"/>
    <x v="1"/>
    <x v="1"/>
  </r>
  <r>
    <n v="37"/>
    <x v="1"/>
    <s v="Travel_Rarely"/>
    <n v="1107"/>
    <x v="1"/>
    <n v="14"/>
    <n v="3"/>
    <s v="Life Sciences"/>
    <n v="515"/>
    <n v="4"/>
    <x v="0"/>
    <n v="95"/>
    <n v="3"/>
    <n v="1"/>
    <x v="2"/>
    <n v="1"/>
    <x v="2"/>
    <n v="3034"/>
    <n v="1"/>
    <x v="1"/>
    <n v="12"/>
    <n v="3"/>
    <n v="3"/>
    <n v="1"/>
    <n v="18"/>
    <n v="2"/>
    <n v="2"/>
    <n v="18"/>
    <n v="7"/>
    <n v="12"/>
    <n v="17"/>
    <x v="1"/>
    <x v="1"/>
    <x v="3"/>
    <x v="2"/>
    <x v="0"/>
    <x v="1"/>
    <x v="3"/>
    <x v="3"/>
    <s v="Low"/>
    <x v="2"/>
    <x v="0"/>
    <x v="0"/>
    <x v="4"/>
  </r>
  <r>
    <n v="40"/>
    <x v="1"/>
    <s v="Travel_Rarely"/>
    <n v="759"/>
    <x v="0"/>
    <n v="2"/>
    <n v="2"/>
    <s v="Marketing"/>
    <n v="516"/>
    <n v="4"/>
    <x v="0"/>
    <n v="46"/>
    <n v="3"/>
    <n v="2"/>
    <x v="0"/>
    <n v="2"/>
    <x v="2"/>
    <n v="5715"/>
    <n v="7"/>
    <x v="1"/>
    <n v="12"/>
    <n v="3"/>
    <n v="3"/>
    <n v="2"/>
    <n v="8"/>
    <n v="5"/>
    <n v="3"/>
    <n v="5"/>
    <n v="4"/>
    <n v="1"/>
    <n v="3"/>
    <x v="1"/>
    <x v="1"/>
    <x v="0"/>
    <x v="2"/>
    <x v="0"/>
    <x v="0"/>
    <x v="1"/>
    <x v="3"/>
    <s v="Medium"/>
    <x v="1"/>
    <x v="0"/>
    <x v="0"/>
    <x v="2"/>
  </r>
  <r>
    <n v="42"/>
    <x v="1"/>
    <s v="Travel_Rarely"/>
    <n v="201"/>
    <x v="1"/>
    <n v="1"/>
    <n v="4"/>
    <s v="Life Sciences"/>
    <n v="517"/>
    <n v="2"/>
    <x v="0"/>
    <n v="95"/>
    <n v="3"/>
    <n v="1"/>
    <x v="2"/>
    <n v="1"/>
    <x v="2"/>
    <n v="2576"/>
    <n v="3"/>
    <x v="1"/>
    <n v="16"/>
    <n v="3"/>
    <n v="2"/>
    <n v="1"/>
    <n v="8"/>
    <n v="5"/>
    <n v="3"/>
    <n v="5"/>
    <n v="2"/>
    <n v="1"/>
    <n v="2"/>
    <x v="1"/>
    <x v="1"/>
    <x v="2"/>
    <x v="0"/>
    <x v="0"/>
    <x v="1"/>
    <x v="3"/>
    <x v="2"/>
    <s v="Low"/>
    <x v="1"/>
    <x v="0"/>
    <x v="1"/>
    <x v="2"/>
  </r>
  <r>
    <n v="37"/>
    <x v="1"/>
    <s v="Travel_Rarely"/>
    <n v="1305"/>
    <x v="1"/>
    <n v="10"/>
    <n v="4"/>
    <s v="Life Sciences"/>
    <n v="518"/>
    <n v="3"/>
    <x v="1"/>
    <n v="49"/>
    <n v="3"/>
    <n v="2"/>
    <x v="3"/>
    <n v="2"/>
    <x v="0"/>
    <n v="4197"/>
    <n v="2"/>
    <x v="0"/>
    <n v="12"/>
    <n v="3"/>
    <n v="4"/>
    <n v="0"/>
    <n v="18"/>
    <n v="2"/>
    <n v="2"/>
    <n v="1"/>
    <n v="0"/>
    <n v="0"/>
    <n v="1"/>
    <x v="1"/>
    <x v="0"/>
    <x v="2"/>
    <x v="1"/>
    <x v="0"/>
    <x v="0"/>
    <x v="1"/>
    <x v="1"/>
    <s v="No Options"/>
    <x v="2"/>
    <x v="0"/>
    <x v="0"/>
    <x v="1"/>
  </r>
  <r>
    <n v="43"/>
    <x v="1"/>
    <s v="Travel_Rarely"/>
    <n v="982"/>
    <x v="1"/>
    <n v="12"/>
    <n v="3"/>
    <s v="Life Sciences"/>
    <n v="520"/>
    <n v="1"/>
    <x v="1"/>
    <n v="59"/>
    <n v="2"/>
    <n v="4"/>
    <x v="7"/>
    <n v="2"/>
    <x v="2"/>
    <n v="14336"/>
    <n v="1"/>
    <x v="1"/>
    <n v="11"/>
    <n v="3"/>
    <n v="3"/>
    <n v="1"/>
    <n v="25"/>
    <n v="3"/>
    <n v="3"/>
    <n v="25"/>
    <n v="10"/>
    <n v="3"/>
    <n v="9"/>
    <x v="1"/>
    <x v="1"/>
    <x v="3"/>
    <x v="3"/>
    <x v="1"/>
    <x v="3"/>
    <x v="1"/>
    <x v="3"/>
    <s v="Low"/>
    <x v="1"/>
    <x v="0"/>
    <x v="3"/>
    <x v="3"/>
  </r>
  <r>
    <n v="40"/>
    <x v="1"/>
    <s v="Travel_Rarely"/>
    <n v="555"/>
    <x v="1"/>
    <n v="2"/>
    <n v="3"/>
    <s v="Medical"/>
    <n v="521"/>
    <n v="2"/>
    <x v="0"/>
    <n v="78"/>
    <n v="2"/>
    <n v="2"/>
    <x v="2"/>
    <n v="3"/>
    <x v="1"/>
    <n v="3448"/>
    <n v="6"/>
    <x v="1"/>
    <n v="22"/>
    <n v="4"/>
    <n v="2"/>
    <n v="1"/>
    <n v="20"/>
    <n v="3"/>
    <n v="3"/>
    <n v="1"/>
    <n v="0"/>
    <n v="0"/>
    <n v="0"/>
    <x v="1"/>
    <x v="1"/>
    <x v="3"/>
    <x v="0"/>
    <x v="1"/>
    <x v="0"/>
    <x v="2"/>
    <x v="2"/>
    <s v="Low"/>
    <x v="1"/>
    <x v="0"/>
    <x v="0"/>
    <x v="1"/>
  </r>
  <r>
    <n v="54"/>
    <x v="1"/>
    <s v="Travel_Rarely"/>
    <n v="821"/>
    <x v="1"/>
    <n v="5"/>
    <n v="2"/>
    <s v="Medical"/>
    <n v="522"/>
    <n v="1"/>
    <x v="1"/>
    <n v="86"/>
    <n v="3"/>
    <n v="5"/>
    <x v="7"/>
    <n v="1"/>
    <x v="1"/>
    <n v="19406"/>
    <n v="4"/>
    <x v="1"/>
    <n v="11"/>
    <n v="3"/>
    <n v="3"/>
    <n v="1"/>
    <n v="24"/>
    <n v="4"/>
    <n v="2"/>
    <n v="4"/>
    <n v="2"/>
    <n v="1"/>
    <n v="2"/>
    <x v="1"/>
    <x v="1"/>
    <x v="0"/>
    <x v="3"/>
    <x v="0"/>
    <x v="4"/>
    <x v="3"/>
    <x v="3"/>
    <s v="Low"/>
    <x v="2"/>
    <x v="1"/>
    <x v="3"/>
    <x v="2"/>
  </r>
  <r>
    <n v="34"/>
    <x v="1"/>
    <s v="Non-Travel"/>
    <n v="1381"/>
    <x v="0"/>
    <n v="4"/>
    <n v="4"/>
    <s v="Marketing"/>
    <n v="523"/>
    <n v="3"/>
    <x v="0"/>
    <n v="72"/>
    <n v="3"/>
    <n v="2"/>
    <x v="0"/>
    <n v="3"/>
    <x v="1"/>
    <n v="6538"/>
    <n v="9"/>
    <x v="1"/>
    <n v="15"/>
    <n v="3"/>
    <n v="1"/>
    <n v="1"/>
    <n v="6"/>
    <n v="3"/>
    <n v="3"/>
    <n v="3"/>
    <n v="2"/>
    <n v="1"/>
    <n v="2"/>
    <x v="1"/>
    <x v="1"/>
    <x v="2"/>
    <x v="1"/>
    <x v="0"/>
    <x v="0"/>
    <x v="2"/>
    <x v="0"/>
    <s v="Low"/>
    <x v="1"/>
    <x v="2"/>
    <x v="0"/>
    <x v="2"/>
  </r>
  <r>
    <n v="31"/>
    <x v="1"/>
    <s v="Travel_Rarely"/>
    <n v="480"/>
    <x v="1"/>
    <n v="7"/>
    <n v="2"/>
    <s v="Medical"/>
    <n v="524"/>
    <n v="2"/>
    <x v="0"/>
    <n v="31"/>
    <n v="3"/>
    <n v="2"/>
    <x v="3"/>
    <n v="1"/>
    <x v="1"/>
    <n v="4306"/>
    <n v="1"/>
    <x v="1"/>
    <n v="12"/>
    <n v="3"/>
    <n v="2"/>
    <n v="1"/>
    <n v="13"/>
    <n v="5"/>
    <n v="1"/>
    <n v="13"/>
    <n v="10"/>
    <n v="3"/>
    <n v="12"/>
    <x v="1"/>
    <x v="1"/>
    <x v="0"/>
    <x v="0"/>
    <x v="0"/>
    <x v="0"/>
    <x v="3"/>
    <x v="2"/>
    <s v="Low"/>
    <x v="0"/>
    <x v="2"/>
    <x v="0"/>
    <x v="4"/>
  </r>
  <r>
    <n v="43"/>
    <x v="1"/>
    <s v="Travel_Frequently"/>
    <n v="313"/>
    <x v="1"/>
    <n v="21"/>
    <n v="3"/>
    <s v="Medical"/>
    <n v="525"/>
    <n v="4"/>
    <x v="1"/>
    <n v="61"/>
    <n v="3"/>
    <n v="1"/>
    <x v="2"/>
    <n v="4"/>
    <x v="1"/>
    <n v="2258"/>
    <n v="7"/>
    <x v="1"/>
    <n v="20"/>
    <n v="4"/>
    <n v="1"/>
    <n v="1"/>
    <n v="8"/>
    <n v="1"/>
    <n v="3"/>
    <n v="3"/>
    <n v="2"/>
    <n v="1"/>
    <n v="2"/>
    <x v="1"/>
    <x v="1"/>
    <x v="3"/>
    <x v="2"/>
    <x v="0"/>
    <x v="1"/>
    <x v="0"/>
    <x v="0"/>
    <s v="Low"/>
    <x v="1"/>
    <x v="0"/>
    <x v="1"/>
    <x v="2"/>
  </r>
  <r>
    <n v="43"/>
    <x v="1"/>
    <s v="Travel_Rarely"/>
    <n v="1473"/>
    <x v="1"/>
    <n v="8"/>
    <n v="4"/>
    <s v="Other"/>
    <n v="526"/>
    <n v="3"/>
    <x v="0"/>
    <n v="74"/>
    <n v="3"/>
    <n v="2"/>
    <x v="4"/>
    <n v="3"/>
    <x v="2"/>
    <n v="4522"/>
    <n v="4"/>
    <x v="0"/>
    <n v="14"/>
    <n v="3"/>
    <n v="4"/>
    <n v="0"/>
    <n v="8"/>
    <n v="3"/>
    <n v="3"/>
    <n v="5"/>
    <n v="2"/>
    <n v="0"/>
    <n v="2"/>
    <x v="1"/>
    <x v="0"/>
    <x v="2"/>
    <x v="1"/>
    <x v="0"/>
    <x v="0"/>
    <x v="2"/>
    <x v="1"/>
    <s v="No Options"/>
    <x v="1"/>
    <x v="0"/>
    <x v="0"/>
    <x v="2"/>
  </r>
  <r>
    <n v="25"/>
    <x v="1"/>
    <s v="Travel_Rarely"/>
    <n v="891"/>
    <x v="0"/>
    <n v="4"/>
    <n v="2"/>
    <s v="Life Sciences"/>
    <n v="527"/>
    <n v="2"/>
    <x v="0"/>
    <n v="99"/>
    <n v="2"/>
    <n v="2"/>
    <x v="0"/>
    <n v="4"/>
    <x v="0"/>
    <n v="4487"/>
    <n v="1"/>
    <x v="0"/>
    <n v="11"/>
    <n v="3"/>
    <n v="2"/>
    <n v="0"/>
    <n v="5"/>
    <n v="3"/>
    <n v="3"/>
    <n v="5"/>
    <n v="4"/>
    <n v="1"/>
    <n v="3"/>
    <x v="1"/>
    <x v="0"/>
    <x v="0"/>
    <x v="0"/>
    <x v="1"/>
    <x v="0"/>
    <x v="0"/>
    <x v="2"/>
    <s v="No Options"/>
    <x v="1"/>
    <x v="2"/>
    <x v="0"/>
    <x v="2"/>
  </r>
  <r>
    <n v="37"/>
    <x v="1"/>
    <s v="Non-Travel"/>
    <n v="1063"/>
    <x v="1"/>
    <n v="25"/>
    <n v="5"/>
    <s v="Medical"/>
    <n v="529"/>
    <n v="2"/>
    <x v="0"/>
    <n v="72"/>
    <n v="3"/>
    <n v="2"/>
    <x v="1"/>
    <n v="3"/>
    <x v="1"/>
    <n v="4449"/>
    <n v="3"/>
    <x v="0"/>
    <n v="15"/>
    <n v="3"/>
    <n v="1"/>
    <n v="2"/>
    <n v="15"/>
    <n v="2"/>
    <n v="3"/>
    <n v="13"/>
    <n v="11"/>
    <n v="10"/>
    <n v="7"/>
    <x v="1"/>
    <x v="0"/>
    <x v="4"/>
    <x v="0"/>
    <x v="0"/>
    <x v="0"/>
    <x v="2"/>
    <x v="0"/>
    <s v="Medium"/>
    <x v="1"/>
    <x v="0"/>
    <x v="0"/>
    <x v="4"/>
  </r>
  <r>
    <n v="31"/>
    <x v="1"/>
    <s v="Travel_Rarely"/>
    <n v="329"/>
    <x v="1"/>
    <n v="1"/>
    <n v="2"/>
    <s v="Life Sciences"/>
    <n v="530"/>
    <n v="4"/>
    <x v="1"/>
    <n v="98"/>
    <n v="2"/>
    <n v="1"/>
    <x v="2"/>
    <n v="1"/>
    <x v="1"/>
    <n v="2218"/>
    <n v="1"/>
    <x v="1"/>
    <n v="12"/>
    <n v="3"/>
    <n v="3"/>
    <n v="1"/>
    <n v="4"/>
    <n v="3"/>
    <n v="3"/>
    <n v="4"/>
    <n v="2"/>
    <n v="3"/>
    <n v="2"/>
    <x v="1"/>
    <x v="1"/>
    <x v="0"/>
    <x v="2"/>
    <x v="1"/>
    <x v="1"/>
    <x v="3"/>
    <x v="3"/>
    <s v="Low"/>
    <x v="1"/>
    <x v="2"/>
    <x v="1"/>
    <x v="2"/>
  </r>
  <r>
    <n v="39"/>
    <x v="1"/>
    <s v="Travel_Frequently"/>
    <n v="1218"/>
    <x v="1"/>
    <n v="1"/>
    <n v="1"/>
    <s v="Life Sciences"/>
    <n v="531"/>
    <n v="2"/>
    <x v="1"/>
    <n v="52"/>
    <n v="3"/>
    <n v="5"/>
    <x v="5"/>
    <n v="3"/>
    <x v="2"/>
    <n v="19197"/>
    <n v="1"/>
    <x v="0"/>
    <n v="14"/>
    <n v="3"/>
    <n v="3"/>
    <n v="1"/>
    <n v="21"/>
    <n v="3"/>
    <n v="3"/>
    <n v="21"/>
    <n v="8"/>
    <n v="1"/>
    <n v="6"/>
    <x v="1"/>
    <x v="0"/>
    <x v="1"/>
    <x v="0"/>
    <x v="0"/>
    <x v="4"/>
    <x v="2"/>
    <x v="3"/>
    <s v="Low"/>
    <x v="1"/>
    <x v="0"/>
    <x v="3"/>
    <x v="3"/>
  </r>
  <r>
    <n v="56"/>
    <x v="1"/>
    <s v="Travel_Frequently"/>
    <n v="906"/>
    <x v="0"/>
    <n v="6"/>
    <n v="3"/>
    <s v="Life Sciences"/>
    <n v="532"/>
    <n v="3"/>
    <x v="0"/>
    <n v="86"/>
    <n v="4"/>
    <n v="4"/>
    <x v="0"/>
    <n v="1"/>
    <x v="1"/>
    <n v="13212"/>
    <n v="9"/>
    <x v="1"/>
    <n v="11"/>
    <n v="3"/>
    <n v="4"/>
    <n v="3"/>
    <n v="36"/>
    <n v="0"/>
    <n v="2"/>
    <n v="7"/>
    <n v="7"/>
    <n v="7"/>
    <n v="7"/>
    <x v="1"/>
    <x v="1"/>
    <x v="3"/>
    <x v="1"/>
    <x v="2"/>
    <x v="3"/>
    <x v="3"/>
    <x v="1"/>
    <s v="High"/>
    <x v="2"/>
    <x v="3"/>
    <x v="3"/>
    <x v="0"/>
  </r>
  <r>
    <n v="30"/>
    <x v="1"/>
    <s v="Travel_Rarely"/>
    <n v="1082"/>
    <x v="0"/>
    <n v="12"/>
    <n v="3"/>
    <s v="Technical Degree"/>
    <n v="533"/>
    <n v="2"/>
    <x v="0"/>
    <n v="83"/>
    <n v="3"/>
    <n v="2"/>
    <x v="0"/>
    <n v="3"/>
    <x v="0"/>
    <n v="6577"/>
    <n v="0"/>
    <x v="1"/>
    <n v="11"/>
    <n v="3"/>
    <n v="2"/>
    <n v="0"/>
    <n v="6"/>
    <n v="6"/>
    <n v="3"/>
    <n v="5"/>
    <n v="4"/>
    <n v="4"/>
    <n v="4"/>
    <x v="1"/>
    <x v="1"/>
    <x v="3"/>
    <x v="0"/>
    <x v="0"/>
    <x v="0"/>
    <x v="2"/>
    <x v="2"/>
    <s v="No Options"/>
    <x v="1"/>
    <x v="2"/>
    <x v="0"/>
    <x v="2"/>
  </r>
  <r>
    <n v="41"/>
    <x v="1"/>
    <s v="Travel_Rarely"/>
    <n v="645"/>
    <x v="0"/>
    <n v="1"/>
    <n v="3"/>
    <s v="Marketing"/>
    <n v="534"/>
    <n v="2"/>
    <x v="1"/>
    <n v="49"/>
    <n v="4"/>
    <n v="3"/>
    <x v="0"/>
    <n v="1"/>
    <x v="1"/>
    <n v="8392"/>
    <n v="1"/>
    <x v="1"/>
    <n v="16"/>
    <n v="3"/>
    <n v="3"/>
    <n v="1"/>
    <n v="10"/>
    <n v="2"/>
    <n v="3"/>
    <n v="10"/>
    <n v="7"/>
    <n v="0"/>
    <n v="7"/>
    <x v="1"/>
    <x v="1"/>
    <x v="3"/>
    <x v="0"/>
    <x v="2"/>
    <x v="2"/>
    <x v="3"/>
    <x v="3"/>
    <s v="Low"/>
    <x v="1"/>
    <x v="0"/>
    <x v="2"/>
    <x v="0"/>
  </r>
  <r>
    <n v="28"/>
    <x v="1"/>
    <s v="Travel_Rarely"/>
    <n v="1300"/>
    <x v="1"/>
    <n v="17"/>
    <n v="2"/>
    <s v="Medical"/>
    <n v="536"/>
    <n v="3"/>
    <x v="1"/>
    <n v="79"/>
    <n v="3"/>
    <n v="2"/>
    <x v="2"/>
    <n v="1"/>
    <x v="2"/>
    <n v="4558"/>
    <n v="1"/>
    <x v="1"/>
    <n v="12"/>
    <n v="3"/>
    <n v="4"/>
    <n v="1"/>
    <n v="10"/>
    <n v="2"/>
    <n v="3"/>
    <n v="10"/>
    <n v="0"/>
    <n v="1"/>
    <n v="8"/>
    <x v="1"/>
    <x v="1"/>
    <x v="0"/>
    <x v="1"/>
    <x v="0"/>
    <x v="0"/>
    <x v="3"/>
    <x v="1"/>
    <s v="Low"/>
    <x v="1"/>
    <x v="2"/>
    <x v="0"/>
    <x v="0"/>
  </r>
  <r>
    <n v="25"/>
    <x v="0"/>
    <s v="Travel_Rarely"/>
    <n v="688"/>
    <x v="1"/>
    <n v="3"/>
    <n v="3"/>
    <s v="Medical"/>
    <n v="538"/>
    <n v="1"/>
    <x v="1"/>
    <n v="91"/>
    <n v="3"/>
    <n v="1"/>
    <x v="2"/>
    <n v="1"/>
    <x v="1"/>
    <n v="4031"/>
    <n v="5"/>
    <x v="1"/>
    <n v="13"/>
    <n v="3"/>
    <n v="3"/>
    <n v="1"/>
    <n v="6"/>
    <n v="5"/>
    <n v="3"/>
    <n v="2"/>
    <n v="2"/>
    <n v="0"/>
    <n v="2"/>
    <x v="0"/>
    <x v="1"/>
    <x v="3"/>
    <x v="3"/>
    <x v="0"/>
    <x v="1"/>
    <x v="3"/>
    <x v="3"/>
    <s v="Low"/>
    <x v="1"/>
    <x v="2"/>
    <x v="0"/>
    <x v="1"/>
  </r>
  <r>
    <n v="52"/>
    <x v="1"/>
    <s v="Travel_Rarely"/>
    <n v="319"/>
    <x v="1"/>
    <n v="3"/>
    <n v="3"/>
    <s v="Medical"/>
    <n v="543"/>
    <n v="4"/>
    <x v="1"/>
    <n v="39"/>
    <n v="2"/>
    <n v="3"/>
    <x v="3"/>
    <n v="3"/>
    <x v="1"/>
    <n v="7969"/>
    <n v="2"/>
    <x v="0"/>
    <n v="14"/>
    <n v="3"/>
    <n v="3"/>
    <n v="0"/>
    <n v="28"/>
    <n v="4"/>
    <n v="3"/>
    <n v="5"/>
    <n v="4"/>
    <n v="0"/>
    <n v="4"/>
    <x v="1"/>
    <x v="0"/>
    <x v="3"/>
    <x v="2"/>
    <x v="1"/>
    <x v="2"/>
    <x v="2"/>
    <x v="3"/>
    <s v="No Options"/>
    <x v="1"/>
    <x v="1"/>
    <x v="2"/>
    <x v="2"/>
  </r>
  <r>
    <n v="45"/>
    <x v="1"/>
    <s v="Travel_Rarely"/>
    <n v="192"/>
    <x v="1"/>
    <n v="10"/>
    <n v="2"/>
    <s v="Life Sciences"/>
    <n v="544"/>
    <n v="1"/>
    <x v="1"/>
    <n v="69"/>
    <n v="3"/>
    <n v="1"/>
    <x v="1"/>
    <n v="4"/>
    <x v="1"/>
    <n v="2654"/>
    <n v="3"/>
    <x v="1"/>
    <n v="21"/>
    <n v="4"/>
    <n v="4"/>
    <n v="2"/>
    <n v="8"/>
    <n v="3"/>
    <n v="2"/>
    <n v="2"/>
    <n v="2"/>
    <n v="0"/>
    <n v="2"/>
    <x v="1"/>
    <x v="1"/>
    <x v="0"/>
    <x v="3"/>
    <x v="0"/>
    <x v="1"/>
    <x v="0"/>
    <x v="1"/>
    <s v="Medium"/>
    <x v="2"/>
    <x v="1"/>
    <x v="1"/>
    <x v="1"/>
  </r>
  <r>
    <n v="52"/>
    <x v="1"/>
    <s v="Travel_Rarely"/>
    <n v="1490"/>
    <x v="1"/>
    <n v="4"/>
    <n v="2"/>
    <s v="Life Sciences"/>
    <n v="546"/>
    <n v="4"/>
    <x v="0"/>
    <n v="30"/>
    <n v="3"/>
    <n v="4"/>
    <x v="5"/>
    <n v="4"/>
    <x v="1"/>
    <n v="16555"/>
    <n v="2"/>
    <x v="1"/>
    <n v="13"/>
    <n v="3"/>
    <n v="4"/>
    <n v="0"/>
    <n v="31"/>
    <n v="2"/>
    <n v="1"/>
    <n v="5"/>
    <n v="2"/>
    <n v="1"/>
    <n v="4"/>
    <x v="1"/>
    <x v="1"/>
    <x v="0"/>
    <x v="2"/>
    <x v="0"/>
    <x v="3"/>
    <x v="0"/>
    <x v="1"/>
    <s v="No Options"/>
    <x v="0"/>
    <x v="1"/>
    <x v="3"/>
    <x v="2"/>
  </r>
  <r>
    <n v="42"/>
    <x v="1"/>
    <s v="Travel_Frequently"/>
    <n v="532"/>
    <x v="1"/>
    <n v="29"/>
    <n v="2"/>
    <s v="Life Sciences"/>
    <n v="547"/>
    <n v="1"/>
    <x v="0"/>
    <n v="92"/>
    <n v="3"/>
    <n v="2"/>
    <x v="1"/>
    <n v="3"/>
    <x v="2"/>
    <n v="4556"/>
    <n v="2"/>
    <x v="1"/>
    <n v="11"/>
    <n v="3"/>
    <n v="2"/>
    <n v="1"/>
    <n v="19"/>
    <n v="3"/>
    <n v="3"/>
    <n v="5"/>
    <n v="4"/>
    <n v="0"/>
    <n v="2"/>
    <x v="1"/>
    <x v="1"/>
    <x v="0"/>
    <x v="3"/>
    <x v="0"/>
    <x v="0"/>
    <x v="2"/>
    <x v="2"/>
    <s v="Low"/>
    <x v="1"/>
    <x v="0"/>
    <x v="0"/>
    <x v="2"/>
  </r>
  <r>
    <n v="30"/>
    <x v="1"/>
    <s v="Travel_Rarely"/>
    <n v="317"/>
    <x v="1"/>
    <n v="2"/>
    <n v="3"/>
    <s v="Life Sciences"/>
    <n v="548"/>
    <n v="3"/>
    <x v="0"/>
    <n v="43"/>
    <n v="1"/>
    <n v="2"/>
    <x v="3"/>
    <n v="4"/>
    <x v="0"/>
    <n v="6091"/>
    <n v="2"/>
    <x v="1"/>
    <n v="20"/>
    <n v="4"/>
    <n v="3"/>
    <n v="0"/>
    <n v="11"/>
    <n v="2"/>
    <n v="3"/>
    <n v="5"/>
    <n v="4"/>
    <n v="0"/>
    <n v="2"/>
    <x v="1"/>
    <x v="1"/>
    <x v="3"/>
    <x v="1"/>
    <x v="3"/>
    <x v="0"/>
    <x v="0"/>
    <x v="3"/>
    <s v="No Options"/>
    <x v="1"/>
    <x v="2"/>
    <x v="0"/>
    <x v="2"/>
  </r>
  <r>
    <n v="60"/>
    <x v="1"/>
    <s v="Travel_Rarely"/>
    <n v="422"/>
    <x v="1"/>
    <n v="7"/>
    <n v="3"/>
    <s v="Life Sciences"/>
    <n v="549"/>
    <n v="1"/>
    <x v="0"/>
    <n v="41"/>
    <n v="3"/>
    <n v="5"/>
    <x v="5"/>
    <n v="1"/>
    <x v="1"/>
    <n v="19566"/>
    <n v="5"/>
    <x v="1"/>
    <n v="11"/>
    <n v="3"/>
    <n v="4"/>
    <n v="0"/>
    <n v="33"/>
    <n v="5"/>
    <n v="1"/>
    <n v="29"/>
    <n v="8"/>
    <n v="11"/>
    <n v="10"/>
    <x v="1"/>
    <x v="1"/>
    <x v="3"/>
    <x v="3"/>
    <x v="0"/>
    <x v="4"/>
    <x v="3"/>
    <x v="1"/>
    <s v="No Options"/>
    <x v="0"/>
    <x v="3"/>
    <x v="3"/>
    <x v="3"/>
  </r>
  <r>
    <n v="46"/>
    <x v="1"/>
    <s v="Travel_Rarely"/>
    <n v="1485"/>
    <x v="1"/>
    <n v="18"/>
    <n v="3"/>
    <s v="Medical"/>
    <n v="550"/>
    <n v="3"/>
    <x v="0"/>
    <n v="87"/>
    <n v="3"/>
    <n v="2"/>
    <x v="3"/>
    <n v="3"/>
    <x v="2"/>
    <n v="4810"/>
    <n v="2"/>
    <x v="1"/>
    <n v="14"/>
    <n v="3"/>
    <n v="3"/>
    <n v="1"/>
    <n v="19"/>
    <n v="5"/>
    <n v="2"/>
    <n v="10"/>
    <n v="7"/>
    <n v="0"/>
    <n v="8"/>
    <x v="1"/>
    <x v="1"/>
    <x v="3"/>
    <x v="1"/>
    <x v="0"/>
    <x v="0"/>
    <x v="2"/>
    <x v="3"/>
    <s v="Low"/>
    <x v="2"/>
    <x v="1"/>
    <x v="0"/>
    <x v="0"/>
  </r>
  <r>
    <n v="42"/>
    <x v="1"/>
    <s v="Travel_Frequently"/>
    <n v="1368"/>
    <x v="1"/>
    <n v="28"/>
    <n v="4"/>
    <s v="Technical Degree"/>
    <n v="551"/>
    <n v="4"/>
    <x v="0"/>
    <n v="88"/>
    <n v="2"/>
    <n v="2"/>
    <x v="4"/>
    <n v="4"/>
    <x v="1"/>
    <n v="4523"/>
    <n v="0"/>
    <x v="1"/>
    <n v="11"/>
    <n v="3"/>
    <n v="4"/>
    <n v="3"/>
    <n v="7"/>
    <n v="4"/>
    <n v="4"/>
    <n v="6"/>
    <n v="5"/>
    <n v="0"/>
    <n v="4"/>
    <x v="1"/>
    <x v="1"/>
    <x v="2"/>
    <x v="2"/>
    <x v="1"/>
    <x v="0"/>
    <x v="0"/>
    <x v="1"/>
    <s v="High"/>
    <x v="3"/>
    <x v="0"/>
    <x v="0"/>
    <x v="0"/>
  </r>
  <r>
    <n v="24"/>
    <x v="0"/>
    <s v="Travel_Rarely"/>
    <n v="1448"/>
    <x v="0"/>
    <n v="1"/>
    <n v="1"/>
    <s v="Technical Degree"/>
    <n v="554"/>
    <n v="1"/>
    <x v="0"/>
    <n v="62"/>
    <n v="3"/>
    <n v="1"/>
    <x v="6"/>
    <n v="2"/>
    <x v="0"/>
    <n v="3202"/>
    <n v="1"/>
    <x v="0"/>
    <n v="16"/>
    <n v="3"/>
    <n v="2"/>
    <n v="0"/>
    <n v="6"/>
    <n v="4"/>
    <n v="3"/>
    <n v="5"/>
    <n v="3"/>
    <n v="1"/>
    <n v="4"/>
    <x v="0"/>
    <x v="0"/>
    <x v="1"/>
    <x v="3"/>
    <x v="0"/>
    <x v="1"/>
    <x v="1"/>
    <x v="2"/>
    <s v="No Options"/>
    <x v="1"/>
    <x v="4"/>
    <x v="0"/>
    <x v="2"/>
  </r>
  <r>
    <n v="34"/>
    <x v="0"/>
    <s v="Travel_Frequently"/>
    <n v="296"/>
    <x v="0"/>
    <n v="6"/>
    <n v="2"/>
    <s v="Marketing"/>
    <n v="555"/>
    <n v="4"/>
    <x v="0"/>
    <n v="33"/>
    <n v="1"/>
    <n v="1"/>
    <x v="6"/>
    <n v="3"/>
    <x v="2"/>
    <n v="2351"/>
    <n v="0"/>
    <x v="1"/>
    <n v="16"/>
    <n v="3"/>
    <n v="4"/>
    <n v="1"/>
    <n v="3"/>
    <n v="3"/>
    <n v="2"/>
    <n v="2"/>
    <n v="2"/>
    <n v="1"/>
    <n v="0"/>
    <x v="0"/>
    <x v="1"/>
    <x v="0"/>
    <x v="2"/>
    <x v="3"/>
    <x v="1"/>
    <x v="2"/>
    <x v="1"/>
    <s v="Low"/>
    <x v="2"/>
    <x v="2"/>
    <x v="1"/>
    <x v="1"/>
  </r>
  <r>
    <n v="38"/>
    <x v="1"/>
    <s v="Travel_Frequently"/>
    <n v="1490"/>
    <x v="1"/>
    <n v="2"/>
    <n v="2"/>
    <s v="Life Sciences"/>
    <n v="556"/>
    <n v="4"/>
    <x v="1"/>
    <n v="42"/>
    <n v="3"/>
    <n v="1"/>
    <x v="2"/>
    <n v="4"/>
    <x v="1"/>
    <n v="1702"/>
    <n v="1"/>
    <x v="0"/>
    <n v="23"/>
    <n v="4"/>
    <n v="3"/>
    <n v="1"/>
    <n v="1"/>
    <n v="3"/>
    <n v="3"/>
    <n v="1"/>
    <n v="0"/>
    <n v="0"/>
    <n v="0"/>
    <x v="1"/>
    <x v="0"/>
    <x v="0"/>
    <x v="2"/>
    <x v="0"/>
    <x v="1"/>
    <x v="0"/>
    <x v="3"/>
    <s v="Low"/>
    <x v="1"/>
    <x v="0"/>
    <x v="1"/>
    <x v="1"/>
  </r>
  <r>
    <n v="40"/>
    <x v="1"/>
    <s v="Travel_Rarely"/>
    <n v="1398"/>
    <x v="0"/>
    <n v="2"/>
    <n v="4"/>
    <s v="Life Sciences"/>
    <n v="558"/>
    <n v="3"/>
    <x v="0"/>
    <n v="79"/>
    <n v="3"/>
    <n v="5"/>
    <x v="5"/>
    <n v="3"/>
    <x v="1"/>
    <n v="18041"/>
    <n v="0"/>
    <x v="1"/>
    <n v="14"/>
    <n v="3"/>
    <n v="4"/>
    <n v="0"/>
    <n v="21"/>
    <n v="2"/>
    <n v="3"/>
    <n v="20"/>
    <n v="15"/>
    <n v="1"/>
    <n v="12"/>
    <x v="1"/>
    <x v="1"/>
    <x v="2"/>
    <x v="1"/>
    <x v="0"/>
    <x v="4"/>
    <x v="2"/>
    <x v="1"/>
    <s v="No Options"/>
    <x v="1"/>
    <x v="0"/>
    <x v="3"/>
    <x v="4"/>
  </r>
  <r>
    <n v="26"/>
    <x v="1"/>
    <s v="Travel_Rarely"/>
    <n v="1349"/>
    <x v="1"/>
    <n v="23"/>
    <n v="3"/>
    <s v="Life Sciences"/>
    <n v="560"/>
    <n v="1"/>
    <x v="0"/>
    <n v="90"/>
    <n v="3"/>
    <n v="1"/>
    <x v="1"/>
    <n v="4"/>
    <x v="2"/>
    <n v="2886"/>
    <n v="1"/>
    <x v="1"/>
    <n v="22"/>
    <n v="4"/>
    <n v="2"/>
    <n v="2"/>
    <n v="3"/>
    <n v="3"/>
    <n v="1"/>
    <n v="3"/>
    <n v="2"/>
    <n v="0"/>
    <n v="2"/>
    <x v="1"/>
    <x v="1"/>
    <x v="3"/>
    <x v="3"/>
    <x v="0"/>
    <x v="1"/>
    <x v="0"/>
    <x v="2"/>
    <s v="Medium"/>
    <x v="0"/>
    <x v="2"/>
    <x v="1"/>
    <x v="2"/>
  </r>
  <r>
    <n v="30"/>
    <x v="1"/>
    <s v="Non-Travel"/>
    <n v="1400"/>
    <x v="1"/>
    <n v="3"/>
    <n v="3"/>
    <s v="Life Sciences"/>
    <n v="562"/>
    <n v="3"/>
    <x v="1"/>
    <n v="53"/>
    <n v="3"/>
    <n v="1"/>
    <x v="2"/>
    <n v="4"/>
    <x v="1"/>
    <n v="2097"/>
    <n v="4"/>
    <x v="1"/>
    <n v="15"/>
    <n v="3"/>
    <n v="3"/>
    <n v="1"/>
    <n v="9"/>
    <n v="3"/>
    <n v="1"/>
    <n v="5"/>
    <n v="3"/>
    <n v="1"/>
    <n v="4"/>
    <x v="1"/>
    <x v="1"/>
    <x v="3"/>
    <x v="1"/>
    <x v="0"/>
    <x v="1"/>
    <x v="0"/>
    <x v="3"/>
    <s v="Low"/>
    <x v="0"/>
    <x v="2"/>
    <x v="1"/>
    <x v="2"/>
  </r>
  <r>
    <n v="29"/>
    <x v="1"/>
    <s v="Travel_Rarely"/>
    <n v="986"/>
    <x v="1"/>
    <n v="3"/>
    <n v="4"/>
    <s v="Medical"/>
    <n v="564"/>
    <n v="2"/>
    <x v="1"/>
    <n v="93"/>
    <n v="2"/>
    <n v="3"/>
    <x v="7"/>
    <n v="3"/>
    <x v="1"/>
    <n v="11935"/>
    <n v="1"/>
    <x v="1"/>
    <n v="18"/>
    <n v="3"/>
    <n v="3"/>
    <n v="0"/>
    <n v="10"/>
    <n v="2"/>
    <n v="3"/>
    <n v="10"/>
    <n v="2"/>
    <n v="0"/>
    <n v="7"/>
    <x v="1"/>
    <x v="1"/>
    <x v="2"/>
    <x v="0"/>
    <x v="1"/>
    <x v="2"/>
    <x v="2"/>
    <x v="3"/>
    <s v="No Options"/>
    <x v="1"/>
    <x v="2"/>
    <x v="2"/>
    <x v="0"/>
  </r>
  <r>
    <n v="29"/>
    <x v="0"/>
    <s v="Travel_Rarely"/>
    <n v="408"/>
    <x v="1"/>
    <n v="25"/>
    <n v="5"/>
    <s v="Technical Degree"/>
    <n v="565"/>
    <n v="3"/>
    <x v="0"/>
    <n v="71"/>
    <n v="2"/>
    <n v="1"/>
    <x v="1"/>
    <n v="2"/>
    <x v="1"/>
    <n v="2546"/>
    <n v="5"/>
    <x v="1"/>
    <n v="16"/>
    <n v="3"/>
    <n v="2"/>
    <n v="0"/>
    <n v="6"/>
    <n v="2"/>
    <n v="4"/>
    <n v="2"/>
    <n v="2"/>
    <n v="1"/>
    <n v="1"/>
    <x v="0"/>
    <x v="1"/>
    <x v="4"/>
    <x v="1"/>
    <x v="1"/>
    <x v="1"/>
    <x v="1"/>
    <x v="2"/>
    <s v="No Options"/>
    <x v="3"/>
    <x v="2"/>
    <x v="1"/>
    <x v="1"/>
  </r>
  <r>
    <n v="19"/>
    <x v="0"/>
    <s v="Travel_Rarely"/>
    <n v="489"/>
    <x v="2"/>
    <n v="2"/>
    <n v="2"/>
    <s v="Technical Degree"/>
    <n v="566"/>
    <n v="1"/>
    <x v="1"/>
    <n v="52"/>
    <n v="2"/>
    <n v="1"/>
    <x v="8"/>
    <n v="4"/>
    <x v="0"/>
    <n v="2564"/>
    <n v="1"/>
    <x v="1"/>
    <n v="12"/>
    <n v="3"/>
    <n v="3"/>
    <n v="0"/>
    <n v="1"/>
    <n v="3"/>
    <n v="4"/>
    <n v="1"/>
    <n v="0"/>
    <n v="0"/>
    <n v="0"/>
    <x v="0"/>
    <x v="1"/>
    <x v="0"/>
    <x v="3"/>
    <x v="1"/>
    <x v="1"/>
    <x v="0"/>
    <x v="3"/>
    <s v="No Options"/>
    <x v="3"/>
    <x v="4"/>
    <x v="1"/>
    <x v="1"/>
  </r>
  <r>
    <n v="30"/>
    <x v="1"/>
    <s v="Non-Travel"/>
    <n v="1398"/>
    <x v="0"/>
    <n v="22"/>
    <n v="4"/>
    <s v="Other"/>
    <n v="567"/>
    <n v="3"/>
    <x v="0"/>
    <n v="69"/>
    <n v="3"/>
    <n v="3"/>
    <x v="0"/>
    <n v="1"/>
    <x v="1"/>
    <n v="8412"/>
    <n v="0"/>
    <x v="1"/>
    <n v="11"/>
    <n v="3"/>
    <n v="3"/>
    <n v="0"/>
    <n v="10"/>
    <n v="3"/>
    <n v="3"/>
    <n v="9"/>
    <n v="8"/>
    <n v="7"/>
    <n v="8"/>
    <x v="1"/>
    <x v="1"/>
    <x v="2"/>
    <x v="1"/>
    <x v="0"/>
    <x v="2"/>
    <x v="3"/>
    <x v="3"/>
    <s v="No Options"/>
    <x v="1"/>
    <x v="2"/>
    <x v="2"/>
    <x v="0"/>
  </r>
  <r>
    <n v="57"/>
    <x v="1"/>
    <s v="Travel_Rarely"/>
    <n v="210"/>
    <x v="0"/>
    <n v="29"/>
    <n v="3"/>
    <s v="Marketing"/>
    <n v="568"/>
    <n v="1"/>
    <x v="1"/>
    <n v="56"/>
    <n v="2"/>
    <n v="4"/>
    <x v="5"/>
    <n v="4"/>
    <x v="2"/>
    <n v="14118"/>
    <n v="3"/>
    <x v="1"/>
    <n v="12"/>
    <n v="3"/>
    <n v="3"/>
    <n v="1"/>
    <n v="32"/>
    <n v="3"/>
    <n v="2"/>
    <n v="1"/>
    <n v="0"/>
    <n v="0"/>
    <n v="0"/>
    <x v="1"/>
    <x v="1"/>
    <x v="3"/>
    <x v="3"/>
    <x v="1"/>
    <x v="3"/>
    <x v="0"/>
    <x v="3"/>
    <s v="Low"/>
    <x v="2"/>
    <x v="3"/>
    <x v="3"/>
    <x v="1"/>
  </r>
  <r>
    <n v="50"/>
    <x v="1"/>
    <s v="Travel_Rarely"/>
    <n v="1099"/>
    <x v="1"/>
    <n v="29"/>
    <n v="4"/>
    <s v="Life Sciences"/>
    <n v="569"/>
    <n v="2"/>
    <x v="1"/>
    <n v="88"/>
    <n v="2"/>
    <n v="4"/>
    <x v="5"/>
    <n v="3"/>
    <x v="1"/>
    <n v="17046"/>
    <n v="0"/>
    <x v="1"/>
    <n v="15"/>
    <n v="3"/>
    <n v="2"/>
    <n v="1"/>
    <n v="28"/>
    <n v="2"/>
    <n v="3"/>
    <n v="27"/>
    <n v="10"/>
    <n v="15"/>
    <n v="7"/>
    <x v="1"/>
    <x v="1"/>
    <x v="2"/>
    <x v="0"/>
    <x v="1"/>
    <x v="3"/>
    <x v="2"/>
    <x v="2"/>
    <s v="Low"/>
    <x v="1"/>
    <x v="1"/>
    <x v="3"/>
    <x v="3"/>
  </r>
  <r>
    <n v="30"/>
    <x v="1"/>
    <s v="Non-Travel"/>
    <n v="1116"/>
    <x v="1"/>
    <n v="2"/>
    <n v="3"/>
    <s v="Medical"/>
    <n v="571"/>
    <n v="3"/>
    <x v="0"/>
    <n v="49"/>
    <n v="3"/>
    <n v="1"/>
    <x v="2"/>
    <n v="4"/>
    <x v="0"/>
    <n v="2564"/>
    <n v="0"/>
    <x v="1"/>
    <n v="14"/>
    <n v="3"/>
    <n v="3"/>
    <n v="0"/>
    <n v="12"/>
    <n v="2"/>
    <n v="2"/>
    <n v="11"/>
    <n v="7"/>
    <n v="6"/>
    <n v="7"/>
    <x v="1"/>
    <x v="1"/>
    <x v="3"/>
    <x v="1"/>
    <x v="0"/>
    <x v="1"/>
    <x v="0"/>
    <x v="3"/>
    <s v="No Options"/>
    <x v="2"/>
    <x v="2"/>
    <x v="1"/>
    <x v="4"/>
  </r>
  <r>
    <n v="60"/>
    <x v="1"/>
    <s v="Travel_Frequently"/>
    <n v="1499"/>
    <x v="0"/>
    <n v="28"/>
    <n v="3"/>
    <s v="Marketing"/>
    <n v="573"/>
    <n v="3"/>
    <x v="0"/>
    <n v="80"/>
    <n v="2"/>
    <n v="3"/>
    <x v="0"/>
    <n v="1"/>
    <x v="1"/>
    <n v="10266"/>
    <n v="4"/>
    <x v="1"/>
    <n v="19"/>
    <n v="3"/>
    <n v="4"/>
    <n v="0"/>
    <n v="22"/>
    <n v="5"/>
    <n v="4"/>
    <n v="18"/>
    <n v="13"/>
    <n v="13"/>
    <n v="11"/>
    <x v="1"/>
    <x v="1"/>
    <x v="3"/>
    <x v="1"/>
    <x v="1"/>
    <x v="2"/>
    <x v="3"/>
    <x v="1"/>
    <s v="No Options"/>
    <x v="3"/>
    <x v="3"/>
    <x v="2"/>
    <x v="4"/>
  </r>
  <r>
    <n v="47"/>
    <x v="1"/>
    <s v="Travel_Rarely"/>
    <n v="983"/>
    <x v="1"/>
    <n v="2"/>
    <n v="2"/>
    <s v="Medical"/>
    <n v="574"/>
    <n v="1"/>
    <x v="0"/>
    <n v="65"/>
    <n v="3"/>
    <n v="2"/>
    <x v="3"/>
    <n v="4"/>
    <x v="2"/>
    <n v="5070"/>
    <n v="5"/>
    <x v="1"/>
    <n v="13"/>
    <n v="3"/>
    <n v="3"/>
    <n v="3"/>
    <n v="20"/>
    <n v="2"/>
    <n v="3"/>
    <n v="5"/>
    <n v="0"/>
    <n v="0"/>
    <n v="4"/>
    <x v="1"/>
    <x v="1"/>
    <x v="0"/>
    <x v="3"/>
    <x v="0"/>
    <x v="0"/>
    <x v="0"/>
    <x v="3"/>
    <s v="High"/>
    <x v="1"/>
    <x v="1"/>
    <x v="0"/>
    <x v="2"/>
  </r>
  <r>
    <n v="46"/>
    <x v="1"/>
    <s v="Travel_Rarely"/>
    <n v="1009"/>
    <x v="1"/>
    <n v="2"/>
    <n v="3"/>
    <s v="Life Sciences"/>
    <n v="575"/>
    <n v="1"/>
    <x v="1"/>
    <n v="51"/>
    <n v="3"/>
    <n v="4"/>
    <x v="7"/>
    <n v="3"/>
    <x v="1"/>
    <n v="17861"/>
    <n v="6"/>
    <x v="1"/>
    <n v="13"/>
    <n v="3"/>
    <n v="3"/>
    <n v="0"/>
    <n v="26"/>
    <n v="2"/>
    <n v="1"/>
    <n v="3"/>
    <n v="2"/>
    <n v="0"/>
    <n v="1"/>
    <x v="1"/>
    <x v="1"/>
    <x v="3"/>
    <x v="3"/>
    <x v="0"/>
    <x v="3"/>
    <x v="2"/>
    <x v="3"/>
    <s v="No Options"/>
    <x v="0"/>
    <x v="1"/>
    <x v="3"/>
    <x v="2"/>
  </r>
  <r>
    <n v="35"/>
    <x v="1"/>
    <s v="Travel_Rarely"/>
    <n v="144"/>
    <x v="1"/>
    <n v="22"/>
    <n v="3"/>
    <s v="Life Sciences"/>
    <n v="577"/>
    <n v="4"/>
    <x v="1"/>
    <n v="46"/>
    <n v="1"/>
    <n v="1"/>
    <x v="2"/>
    <n v="3"/>
    <x v="0"/>
    <n v="4230"/>
    <n v="0"/>
    <x v="1"/>
    <n v="15"/>
    <n v="3"/>
    <n v="3"/>
    <n v="0"/>
    <n v="6"/>
    <n v="2"/>
    <n v="3"/>
    <n v="5"/>
    <n v="4"/>
    <n v="4"/>
    <n v="3"/>
    <x v="1"/>
    <x v="1"/>
    <x v="3"/>
    <x v="2"/>
    <x v="3"/>
    <x v="1"/>
    <x v="2"/>
    <x v="3"/>
    <s v="No Options"/>
    <x v="1"/>
    <x v="0"/>
    <x v="0"/>
    <x v="2"/>
  </r>
  <r>
    <n v="54"/>
    <x v="1"/>
    <s v="Travel_Rarely"/>
    <n v="548"/>
    <x v="1"/>
    <n v="8"/>
    <n v="4"/>
    <s v="Life Sciences"/>
    <n v="578"/>
    <n v="3"/>
    <x v="0"/>
    <n v="42"/>
    <n v="3"/>
    <n v="2"/>
    <x v="2"/>
    <n v="3"/>
    <x v="0"/>
    <n v="3780"/>
    <n v="7"/>
    <x v="1"/>
    <n v="11"/>
    <n v="3"/>
    <n v="3"/>
    <n v="0"/>
    <n v="19"/>
    <n v="3"/>
    <n v="3"/>
    <n v="1"/>
    <n v="0"/>
    <n v="0"/>
    <n v="0"/>
    <x v="1"/>
    <x v="1"/>
    <x v="2"/>
    <x v="1"/>
    <x v="0"/>
    <x v="0"/>
    <x v="2"/>
    <x v="3"/>
    <s v="No Options"/>
    <x v="1"/>
    <x v="1"/>
    <x v="0"/>
    <x v="1"/>
  </r>
  <r>
    <n v="34"/>
    <x v="1"/>
    <s v="Travel_Rarely"/>
    <n v="1303"/>
    <x v="1"/>
    <n v="2"/>
    <n v="4"/>
    <s v="Life Sciences"/>
    <n v="579"/>
    <n v="4"/>
    <x v="1"/>
    <n v="62"/>
    <n v="2"/>
    <n v="1"/>
    <x v="1"/>
    <n v="3"/>
    <x v="2"/>
    <n v="2768"/>
    <n v="3"/>
    <x v="1"/>
    <n v="12"/>
    <n v="3"/>
    <n v="3"/>
    <n v="1"/>
    <n v="14"/>
    <n v="3"/>
    <n v="3"/>
    <n v="7"/>
    <n v="3"/>
    <n v="5"/>
    <n v="7"/>
    <x v="1"/>
    <x v="1"/>
    <x v="2"/>
    <x v="2"/>
    <x v="1"/>
    <x v="1"/>
    <x v="2"/>
    <x v="3"/>
    <s v="Low"/>
    <x v="1"/>
    <x v="2"/>
    <x v="1"/>
    <x v="0"/>
  </r>
  <r>
    <n v="46"/>
    <x v="1"/>
    <s v="Travel_Rarely"/>
    <n v="1125"/>
    <x v="0"/>
    <n v="10"/>
    <n v="3"/>
    <s v="Marketing"/>
    <n v="580"/>
    <n v="3"/>
    <x v="0"/>
    <n v="94"/>
    <n v="2"/>
    <n v="3"/>
    <x v="0"/>
    <n v="4"/>
    <x v="1"/>
    <n v="9071"/>
    <n v="2"/>
    <x v="0"/>
    <n v="19"/>
    <n v="3"/>
    <n v="3"/>
    <n v="1"/>
    <n v="15"/>
    <n v="3"/>
    <n v="3"/>
    <n v="3"/>
    <n v="2"/>
    <n v="1"/>
    <n v="2"/>
    <x v="1"/>
    <x v="0"/>
    <x v="3"/>
    <x v="1"/>
    <x v="1"/>
    <x v="2"/>
    <x v="0"/>
    <x v="3"/>
    <s v="Low"/>
    <x v="1"/>
    <x v="1"/>
    <x v="2"/>
    <x v="2"/>
  </r>
  <r>
    <n v="31"/>
    <x v="1"/>
    <s v="Travel_Rarely"/>
    <n v="1274"/>
    <x v="1"/>
    <n v="9"/>
    <n v="1"/>
    <s v="Life Sciences"/>
    <n v="581"/>
    <n v="3"/>
    <x v="1"/>
    <n v="33"/>
    <n v="3"/>
    <n v="3"/>
    <x v="3"/>
    <n v="2"/>
    <x v="2"/>
    <n v="10648"/>
    <n v="1"/>
    <x v="1"/>
    <n v="25"/>
    <n v="4"/>
    <n v="4"/>
    <n v="1"/>
    <n v="13"/>
    <n v="6"/>
    <n v="4"/>
    <n v="13"/>
    <n v="8"/>
    <n v="0"/>
    <n v="8"/>
    <x v="1"/>
    <x v="1"/>
    <x v="1"/>
    <x v="1"/>
    <x v="0"/>
    <x v="2"/>
    <x v="1"/>
    <x v="1"/>
    <s v="Low"/>
    <x v="3"/>
    <x v="2"/>
    <x v="2"/>
    <x v="4"/>
  </r>
  <r>
    <n v="33"/>
    <x v="0"/>
    <s v="Travel_Rarely"/>
    <n v="1277"/>
    <x v="1"/>
    <n v="15"/>
    <n v="1"/>
    <s v="Medical"/>
    <n v="582"/>
    <n v="2"/>
    <x v="1"/>
    <n v="56"/>
    <n v="3"/>
    <n v="3"/>
    <x v="5"/>
    <n v="3"/>
    <x v="1"/>
    <n v="13610"/>
    <n v="7"/>
    <x v="0"/>
    <n v="12"/>
    <n v="3"/>
    <n v="4"/>
    <n v="0"/>
    <n v="15"/>
    <n v="2"/>
    <n v="4"/>
    <n v="7"/>
    <n v="6"/>
    <n v="7"/>
    <n v="7"/>
    <x v="0"/>
    <x v="0"/>
    <x v="1"/>
    <x v="0"/>
    <x v="0"/>
    <x v="2"/>
    <x v="2"/>
    <x v="1"/>
    <s v="No Options"/>
    <x v="3"/>
    <x v="2"/>
    <x v="3"/>
    <x v="0"/>
  </r>
  <r>
    <n v="33"/>
    <x v="0"/>
    <s v="Travel_Rarely"/>
    <n v="587"/>
    <x v="1"/>
    <n v="10"/>
    <n v="1"/>
    <s v="Medical"/>
    <n v="584"/>
    <n v="1"/>
    <x v="1"/>
    <n v="38"/>
    <n v="1"/>
    <n v="1"/>
    <x v="2"/>
    <n v="4"/>
    <x v="2"/>
    <n v="3408"/>
    <n v="7"/>
    <x v="1"/>
    <n v="13"/>
    <n v="3"/>
    <n v="1"/>
    <n v="3"/>
    <n v="8"/>
    <n v="2"/>
    <n v="3"/>
    <n v="4"/>
    <n v="3"/>
    <n v="1"/>
    <n v="3"/>
    <x v="0"/>
    <x v="1"/>
    <x v="1"/>
    <x v="3"/>
    <x v="3"/>
    <x v="1"/>
    <x v="0"/>
    <x v="0"/>
    <s v="High"/>
    <x v="1"/>
    <x v="2"/>
    <x v="0"/>
    <x v="2"/>
  </r>
  <r>
    <n v="30"/>
    <x v="1"/>
    <s v="Travel_Rarely"/>
    <n v="413"/>
    <x v="0"/>
    <n v="7"/>
    <n v="1"/>
    <s v="Marketing"/>
    <n v="585"/>
    <n v="4"/>
    <x v="1"/>
    <n v="57"/>
    <n v="3"/>
    <n v="1"/>
    <x v="6"/>
    <n v="2"/>
    <x v="0"/>
    <n v="2983"/>
    <n v="0"/>
    <x v="1"/>
    <n v="14"/>
    <n v="3"/>
    <n v="1"/>
    <n v="0"/>
    <n v="4"/>
    <n v="3"/>
    <n v="3"/>
    <n v="3"/>
    <n v="2"/>
    <n v="1"/>
    <n v="2"/>
    <x v="1"/>
    <x v="1"/>
    <x v="1"/>
    <x v="2"/>
    <x v="0"/>
    <x v="1"/>
    <x v="1"/>
    <x v="0"/>
    <s v="No Options"/>
    <x v="1"/>
    <x v="2"/>
    <x v="1"/>
    <x v="2"/>
  </r>
  <r>
    <n v="35"/>
    <x v="1"/>
    <s v="Travel_Rarely"/>
    <n v="1276"/>
    <x v="1"/>
    <n v="16"/>
    <n v="3"/>
    <s v="Life Sciences"/>
    <n v="586"/>
    <n v="4"/>
    <x v="1"/>
    <n v="72"/>
    <n v="3"/>
    <n v="3"/>
    <x v="4"/>
    <n v="3"/>
    <x v="1"/>
    <n v="7632"/>
    <n v="4"/>
    <x v="0"/>
    <n v="12"/>
    <n v="3"/>
    <n v="3"/>
    <n v="0"/>
    <n v="10"/>
    <n v="2"/>
    <n v="3"/>
    <n v="8"/>
    <n v="7"/>
    <n v="0"/>
    <n v="0"/>
    <x v="1"/>
    <x v="0"/>
    <x v="3"/>
    <x v="2"/>
    <x v="0"/>
    <x v="2"/>
    <x v="2"/>
    <x v="3"/>
    <s v="No Options"/>
    <x v="1"/>
    <x v="0"/>
    <x v="2"/>
    <x v="0"/>
  </r>
  <r>
    <n v="31"/>
    <x v="0"/>
    <s v="Travel_Frequently"/>
    <n v="534"/>
    <x v="1"/>
    <n v="20"/>
    <n v="3"/>
    <s v="Life Sciences"/>
    <n v="587"/>
    <n v="1"/>
    <x v="1"/>
    <n v="66"/>
    <n v="3"/>
    <n v="3"/>
    <x v="4"/>
    <n v="3"/>
    <x v="1"/>
    <n v="9824"/>
    <n v="3"/>
    <x v="1"/>
    <n v="12"/>
    <n v="3"/>
    <n v="1"/>
    <n v="0"/>
    <n v="12"/>
    <n v="2"/>
    <n v="3"/>
    <n v="1"/>
    <n v="0"/>
    <n v="0"/>
    <n v="0"/>
    <x v="0"/>
    <x v="1"/>
    <x v="3"/>
    <x v="3"/>
    <x v="0"/>
    <x v="2"/>
    <x v="2"/>
    <x v="0"/>
    <s v="No Options"/>
    <x v="1"/>
    <x v="2"/>
    <x v="2"/>
    <x v="1"/>
  </r>
  <r>
    <n v="34"/>
    <x v="0"/>
    <s v="Travel_Frequently"/>
    <n v="988"/>
    <x v="2"/>
    <n v="23"/>
    <n v="3"/>
    <s v="Human Resources"/>
    <n v="590"/>
    <n v="2"/>
    <x v="0"/>
    <n v="43"/>
    <n v="3"/>
    <n v="3"/>
    <x v="8"/>
    <n v="1"/>
    <x v="2"/>
    <n v="9950"/>
    <n v="9"/>
    <x v="0"/>
    <n v="15"/>
    <n v="3"/>
    <n v="3"/>
    <n v="3"/>
    <n v="11"/>
    <n v="2"/>
    <n v="3"/>
    <n v="3"/>
    <n v="2"/>
    <n v="0"/>
    <n v="2"/>
    <x v="0"/>
    <x v="0"/>
    <x v="3"/>
    <x v="0"/>
    <x v="0"/>
    <x v="2"/>
    <x v="3"/>
    <x v="3"/>
    <s v="High"/>
    <x v="1"/>
    <x v="2"/>
    <x v="2"/>
    <x v="2"/>
  </r>
  <r>
    <n v="42"/>
    <x v="1"/>
    <s v="Travel_Frequently"/>
    <n v="1474"/>
    <x v="1"/>
    <n v="5"/>
    <n v="2"/>
    <s v="Other"/>
    <n v="591"/>
    <n v="2"/>
    <x v="1"/>
    <n v="97"/>
    <n v="3"/>
    <n v="1"/>
    <x v="2"/>
    <n v="3"/>
    <x v="1"/>
    <n v="2093"/>
    <n v="4"/>
    <x v="1"/>
    <n v="17"/>
    <n v="3"/>
    <n v="4"/>
    <n v="1"/>
    <n v="8"/>
    <n v="4"/>
    <n v="3"/>
    <n v="2"/>
    <n v="2"/>
    <n v="2"/>
    <n v="0"/>
    <x v="1"/>
    <x v="1"/>
    <x v="0"/>
    <x v="0"/>
    <x v="0"/>
    <x v="1"/>
    <x v="2"/>
    <x v="1"/>
    <s v="Low"/>
    <x v="1"/>
    <x v="0"/>
    <x v="1"/>
    <x v="1"/>
  </r>
  <r>
    <n v="36"/>
    <x v="1"/>
    <s v="Non-Travel"/>
    <n v="635"/>
    <x v="0"/>
    <n v="10"/>
    <n v="4"/>
    <s v="Medical"/>
    <n v="592"/>
    <n v="2"/>
    <x v="1"/>
    <n v="32"/>
    <n v="3"/>
    <n v="3"/>
    <x v="0"/>
    <n v="4"/>
    <x v="0"/>
    <n v="9980"/>
    <n v="1"/>
    <x v="1"/>
    <n v="14"/>
    <n v="3"/>
    <n v="4"/>
    <n v="0"/>
    <n v="10"/>
    <n v="3"/>
    <n v="2"/>
    <n v="10"/>
    <n v="3"/>
    <n v="9"/>
    <n v="7"/>
    <x v="1"/>
    <x v="1"/>
    <x v="2"/>
    <x v="0"/>
    <x v="0"/>
    <x v="2"/>
    <x v="0"/>
    <x v="1"/>
    <s v="No Options"/>
    <x v="2"/>
    <x v="0"/>
    <x v="2"/>
    <x v="0"/>
  </r>
  <r>
    <n v="22"/>
    <x v="0"/>
    <s v="Travel_Frequently"/>
    <n v="1368"/>
    <x v="1"/>
    <n v="4"/>
    <n v="1"/>
    <s v="Technical Degree"/>
    <n v="593"/>
    <n v="3"/>
    <x v="1"/>
    <n v="99"/>
    <n v="2"/>
    <n v="1"/>
    <x v="2"/>
    <n v="3"/>
    <x v="0"/>
    <n v="3894"/>
    <n v="5"/>
    <x v="1"/>
    <n v="16"/>
    <n v="3"/>
    <n v="3"/>
    <n v="0"/>
    <n v="4"/>
    <n v="3"/>
    <n v="3"/>
    <n v="2"/>
    <n v="2"/>
    <n v="1"/>
    <n v="2"/>
    <x v="0"/>
    <x v="1"/>
    <x v="1"/>
    <x v="1"/>
    <x v="1"/>
    <x v="1"/>
    <x v="2"/>
    <x v="3"/>
    <s v="No Options"/>
    <x v="1"/>
    <x v="4"/>
    <x v="0"/>
    <x v="1"/>
  </r>
  <r>
    <n v="48"/>
    <x v="1"/>
    <s v="Travel_Rarely"/>
    <n v="163"/>
    <x v="0"/>
    <n v="2"/>
    <n v="5"/>
    <s v="Marketing"/>
    <n v="595"/>
    <n v="2"/>
    <x v="0"/>
    <n v="37"/>
    <n v="3"/>
    <n v="2"/>
    <x v="0"/>
    <n v="4"/>
    <x v="1"/>
    <n v="4051"/>
    <n v="2"/>
    <x v="1"/>
    <n v="14"/>
    <n v="3"/>
    <n v="1"/>
    <n v="1"/>
    <n v="14"/>
    <n v="2"/>
    <n v="3"/>
    <n v="9"/>
    <n v="7"/>
    <n v="6"/>
    <n v="7"/>
    <x v="1"/>
    <x v="1"/>
    <x v="4"/>
    <x v="0"/>
    <x v="0"/>
    <x v="0"/>
    <x v="0"/>
    <x v="0"/>
    <s v="Low"/>
    <x v="1"/>
    <x v="1"/>
    <x v="0"/>
    <x v="0"/>
  </r>
  <r>
    <n v="55"/>
    <x v="1"/>
    <s v="Travel_Rarely"/>
    <n v="1117"/>
    <x v="0"/>
    <n v="18"/>
    <n v="5"/>
    <s v="Life Sciences"/>
    <n v="597"/>
    <n v="1"/>
    <x v="0"/>
    <n v="83"/>
    <n v="3"/>
    <n v="4"/>
    <x v="5"/>
    <n v="2"/>
    <x v="0"/>
    <n v="16835"/>
    <n v="3"/>
    <x v="1"/>
    <n v="23"/>
    <n v="4"/>
    <n v="4"/>
    <n v="0"/>
    <n v="37"/>
    <n v="2"/>
    <n v="3"/>
    <n v="10"/>
    <n v="9"/>
    <n v="7"/>
    <n v="7"/>
    <x v="1"/>
    <x v="1"/>
    <x v="4"/>
    <x v="3"/>
    <x v="0"/>
    <x v="3"/>
    <x v="1"/>
    <x v="1"/>
    <s v="No Options"/>
    <x v="1"/>
    <x v="3"/>
    <x v="3"/>
    <x v="0"/>
  </r>
  <r>
    <n v="41"/>
    <x v="1"/>
    <s v="Non-Travel"/>
    <n v="267"/>
    <x v="0"/>
    <n v="10"/>
    <n v="2"/>
    <s v="Life Sciences"/>
    <n v="599"/>
    <n v="4"/>
    <x v="1"/>
    <n v="56"/>
    <n v="3"/>
    <n v="2"/>
    <x v="0"/>
    <n v="4"/>
    <x v="0"/>
    <n v="6230"/>
    <n v="7"/>
    <x v="1"/>
    <n v="14"/>
    <n v="3"/>
    <n v="4"/>
    <n v="0"/>
    <n v="16"/>
    <n v="3"/>
    <n v="3"/>
    <n v="14"/>
    <n v="3"/>
    <n v="1"/>
    <n v="10"/>
    <x v="1"/>
    <x v="1"/>
    <x v="0"/>
    <x v="2"/>
    <x v="0"/>
    <x v="0"/>
    <x v="0"/>
    <x v="1"/>
    <s v="No Options"/>
    <x v="1"/>
    <x v="0"/>
    <x v="0"/>
    <x v="4"/>
  </r>
  <r>
    <n v="35"/>
    <x v="1"/>
    <s v="Travel_Rarely"/>
    <n v="619"/>
    <x v="0"/>
    <n v="1"/>
    <n v="3"/>
    <s v="Marketing"/>
    <n v="600"/>
    <n v="2"/>
    <x v="1"/>
    <n v="85"/>
    <n v="3"/>
    <n v="2"/>
    <x v="0"/>
    <n v="3"/>
    <x v="1"/>
    <n v="4717"/>
    <n v="9"/>
    <x v="1"/>
    <n v="11"/>
    <n v="3"/>
    <n v="3"/>
    <n v="0"/>
    <n v="15"/>
    <n v="2"/>
    <n v="3"/>
    <n v="11"/>
    <n v="9"/>
    <n v="6"/>
    <n v="9"/>
    <x v="1"/>
    <x v="1"/>
    <x v="3"/>
    <x v="0"/>
    <x v="0"/>
    <x v="0"/>
    <x v="2"/>
    <x v="3"/>
    <s v="No Options"/>
    <x v="1"/>
    <x v="0"/>
    <x v="0"/>
    <x v="4"/>
  </r>
  <r>
    <n v="40"/>
    <x v="1"/>
    <s v="Travel_Rarely"/>
    <n v="302"/>
    <x v="1"/>
    <n v="6"/>
    <n v="3"/>
    <s v="Life Sciences"/>
    <n v="601"/>
    <n v="2"/>
    <x v="0"/>
    <n v="75"/>
    <n v="3"/>
    <n v="4"/>
    <x v="3"/>
    <n v="3"/>
    <x v="0"/>
    <n v="13237"/>
    <n v="7"/>
    <x v="1"/>
    <n v="15"/>
    <n v="3"/>
    <n v="3"/>
    <n v="0"/>
    <n v="22"/>
    <n v="3"/>
    <n v="3"/>
    <n v="20"/>
    <n v="6"/>
    <n v="5"/>
    <n v="13"/>
    <x v="1"/>
    <x v="1"/>
    <x v="3"/>
    <x v="0"/>
    <x v="0"/>
    <x v="3"/>
    <x v="2"/>
    <x v="3"/>
    <s v="No Options"/>
    <x v="1"/>
    <x v="0"/>
    <x v="3"/>
    <x v="4"/>
  </r>
  <r>
    <n v="39"/>
    <x v="1"/>
    <s v="Travel_Frequently"/>
    <n v="443"/>
    <x v="1"/>
    <n v="8"/>
    <n v="1"/>
    <s v="Life Sciences"/>
    <n v="602"/>
    <n v="3"/>
    <x v="0"/>
    <n v="48"/>
    <n v="3"/>
    <n v="1"/>
    <x v="2"/>
    <n v="3"/>
    <x v="1"/>
    <n v="3755"/>
    <n v="1"/>
    <x v="1"/>
    <n v="11"/>
    <n v="3"/>
    <n v="1"/>
    <n v="1"/>
    <n v="8"/>
    <n v="3"/>
    <n v="3"/>
    <n v="8"/>
    <n v="3"/>
    <n v="0"/>
    <n v="7"/>
    <x v="1"/>
    <x v="1"/>
    <x v="1"/>
    <x v="1"/>
    <x v="0"/>
    <x v="1"/>
    <x v="2"/>
    <x v="0"/>
    <s v="Low"/>
    <x v="1"/>
    <x v="0"/>
    <x v="0"/>
    <x v="0"/>
  </r>
  <r>
    <n v="31"/>
    <x v="1"/>
    <s v="Travel_Rarely"/>
    <n v="828"/>
    <x v="0"/>
    <n v="2"/>
    <n v="1"/>
    <s v="Life Sciences"/>
    <n v="604"/>
    <n v="2"/>
    <x v="1"/>
    <n v="77"/>
    <n v="3"/>
    <n v="2"/>
    <x v="0"/>
    <n v="4"/>
    <x v="0"/>
    <n v="6582"/>
    <n v="4"/>
    <x v="0"/>
    <n v="13"/>
    <n v="3"/>
    <n v="3"/>
    <n v="0"/>
    <n v="10"/>
    <n v="2"/>
    <n v="4"/>
    <n v="6"/>
    <n v="5"/>
    <n v="0"/>
    <n v="5"/>
    <x v="1"/>
    <x v="0"/>
    <x v="1"/>
    <x v="0"/>
    <x v="0"/>
    <x v="0"/>
    <x v="0"/>
    <x v="3"/>
    <s v="No Options"/>
    <x v="3"/>
    <x v="2"/>
    <x v="0"/>
    <x v="0"/>
  </r>
  <r>
    <n v="42"/>
    <x v="1"/>
    <s v="Travel_Rarely"/>
    <n v="319"/>
    <x v="1"/>
    <n v="24"/>
    <n v="3"/>
    <s v="Medical"/>
    <n v="605"/>
    <n v="4"/>
    <x v="1"/>
    <n v="56"/>
    <n v="3"/>
    <n v="3"/>
    <x v="3"/>
    <n v="1"/>
    <x v="1"/>
    <n v="7406"/>
    <n v="1"/>
    <x v="0"/>
    <n v="21"/>
    <n v="4"/>
    <n v="4"/>
    <n v="1"/>
    <n v="10"/>
    <n v="5"/>
    <n v="2"/>
    <n v="10"/>
    <n v="9"/>
    <n v="5"/>
    <n v="8"/>
    <x v="1"/>
    <x v="0"/>
    <x v="3"/>
    <x v="2"/>
    <x v="0"/>
    <x v="2"/>
    <x v="3"/>
    <x v="1"/>
    <s v="Low"/>
    <x v="2"/>
    <x v="0"/>
    <x v="2"/>
    <x v="0"/>
  </r>
  <r>
    <n v="45"/>
    <x v="1"/>
    <s v="Travel_Rarely"/>
    <n v="561"/>
    <x v="0"/>
    <n v="2"/>
    <n v="3"/>
    <s v="Other"/>
    <n v="606"/>
    <n v="4"/>
    <x v="1"/>
    <n v="61"/>
    <n v="3"/>
    <n v="2"/>
    <x v="0"/>
    <n v="2"/>
    <x v="1"/>
    <n v="4805"/>
    <n v="0"/>
    <x v="1"/>
    <n v="19"/>
    <n v="3"/>
    <n v="2"/>
    <n v="1"/>
    <n v="9"/>
    <n v="3"/>
    <n v="4"/>
    <n v="8"/>
    <n v="7"/>
    <n v="3"/>
    <n v="7"/>
    <x v="1"/>
    <x v="1"/>
    <x v="3"/>
    <x v="2"/>
    <x v="0"/>
    <x v="0"/>
    <x v="1"/>
    <x v="2"/>
    <s v="Low"/>
    <x v="3"/>
    <x v="1"/>
    <x v="0"/>
    <x v="0"/>
  </r>
  <r>
    <n v="26"/>
    <x v="0"/>
    <s v="Travel_Frequently"/>
    <n v="426"/>
    <x v="2"/>
    <n v="17"/>
    <n v="4"/>
    <s v="Life Sciences"/>
    <n v="608"/>
    <n v="2"/>
    <x v="0"/>
    <n v="58"/>
    <n v="3"/>
    <n v="1"/>
    <x v="8"/>
    <n v="3"/>
    <x v="2"/>
    <n v="2741"/>
    <n v="0"/>
    <x v="0"/>
    <n v="11"/>
    <n v="3"/>
    <n v="2"/>
    <n v="1"/>
    <n v="8"/>
    <n v="2"/>
    <n v="2"/>
    <n v="7"/>
    <n v="7"/>
    <n v="1"/>
    <n v="0"/>
    <x v="0"/>
    <x v="0"/>
    <x v="2"/>
    <x v="0"/>
    <x v="0"/>
    <x v="1"/>
    <x v="2"/>
    <x v="2"/>
    <s v="Low"/>
    <x v="2"/>
    <x v="2"/>
    <x v="1"/>
    <x v="0"/>
  </r>
  <r>
    <n v="29"/>
    <x v="1"/>
    <s v="Travel_Rarely"/>
    <n v="232"/>
    <x v="1"/>
    <n v="19"/>
    <n v="3"/>
    <s v="Technical Degree"/>
    <n v="611"/>
    <n v="4"/>
    <x v="1"/>
    <n v="34"/>
    <n v="3"/>
    <n v="2"/>
    <x v="3"/>
    <n v="4"/>
    <x v="2"/>
    <n v="4262"/>
    <n v="4"/>
    <x v="1"/>
    <n v="12"/>
    <n v="3"/>
    <n v="2"/>
    <n v="2"/>
    <n v="8"/>
    <n v="2"/>
    <n v="4"/>
    <n v="3"/>
    <n v="2"/>
    <n v="1"/>
    <n v="2"/>
    <x v="1"/>
    <x v="1"/>
    <x v="3"/>
    <x v="2"/>
    <x v="0"/>
    <x v="0"/>
    <x v="0"/>
    <x v="2"/>
    <s v="Medium"/>
    <x v="3"/>
    <x v="2"/>
    <x v="0"/>
    <x v="2"/>
  </r>
  <r>
    <n v="33"/>
    <x v="1"/>
    <s v="Travel_Rarely"/>
    <n v="922"/>
    <x v="1"/>
    <n v="1"/>
    <n v="5"/>
    <s v="Medical"/>
    <n v="612"/>
    <n v="1"/>
    <x v="0"/>
    <n v="95"/>
    <n v="4"/>
    <n v="4"/>
    <x v="7"/>
    <n v="3"/>
    <x v="2"/>
    <n v="16184"/>
    <n v="4"/>
    <x v="1"/>
    <n v="19"/>
    <n v="3"/>
    <n v="3"/>
    <n v="1"/>
    <n v="10"/>
    <n v="2"/>
    <n v="3"/>
    <n v="6"/>
    <n v="1"/>
    <n v="0"/>
    <n v="5"/>
    <x v="1"/>
    <x v="1"/>
    <x v="4"/>
    <x v="3"/>
    <x v="2"/>
    <x v="3"/>
    <x v="2"/>
    <x v="3"/>
    <s v="Low"/>
    <x v="1"/>
    <x v="2"/>
    <x v="3"/>
    <x v="0"/>
  </r>
  <r>
    <n v="31"/>
    <x v="1"/>
    <s v="Travel_Rarely"/>
    <n v="688"/>
    <x v="0"/>
    <n v="7"/>
    <n v="3"/>
    <s v="Life Sciences"/>
    <n v="613"/>
    <n v="3"/>
    <x v="1"/>
    <n v="44"/>
    <n v="2"/>
    <n v="3"/>
    <x v="5"/>
    <n v="4"/>
    <x v="2"/>
    <n v="11557"/>
    <n v="9"/>
    <x v="1"/>
    <n v="21"/>
    <n v="4"/>
    <n v="3"/>
    <n v="1"/>
    <n v="10"/>
    <n v="3"/>
    <n v="2"/>
    <n v="5"/>
    <n v="4"/>
    <n v="0"/>
    <n v="1"/>
    <x v="1"/>
    <x v="1"/>
    <x v="3"/>
    <x v="1"/>
    <x v="1"/>
    <x v="2"/>
    <x v="0"/>
    <x v="3"/>
    <s v="Low"/>
    <x v="2"/>
    <x v="2"/>
    <x v="2"/>
    <x v="2"/>
  </r>
  <r>
    <n v="18"/>
    <x v="0"/>
    <s v="Travel_Frequently"/>
    <n v="1306"/>
    <x v="0"/>
    <n v="5"/>
    <n v="3"/>
    <s v="Marketing"/>
    <n v="614"/>
    <n v="2"/>
    <x v="1"/>
    <n v="69"/>
    <n v="3"/>
    <n v="1"/>
    <x v="6"/>
    <n v="2"/>
    <x v="0"/>
    <n v="1878"/>
    <n v="1"/>
    <x v="0"/>
    <n v="14"/>
    <n v="3"/>
    <n v="4"/>
    <n v="0"/>
    <n v="0"/>
    <n v="3"/>
    <n v="3"/>
    <n v="0"/>
    <n v="0"/>
    <n v="0"/>
    <n v="0"/>
    <x v="0"/>
    <x v="0"/>
    <x v="3"/>
    <x v="0"/>
    <x v="0"/>
    <x v="1"/>
    <x v="1"/>
    <x v="1"/>
    <s v="No Options"/>
    <x v="1"/>
    <x v="4"/>
    <x v="1"/>
    <x v="1"/>
  </r>
  <r>
    <n v="40"/>
    <x v="1"/>
    <s v="Non-Travel"/>
    <n v="1094"/>
    <x v="0"/>
    <n v="28"/>
    <n v="3"/>
    <s v="Other"/>
    <n v="615"/>
    <n v="3"/>
    <x v="1"/>
    <n v="58"/>
    <n v="1"/>
    <n v="3"/>
    <x v="0"/>
    <n v="1"/>
    <x v="2"/>
    <n v="10932"/>
    <n v="3"/>
    <x v="1"/>
    <n v="15"/>
    <n v="3"/>
    <n v="3"/>
    <n v="1"/>
    <n v="20"/>
    <n v="2"/>
    <n v="3"/>
    <n v="1"/>
    <n v="0"/>
    <n v="0"/>
    <n v="1"/>
    <x v="1"/>
    <x v="1"/>
    <x v="3"/>
    <x v="1"/>
    <x v="3"/>
    <x v="2"/>
    <x v="3"/>
    <x v="3"/>
    <s v="Low"/>
    <x v="1"/>
    <x v="0"/>
    <x v="2"/>
    <x v="1"/>
  </r>
  <r>
    <n v="41"/>
    <x v="1"/>
    <s v="Non-Travel"/>
    <n v="509"/>
    <x v="1"/>
    <n v="2"/>
    <n v="4"/>
    <s v="Other"/>
    <n v="616"/>
    <n v="1"/>
    <x v="0"/>
    <n v="62"/>
    <n v="2"/>
    <n v="2"/>
    <x v="4"/>
    <n v="3"/>
    <x v="0"/>
    <n v="6811"/>
    <n v="2"/>
    <x v="0"/>
    <n v="17"/>
    <n v="3"/>
    <n v="1"/>
    <n v="0"/>
    <n v="10"/>
    <n v="3"/>
    <n v="3"/>
    <n v="8"/>
    <n v="7"/>
    <n v="0"/>
    <n v="7"/>
    <x v="1"/>
    <x v="0"/>
    <x v="2"/>
    <x v="3"/>
    <x v="1"/>
    <x v="0"/>
    <x v="2"/>
    <x v="0"/>
    <s v="No Options"/>
    <x v="1"/>
    <x v="0"/>
    <x v="0"/>
    <x v="0"/>
  </r>
  <r>
    <n v="26"/>
    <x v="1"/>
    <s v="Travel_Rarely"/>
    <n v="775"/>
    <x v="0"/>
    <n v="29"/>
    <n v="2"/>
    <s v="Medical"/>
    <n v="618"/>
    <n v="1"/>
    <x v="1"/>
    <n v="45"/>
    <n v="3"/>
    <n v="2"/>
    <x v="0"/>
    <n v="3"/>
    <x v="2"/>
    <n v="4306"/>
    <n v="5"/>
    <x v="1"/>
    <n v="12"/>
    <n v="3"/>
    <n v="1"/>
    <n v="2"/>
    <n v="8"/>
    <n v="5"/>
    <n v="3"/>
    <n v="0"/>
    <n v="0"/>
    <n v="0"/>
    <n v="0"/>
    <x v="1"/>
    <x v="1"/>
    <x v="0"/>
    <x v="3"/>
    <x v="0"/>
    <x v="0"/>
    <x v="2"/>
    <x v="0"/>
    <s v="Medium"/>
    <x v="1"/>
    <x v="2"/>
    <x v="0"/>
    <x v="1"/>
  </r>
  <r>
    <n v="35"/>
    <x v="1"/>
    <s v="Travel_Rarely"/>
    <n v="195"/>
    <x v="0"/>
    <n v="1"/>
    <n v="3"/>
    <s v="Medical"/>
    <n v="620"/>
    <n v="1"/>
    <x v="0"/>
    <n v="80"/>
    <n v="3"/>
    <n v="2"/>
    <x v="0"/>
    <n v="3"/>
    <x v="0"/>
    <n v="4859"/>
    <n v="1"/>
    <x v="1"/>
    <n v="16"/>
    <n v="3"/>
    <n v="4"/>
    <n v="0"/>
    <n v="5"/>
    <n v="3"/>
    <n v="3"/>
    <n v="5"/>
    <n v="4"/>
    <n v="0"/>
    <n v="3"/>
    <x v="1"/>
    <x v="1"/>
    <x v="3"/>
    <x v="3"/>
    <x v="0"/>
    <x v="0"/>
    <x v="2"/>
    <x v="1"/>
    <s v="No Options"/>
    <x v="1"/>
    <x v="0"/>
    <x v="0"/>
    <x v="2"/>
  </r>
  <r>
    <n v="34"/>
    <x v="1"/>
    <s v="Travel_Rarely"/>
    <n v="258"/>
    <x v="0"/>
    <n v="21"/>
    <n v="4"/>
    <s v="Life Sciences"/>
    <n v="621"/>
    <n v="4"/>
    <x v="1"/>
    <n v="74"/>
    <n v="4"/>
    <n v="2"/>
    <x v="0"/>
    <n v="4"/>
    <x v="0"/>
    <n v="5337"/>
    <n v="1"/>
    <x v="1"/>
    <n v="12"/>
    <n v="3"/>
    <n v="4"/>
    <n v="0"/>
    <n v="10"/>
    <n v="3"/>
    <n v="3"/>
    <n v="10"/>
    <n v="7"/>
    <n v="5"/>
    <n v="7"/>
    <x v="1"/>
    <x v="1"/>
    <x v="2"/>
    <x v="2"/>
    <x v="2"/>
    <x v="0"/>
    <x v="0"/>
    <x v="1"/>
    <s v="No Options"/>
    <x v="1"/>
    <x v="2"/>
    <x v="0"/>
    <x v="0"/>
  </r>
  <r>
    <n v="26"/>
    <x v="0"/>
    <s v="Travel_Rarely"/>
    <n v="471"/>
    <x v="1"/>
    <n v="24"/>
    <n v="3"/>
    <s v="Technical Degree"/>
    <n v="622"/>
    <n v="3"/>
    <x v="1"/>
    <n v="66"/>
    <n v="1"/>
    <n v="1"/>
    <x v="2"/>
    <n v="4"/>
    <x v="0"/>
    <n v="2340"/>
    <n v="1"/>
    <x v="0"/>
    <n v="18"/>
    <n v="3"/>
    <n v="2"/>
    <n v="0"/>
    <n v="1"/>
    <n v="3"/>
    <n v="1"/>
    <n v="1"/>
    <n v="0"/>
    <n v="0"/>
    <n v="0"/>
    <x v="0"/>
    <x v="0"/>
    <x v="3"/>
    <x v="1"/>
    <x v="3"/>
    <x v="1"/>
    <x v="0"/>
    <x v="2"/>
    <s v="No Options"/>
    <x v="0"/>
    <x v="2"/>
    <x v="1"/>
    <x v="1"/>
  </r>
  <r>
    <n v="37"/>
    <x v="1"/>
    <s v="Travel_Rarely"/>
    <n v="799"/>
    <x v="1"/>
    <n v="1"/>
    <n v="3"/>
    <s v="Technical Degree"/>
    <n v="623"/>
    <n v="2"/>
    <x v="0"/>
    <n v="59"/>
    <n v="3"/>
    <n v="3"/>
    <x v="3"/>
    <n v="4"/>
    <x v="0"/>
    <n v="7491"/>
    <n v="4"/>
    <x v="1"/>
    <n v="17"/>
    <n v="3"/>
    <n v="4"/>
    <n v="0"/>
    <n v="12"/>
    <n v="3"/>
    <n v="4"/>
    <n v="6"/>
    <n v="5"/>
    <n v="1"/>
    <n v="2"/>
    <x v="1"/>
    <x v="1"/>
    <x v="3"/>
    <x v="0"/>
    <x v="0"/>
    <x v="2"/>
    <x v="0"/>
    <x v="1"/>
    <s v="No Options"/>
    <x v="3"/>
    <x v="0"/>
    <x v="2"/>
    <x v="0"/>
  </r>
  <r>
    <n v="46"/>
    <x v="1"/>
    <s v="Travel_Frequently"/>
    <n v="1034"/>
    <x v="1"/>
    <n v="18"/>
    <n v="1"/>
    <s v="Medical"/>
    <n v="624"/>
    <n v="1"/>
    <x v="0"/>
    <n v="86"/>
    <n v="3"/>
    <n v="3"/>
    <x v="4"/>
    <n v="3"/>
    <x v="1"/>
    <n v="10527"/>
    <n v="5"/>
    <x v="1"/>
    <n v="11"/>
    <n v="3"/>
    <n v="4"/>
    <n v="0"/>
    <n v="28"/>
    <n v="3"/>
    <n v="2"/>
    <n v="2"/>
    <n v="2"/>
    <n v="1"/>
    <n v="2"/>
    <x v="1"/>
    <x v="1"/>
    <x v="1"/>
    <x v="3"/>
    <x v="0"/>
    <x v="2"/>
    <x v="2"/>
    <x v="1"/>
    <s v="No Options"/>
    <x v="2"/>
    <x v="1"/>
    <x v="2"/>
    <x v="1"/>
  </r>
  <r>
    <n v="41"/>
    <x v="1"/>
    <s v="Travel_Rarely"/>
    <n v="1276"/>
    <x v="0"/>
    <n v="2"/>
    <n v="5"/>
    <s v="Life Sciences"/>
    <n v="625"/>
    <n v="2"/>
    <x v="0"/>
    <n v="91"/>
    <n v="3"/>
    <n v="4"/>
    <x v="5"/>
    <n v="1"/>
    <x v="1"/>
    <n v="16595"/>
    <n v="7"/>
    <x v="1"/>
    <n v="16"/>
    <n v="3"/>
    <n v="2"/>
    <n v="1"/>
    <n v="22"/>
    <n v="2"/>
    <n v="3"/>
    <n v="18"/>
    <n v="16"/>
    <n v="11"/>
    <n v="8"/>
    <x v="1"/>
    <x v="1"/>
    <x v="4"/>
    <x v="0"/>
    <x v="0"/>
    <x v="3"/>
    <x v="3"/>
    <x v="2"/>
    <s v="Low"/>
    <x v="1"/>
    <x v="0"/>
    <x v="3"/>
    <x v="4"/>
  </r>
  <r>
    <n v="37"/>
    <x v="1"/>
    <s v="Non-Travel"/>
    <n v="142"/>
    <x v="0"/>
    <n v="9"/>
    <n v="4"/>
    <s v="Medical"/>
    <n v="626"/>
    <n v="1"/>
    <x v="1"/>
    <n v="69"/>
    <n v="3"/>
    <n v="3"/>
    <x v="0"/>
    <n v="2"/>
    <x v="2"/>
    <n v="8834"/>
    <n v="1"/>
    <x v="1"/>
    <n v="13"/>
    <n v="3"/>
    <n v="4"/>
    <n v="1"/>
    <n v="9"/>
    <n v="6"/>
    <n v="3"/>
    <n v="9"/>
    <n v="5"/>
    <n v="7"/>
    <n v="7"/>
    <x v="1"/>
    <x v="1"/>
    <x v="2"/>
    <x v="3"/>
    <x v="0"/>
    <x v="2"/>
    <x v="1"/>
    <x v="1"/>
    <s v="Low"/>
    <x v="1"/>
    <x v="0"/>
    <x v="2"/>
    <x v="0"/>
  </r>
  <r>
    <n v="52"/>
    <x v="1"/>
    <s v="Travel_Rarely"/>
    <n v="956"/>
    <x v="1"/>
    <n v="6"/>
    <n v="2"/>
    <s v="Technical Degree"/>
    <n v="630"/>
    <n v="4"/>
    <x v="1"/>
    <n v="78"/>
    <n v="3"/>
    <n v="2"/>
    <x v="1"/>
    <n v="1"/>
    <x v="2"/>
    <n v="5577"/>
    <n v="3"/>
    <x v="0"/>
    <n v="12"/>
    <n v="3"/>
    <n v="2"/>
    <n v="2"/>
    <n v="18"/>
    <n v="3"/>
    <n v="3"/>
    <n v="10"/>
    <n v="9"/>
    <n v="6"/>
    <n v="9"/>
    <x v="1"/>
    <x v="0"/>
    <x v="0"/>
    <x v="2"/>
    <x v="0"/>
    <x v="0"/>
    <x v="3"/>
    <x v="2"/>
    <s v="Medium"/>
    <x v="1"/>
    <x v="1"/>
    <x v="0"/>
    <x v="0"/>
  </r>
  <r>
    <n v="32"/>
    <x v="0"/>
    <s v="Non-Travel"/>
    <n v="1474"/>
    <x v="0"/>
    <n v="11"/>
    <n v="4"/>
    <s v="Other"/>
    <n v="631"/>
    <n v="4"/>
    <x v="1"/>
    <n v="60"/>
    <n v="4"/>
    <n v="2"/>
    <x v="0"/>
    <n v="3"/>
    <x v="1"/>
    <n v="4707"/>
    <n v="8"/>
    <x v="1"/>
    <n v="12"/>
    <n v="3"/>
    <n v="4"/>
    <n v="0"/>
    <n v="6"/>
    <n v="2"/>
    <n v="3"/>
    <n v="4"/>
    <n v="2"/>
    <n v="1"/>
    <n v="2"/>
    <x v="0"/>
    <x v="1"/>
    <x v="2"/>
    <x v="2"/>
    <x v="2"/>
    <x v="0"/>
    <x v="2"/>
    <x v="1"/>
    <s v="No Options"/>
    <x v="1"/>
    <x v="2"/>
    <x v="0"/>
    <x v="2"/>
  </r>
  <r>
    <n v="24"/>
    <x v="1"/>
    <s v="Travel_Frequently"/>
    <n v="535"/>
    <x v="0"/>
    <n v="24"/>
    <n v="3"/>
    <s v="Medical"/>
    <n v="632"/>
    <n v="4"/>
    <x v="1"/>
    <n v="38"/>
    <n v="3"/>
    <n v="1"/>
    <x v="6"/>
    <n v="4"/>
    <x v="1"/>
    <n v="2400"/>
    <n v="0"/>
    <x v="1"/>
    <n v="13"/>
    <n v="3"/>
    <n v="3"/>
    <n v="2"/>
    <n v="3"/>
    <n v="3"/>
    <n v="3"/>
    <n v="2"/>
    <n v="2"/>
    <n v="2"/>
    <n v="1"/>
    <x v="1"/>
    <x v="1"/>
    <x v="3"/>
    <x v="2"/>
    <x v="0"/>
    <x v="1"/>
    <x v="0"/>
    <x v="3"/>
    <s v="Medium"/>
    <x v="1"/>
    <x v="4"/>
    <x v="1"/>
    <x v="1"/>
  </r>
  <r>
    <n v="38"/>
    <x v="1"/>
    <s v="Travel_Rarely"/>
    <n v="1495"/>
    <x v="1"/>
    <n v="10"/>
    <n v="3"/>
    <s v="Medical"/>
    <n v="634"/>
    <n v="3"/>
    <x v="0"/>
    <n v="76"/>
    <n v="3"/>
    <n v="2"/>
    <x v="4"/>
    <n v="3"/>
    <x v="1"/>
    <n v="9824"/>
    <n v="3"/>
    <x v="1"/>
    <n v="19"/>
    <n v="3"/>
    <n v="3"/>
    <n v="1"/>
    <n v="18"/>
    <n v="4"/>
    <n v="3"/>
    <n v="1"/>
    <n v="0"/>
    <n v="0"/>
    <n v="0"/>
    <x v="1"/>
    <x v="1"/>
    <x v="3"/>
    <x v="1"/>
    <x v="0"/>
    <x v="0"/>
    <x v="2"/>
    <x v="3"/>
    <s v="Low"/>
    <x v="1"/>
    <x v="0"/>
    <x v="2"/>
    <x v="1"/>
  </r>
  <r>
    <n v="37"/>
    <x v="1"/>
    <s v="Travel_Rarely"/>
    <n v="446"/>
    <x v="1"/>
    <n v="1"/>
    <n v="4"/>
    <s v="Life Sciences"/>
    <n v="635"/>
    <n v="2"/>
    <x v="0"/>
    <n v="65"/>
    <n v="3"/>
    <n v="2"/>
    <x v="3"/>
    <n v="2"/>
    <x v="1"/>
    <n v="6447"/>
    <n v="6"/>
    <x v="1"/>
    <n v="12"/>
    <n v="3"/>
    <n v="2"/>
    <n v="1"/>
    <n v="8"/>
    <n v="2"/>
    <n v="2"/>
    <n v="6"/>
    <n v="5"/>
    <n v="4"/>
    <n v="3"/>
    <x v="1"/>
    <x v="1"/>
    <x v="2"/>
    <x v="0"/>
    <x v="0"/>
    <x v="0"/>
    <x v="1"/>
    <x v="2"/>
    <s v="Low"/>
    <x v="2"/>
    <x v="0"/>
    <x v="0"/>
    <x v="0"/>
  </r>
  <r>
    <n v="49"/>
    <x v="1"/>
    <s v="Travel_Rarely"/>
    <n v="1245"/>
    <x v="1"/>
    <n v="18"/>
    <n v="4"/>
    <s v="Life Sciences"/>
    <n v="638"/>
    <n v="4"/>
    <x v="1"/>
    <n v="58"/>
    <n v="2"/>
    <n v="5"/>
    <x v="7"/>
    <n v="3"/>
    <x v="2"/>
    <n v="19502"/>
    <n v="1"/>
    <x v="0"/>
    <n v="17"/>
    <n v="3"/>
    <n v="3"/>
    <n v="1"/>
    <n v="31"/>
    <n v="5"/>
    <n v="3"/>
    <n v="31"/>
    <n v="9"/>
    <n v="0"/>
    <n v="9"/>
    <x v="1"/>
    <x v="0"/>
    <x v="2"/>
    <x v="2"/>
    <x v="1"/>
    <x v="4"/>
    <x v="2"/>
    <x v="3"/>
    <s v="Low"/>
    <x v="1"/>
    <x v="1"/>
    <x v="3"/>
    <x v="3"/>
  </r>
  <r>
    <n v="24"/>
    <x v="1"/>
    <s v="Travel_Rarely"/>
    <n v="691"/>
    <x v="1"/>
    <n v="23"/>
    <n v="3"/>
    <s v="Medical"/>
    <n v="639"/>
    <n v="2"/>
    <x v="1"/>
    <n v="89"/>
    <n v="4"/>
    <n v="1"/>
    <x v="1"/>
    <n v="4"/>
    <x v="1"/>
    <n v="2725"/>
    <n v="1"/>
    <x v="0"/>
    <n v="11"/>
    <n v="3"/>
    <n v="2"/>
    <n v="2"/>
    <n v="6"/>
    <n v="3"/>
    <n v="3"/>
    <n v="6"/>
    <n v="5"/>
    <n v="1"/>
    <n v="4"/>
    <x v="1"/>
    <x v="0"/>
    <x v="3"/>
    <x v="0"/>
    <x v="2"/>
    <x v="1"/>
    <x v="0"/>
    <x v="2"/>
    <s v="Medium"/>
    <x v="1"/>
    <x v="4"/>
    <x v="1"/>
    <x v="0"/>
  </r>
  <r>
    <n v="26"/>
    <x v="1"/>
    <s v="Travel_Rarely"/>
    <n v="703"/>
    <x v="0"/>
    <n v="28"/>
    <n v="2"/>
    <s v="Marketing"/>
    <n v="641"/>
    <n v="1"/>
    <x v="1"/>
    <n v="66"/>
    <n v="3"/>
    <n v="2"/>
    <x v="0"/>
    <n v="2"/>
    <x v="1"/>
    <n v="6272"/>
    <n v="1"/>
    <x v="1"/>
    <n v="20"/>
    <n v="4"/>
    <n v="4"/>
    <n v="2"/>
    <n v="6"/>
    <n v="5"/>
    <n v="4"/>
    <n v="5"/>
    <n v="3"/>
    <n v="1"/>
    <n v="4"/>
    <x v="1"/>
    <x v="1"/>
    <x v="0"/>
    <x v="3"/>
    <x v="0"/>
    <x v="0"/>
    <x v="1"/>
    <x v="1"/>
    <s v="Medium"/>
    <x v="3"/>
    <x v="2"/>
    <x v="0"/>
    <x v="2"/>
  </r>
  <r>
    <n v="24"/>
    <x v="1"/>
    <s v="Travel_Rarely"/>
    <n v="823"/>
    <x v="1"/>
    <n v="17"/>
    <n v="2"/>
    <s v="Other"/>
    <n v="643"/>
    <n v="4"/>
    <x v="1"/>
    <n v="94"/>
    <n v="2"/>
    <n v="1"/>
    <x v="2"/>
    <n v="2"/>
    <x v="1"/>
    <n v="2127"/>
    <n v="1"/>
    <x v="1"/>
    <n v="21"/>
    <n v="4"/>
    <n v="4"/>
    <n v="1"/>
    <n v="1"/>
    <n v="2"/>
    <n v="3"/>
    <n v="1"/>
    <n v="0"/>
    <n v="0"/>
    <n v="0"/>
    <x v="1"/>
    <x v="1"/>
    <x v="0"/>
    <x v="2"/>
    <x v="1"/>
    <x v="1"/>
    <x v="1"/>
    <x v="1"/>
    <s v="Low"/>
    <x v="1"/>
    <x v="4"/>
    <x v="1"/>
    <x v="1"/>
  </r>
  <r>
    <n v="50"/>
    <x v="1"/>
    <s v="Travel_Frequently"/>
    <n v="1246"/>
    <x v="2"/>
    <n v="3"/>
    <n v="3"/>
    <s v="Medical"/>
    <n v="644"/>
    <n v="1"/>
    <x v="1"/>
    <n v="99"/>
    <n v="3"/>
    <n v="5"/>
    <x v="5"/>
    <n v="2"/>
    <x v="1"/>
    <n v="18200"/>
    <n v="1"/>
    <x v="1"/>
    <n v="11"/>
    <n v="3"/>
    <n v="3"/>
    <n v="1"/>
    <n v="32"/>
    <n v="2"/>
    <n v="3"/>
    <n v="32"/>
    <n v="5"/>
    <n v="10"/>
    <n v="7"/>
    <x v="1"/>
    <x v="1"/>
    <x v="3"/>
    <x v="3"/>
    <x v="0"/>
    <x v="4"/>
    <x v="1"/>
    <x v="3"/>
    <s v="Low"/>
    <x v="1"/>
    <x v="1"/>
    <x v="3"/>
    <x v="3"/>
  </r>
  <r>
    <n v="25"/>
    <x v="1"/>
    <s v="Travel_Rarely"/>
    <n v="622"/>
    <x v="0"/>
    <n v="13"/>
    <n v="1"/>
    <s v="Medical"/>
    <n v="645"/>
    <n v="2"/>
    <x v="1"/>
    <n v="40"/>
    <n v="3"/>
    <n v="1"/>
    <x v="6"/>
    <n v="3"/>
    <x v="1"/>
    <n v="2096"/>
    <n v="1"/>
    <x v="1"/>
    <n v="11"/>
    <n v="3"/>
    <n v="3"/>
    <n v="0"/>
    <n v="7"/>
    <n v="1"/>
    <n v="3"/>
    <n v="7"/>
    <n v="4"/>
    <n v="0"/>
    <n v="6"/>
    <x v="1"/>
    <x v="1"/>
    <x v="1"/>
    <x v="0"/>
    <x v="0"/>
    <x v="1"/>
    <x v="2"/>
    <x v="3"/>
    <s v="No Options"/>
    <x v="1"/>
    <x v="2"/>
    <x v="1"/>
    <x v="0"/>
  </r>
  <r>
    <n v="24"/>
    <x v="0"/>
    <s v="Travel_Frequently"/>
    <n v="1287"/>
    <x v="1"/>
    <n v="7"/>
    <n v="3"/>
    <s v="Life Sciences"/>
    <n v="647"/>
    <n v="1"/>
    <x v="0"/>
    <n v="55"/>
    <n v="3"/>
    <n v="1"/>
    <x v="2"/>
    <n v="3"/>
    <x v="1"/>
    <n v="2886"/>
    <n v="1"/>
    <x v="0"/>
    <n v="16"/>
    <n v="3"/>
    <n v="4"/>
    <n v="1"/>
    <n v="6"/>
    <n v="4"/>
    <n v="3"/>
    <n v="6"/>
    <n v="3"/>
    <n v="1"/>
    <n v="2"/>
    <x v="0"/>
    <x v="0"/>
    <x v="3"/>
    <x v="3"/>
    <x v="0"/>
    <x v="1"/>
    <x v="2"/>
    <x v="1"/>
    <s v="Low"/>
    <x v="1"/>
    <x v="4"/>
    <x v="1"/>
    <x v="0"/>
  </r>
  <r>
    <n v="30"/>
    <x v="0"/>
    <s v="Travel_Frequently"/>
    <n v="448"/>
    <x v="0"/>
    <n v="12"/>
    <n v="4"/>
    <s v="Life Sciences"/>
    <n v="648"/>
    <n v="2"/>
    <x v="1"/>
    <n v="74"/>
    <n v="2"/>
    <n v="1"/>
    <x v="6"/>
    <n v="1"/>
    <x v="1"/>
    <n v="2033"/>
    <n v="1"/>
    <x v="1"/>
    <n v="18"/>
    <n v="3"/>
    <n v="3"/>
    <n v="1"/>
    <n v="1"/>
    <n v="2"/>
    <n v="4"/>
    <n v="1"/>
    <n v="0"/>
    <n v="0"/>
    <n v="0"/>
    <x v="0"/>
    <x v="1"/>
    <x v="2"/>
    <x v="0"/>
    <x v="1"/>
    <x v="1"/>
    <x v="3"/>
    <x v="3"/>
    <s v="Low"/>
    <x v="3"/>
    <x v="2"/>
    <x v="1"/>
    <x v="1"/>
  </r>
  <r>
    <n v="34"/>
    <x v="1"/>
    <s v="Travel_Rarely"/>
    <n v="254"/>
    <x v="1"/>
    <n v="1"/>
    <n v="2"/>
    <s v="Life Sciences"/>
    <n v="649"/>
    <n v="2"/>
    <x v="1"/>
    <n v="83"/>
    <n v="2"/>
    <n v="1"/>
    <x v="1"/>
    <n v="4"/>
    <x v="1"/>
    <n v="3622"/>
    <n v="1"/>
    <x v="0"/>
    <n v="13"/>
    <n v="3"/>
    <n v="4"/>
    <n v="1"/>
    <n v="6"/>
    <n v="3"/>
    <n v="3"/>
    <n v="6"/>
    <n v="5"/>
    <n v="1"/>
    <n v="3"/>
    <x v="1"/>
    <x v="0"/>
    <x v="0"/>
    <x v="0"/>
    <x v="1"/>
    <x v="1"/>
    <x v="0"/>
    <x v="1"/>
    <s v="Low"/>
    <x v="1"/>
    <x v="2"/>
    <x v="0"/>
    <x v="0"/>
  </r>
  <r>
    <n v="31"/>
    <x v="0"/>
    <s v="Travel_Rarely"/>
    <n v="1365"/>
    <x v="0"/>
    <n v="13"/>
    <n v="4"/>
    <s v="Medical"/>
    <n v="650"/>
    <n v="2"/>
    <x v="1"/>
    <n v="46"/>
    <n v="3"/>
    <n v="2"/>
    <x v="0"/>
    <n v="1"/>
    <x v="2"/>
    <n v="4233"/>
    <n v="2"/>
    <x v="1"/>
    <n v="17"/>
    <n v="3"/>
    <n v="3"/>
    <n v="0"/>
    <n v="9"/>
    <n v="2"/>
    <n v="1"/>
    <n v="3"/>
    <n v="1"/>
    <n v="1"/>
    <n v="2"/>
    <x v="0"/>
    <x v="1"/>
    <x v="2"/>
    <x v="0"/>
    <x v="0"/>
    <x v="0"/>
    <x v="3"/>
    <x v="3"/>
    <s v="No Options"/>
    <x v="0"/>
    <x v="2"/>
    <x v="0"/>
    <x v="2"/>
  </r>
  <r>
    <n v="35"/>
    <x v="1"/>
    <s v="Travel_Rarely"/>
    <n v="538"/>
    <x v="1"/>
    <n v="25"/>
    <n v="2"/>
    <s v="Other"/>
    <n v="652"/>
    <n v="1"/>
    <x v="1"/>
    <n v="54"/>
    <n v="2"/>
    <n v="2"/>
    <x v="2"/>
    <n v="4"/>
    <x v="0"/>
    <n v="3681"/>
    <n v="4"/>
    <x v="1"/>
    <n v="14"/>
    <n v="3"/>
    <n v="4"/>
    <n v="0"/>
    <n v="9"/>
    <n v="3"/>
    <n v="3"/>
    <n v="3"/>
    <n v="2"/>
    <n v="0"/>
    <n v="2"/>
    <x v="1"/>
    <x v="1"/>
    <x v="0"/>
    <x v="3"/>
    <x v="1"/>
    <x v="0"/>
    <x v="0"/>
    <x v="1"/>
    <s v="No Options"/>
    <x v="1"/>
    <x v="0"/>
    <x v="0"/>
    <x v="2"/>
  </r>
  <r>
    <n v="31"/>
    <x v="1"/>
    <s v="Travel_Rarely"/>
    <n v="525"/>
    <x v="0"/>
    <n v="6"/>
    <n v="4"/>
    <s v="Medical"/>
    <n v="653"/>
    <n v="1"/>
    <x v="1"/>
    <n v="66"/>
    <n v="4"/>
    <n v="2"/>
    <x v="0"/>
    <n v="4"/>
    <x v="2"/>
    <n v="5460"/>
    <n v="4"/>
    <x v="1"/>
    <n v="22"/>
    <n v="4"/>
    <n v="4"/>
    <n v="2"/>
    <n v="13"/>
    <n v="4"/>
    <n v="4"/>
    <n v="7"/>
    <n v="7"/>
    <n v="5"/>
    <n v="7"/>
    <x v="1"/>
    <x v="1"/>
    <x v="2"/>
    <x v="3"/>
    <x v="2"/>
    <x v="0"/>
    <x v="0"/>
    <x v="1"/>
    <s v="Medium"/>
    <x v="3"/>
    <x v="2"/>
    <x v="0"/>
    <x v="0"/>
  </r>
  <r>
    <n v="27"/>
    <x v="1"/>
    <s v="Travel_Rarely"/>
    <n v="798"/>
    <x v="1"/>
    <n v="6"/>
    <n v="4"/>
    <s v="Medical"/>
    <n v="655"/>
    <n v="1"/>
    <x v="0"/>
    <n v="66"/>
    <n v="2"/>
    <n v="1"/>
    <x v="1"/>
    <n v="3"/>
    <x v="2"/>
    <n v="2187"/>
    <n v="0"/>
    <x v="1"/>
    <n v="12"/>
    <n v="3"/>
    <n v="3"/>
    <n v="2"/>
    <n v="6"/>
    <n v="5"/>
    <n v="2"/>
    <n v="5"/>
    <n v="3"/>
    <n v="0"/>
    <n v="3"/>
    <x v="1"/>
    <x v="1"/>
    <x v="2"/>
    <x v="3"/>
    <x v="1"/>
    <x v="1"/>
    <x v="2"/>
    <x v="3"/>
    <s v="Medium"/>
    <x v="2"/>
    <x v="2"/>
    <x v="1"/>
    <x v="2"/>
  </r>
  <r>
    <n v="37"/>
    <x v="1"/>
    <s v="Travel_Rarely"/>
    <n v="558"/>
    <x v="0"/>
    <n v="2"/>
    <n v="3"/>
    <s v="Marketing"/>
    <n v="656"/>
    <n v="4"/>
    <x v="1"/>
    <n v="75"/>
    <n v="3"/>
    <n v="2"/>
    <x v="0"/>
    <n v="3"/>
    <x v="1"/>
    <n v="9602"/>
    <n v="4"/>
    <x v="0"/>
    <n v="11"/>
    <n v="3"/>
    <n v="3"/>
    <n v="1"/>
    <n v="17"/>
    <n v="3"/>
    <n v="2"/>
    <n v="3"/>
    <n v="0"/>
    <n v="1"/>
    <n v="0"/>
    <x v="1"/>
    <x v="0"/>
    <x v="3"/>
    <x v="2"/>
    <x v="0"/>
    <x v="0"/>
    <x v="2"/>
    <x v="3"/>
    <s v="Low"/>
    <x v="2"/>
    <x v="0"/>
    <x v="2"/>
    <x v="2"/>
  </r>
  <r>
    <n v="20"/>
    <x v="1"/>
    <s v="Travel_Rarely"/>
    <n v="959"/>
    <x v="1"/>
    <n v="1"/>
    <n v="3"/>
    <s v="Life Sciences"/>
    <n v="657"/>
    <n v="4"/>
    <x v="0"/>
    <n v="83"/>
    <n v="2"/>
    <n v="1"/>
    <x v="1"/>
    <n v="2"/>
    <x v="0"/>
    <n v="2836"/>
    <n v="1"/>
    <x v="1"/>
    <n v="13"/>
    <n v="3"/>
    <n v="4"/>
    <n v="0"/>
    <n v="1"/>
    <n v="0"/>
    <n v="4"/>
    <n v="1"/>
    <n v="0"/>
    <n v="0"/>
    <n v="0"/>
    <x v="1"/>
    <x v="1"/>
    <x v="3"/>
    <x v="2"/>
    <x v="1"/>
    <x v="1"/>
    <x v="1"/>
    <x v="1"/>
    <s v="No Options"/>
    <x v="3"/>
    <x v="4"/>
    <x v="1"/>
    <x v="1"/>
  </r>
  <r>
    <n v="42"/>
    <x v="1"/>
    <s v="Travel_Rarely"/>
    <n v="622"/>
    <x v="1"/>
    <n v="2"/>
    <n v="4"/>
    <s v="Life Sciences"/>
    <n v="659"/>
    <n v="3"/>
    <x v="0"/>
    <n v="81"/>
    <n v="3"/>
    <n v="2"/>
    <x v="4"/>
    <n v="4"/>
    <x v="1"/>
    <n v="4089"/>
    <n v="1"/>
    <x v="1"/>
    <n v="13"/>
    <n v="3"/>
    <n v="2"/>
    <n v="2"/>
    <n v="10"/>
    <n v="4"/>
    <n v="3"/>
    <n v="10"/>
    <n v="2"/>
    <n v="2"/>
    <n v="2"/>
    <x v="1"/>
    <x v="1"/>
    <x v="2"/>
    <x v="1"/>
    <x v="0"/>
    <x v="0"/>
    <x v="0"/>
    <x v="2"/>
    <s v="Medium"/>
    <x v="1"/>
    <x v="0"/>
    <x v="0"/>
    <x v="0"/>
  </r>
  <r>
    <n v="43"/>
    <x v="1"/>
    <s v="Travel_Rarely"/>
    <n v="782"/>
    <x v="1"/>
    <n v="6"/>
    <n v="4"/>
    <s v="Other"/>
    <n v="661"/>
    <n v="2"/>
    <x v="1"/>
    <n v="50"/>
    <n v="2"/>
    <n v="4"/>
    <x v="7"/>
    <n v="4"/>
    <x v="2"/>
    <n v="16627"/>
    <n v="4"/>
    <x v="0"/>
    <n v="14"/>
    <n v="3"/>
    <n v="3"/>
    <n v="1"/>
    <n v="21"/>
    <n v="3"/>
    <n v="2"/>
    <n v="1"/>
    <n v="0"/>
    <n v="0"/>
    <n v="0"/>
    <x v="1"/>
    <x v="0"/>
    <x v="2"/>
    <x v="0"/>
    <x v="1"/>
    <x v="3"/>
    <x v="0"/>
    <x v="3"/>
    <s v="Low"/>
    <x v="2"/>
    <x v="0"/>
    <x v="3"/>
    <x v="1"/>
  </r>
  <r>
    <n v="38"/>
    <x v="1"/>
    <s v="Travel_Rarely"/>
    <n v="362"/>
    <x v="1"/>
    <n v="1"/>
    <n v="1"/>
    <s v="Life Sciences"/>
    <n v="662"/>
    <n v="3"/>
    <x v="0"/>
    <n v="43"/>
    <n v="3"/>
    <n v="1"/>
    <x v="1"/>
    <n v="1"/>
    <x v="0"/>
    <n v="2619"/>
    <n v="3"/>
    <x v="1"/>
    <n v="17"/>
    <n v="3"/>
    <n v="4"/>
    <n v="0"/>
    <n v="8"/>
    <n v="3"/>
    <n v="2"/>
    <n v="0"/>
    <n v="0"/>
    <n v="0"/>
    <n v="0"/>
    <x v="1"/>
    <x v="1"/>
    <x v="1"/>
    <x v="1"/>
    <x v="0"/>
    <x v="1"/>
    <x v="3"/>
    <x v="1"/>
    <s v="No Options"/>
    <x v="2"/>
    <x v="0"/>
    <x v="1"/>
    <x v="1"/>
  </r>
  <r>
    <n v="43"/>
    <x v="1"/>
    <s v="Travel_Frequently"/>
    <n v="1001"/>
    <x v="1"/>
    <n v="9"/>
    <n v="5"/>
    <s v="Medical"/>
    <n v="663"/>
    <n v="4"/>
    <x v="1"/>
    <n v="72"/>
    <n v="3"/>
    <n v="2"/>
    <x v="2"/>
    <n v="3"/>
    <x v="2"/>
    <n v="5679"/>
    <n v="3"/>
    <x v="0"/>
    <n v="13"/>
    <n v="3"/>
    <n v="2"/>
    <n v="1"/>
    <n v="10"/>
    <n v="3"/>
    <n v="3"/>
    <n v="8"/>
    <n v="7"/>
    <n v="4"/>
    <n v="7"/>
    <x v="1"/>
    <x v="0"/>
    <x v="4"/>
    <x v="2"/>
    <x v="0"/>
    <x v="0"/>
    <x v="2"/>
    <x v="2"/>
    <s v="Low"/>
    <x v="1"/>
    <x v="0"/>
    <x v="0"/>
    <x v="0"/>
  </r>
  <r>
    <n v="48"/>
    <x v="1"/>
    <s v="Travel_Rarely"/>
    <n v="1236"/>
    <x v="1"/>
    <n v="1"/>
    <n v="4"/>
    <s v="Life Sciences"/>
    <n v="664"/>
    <n v="4"/>
    <x v="0"/>
    <n v="40"/>
    <n v="2"/>
    <n v="4"/>
    <x v="5"/>
    <n v="1"/>
    <x v="1"/>
    <n v="15402"/>
    <n v="7"/>
    <x v="1"/>
    <n v="11"/>
    <n v="3"/>
    <n v="1"/>
    <n v="1"/>
    <n v="21"/>
    <n v="3"/>
    <n v="1"/>
    <n v="3"/>
    <n v="2"/>
    <n v="0"/>
    <n v="2"/>
    <x v="1"/>
    <x v="1"/>
    <x v="2"/>
    <x v="2"/>
    <x v="1"/>
    <x v="3"/>
    <x v="3"/>
    <x v="0"/>
    <s v="Low"/>
    <x v="0"/>
    <x v="1"/>
    <x v="3"/>
    <x v="2"/>
  </r>
  <r>
    <n v="44"/>
    <x v="1"/>
    <s v="Travel_Rarely"/>
    <n v="1112"/>
    <x v="2"/>
    <n v="1"/>
    <n v="4"/>
    <s v="Life Sciences"/>
    <n v="665"/>
    <n v="1"/>
    <x v="0"/>
    <n v="50"/>
    <n v="2"/>
    <n v="2"/>
    <x v="8"/>
    <n v="3"/>
    <x v="0"/>
    <n v="5985"/>
    <n v="4"/>
    <x v="1"/>
    <n v="11"/>
    <n v="3"/>
    <n v="2"/>
    <n v="0"/>
    <n v="10"/>
    <n v="1"/>
    <n v="4"/>
    <n v="2"/>
    <n v="2"/>
    <n v="0"/>
    <n v="2"/>
    <x v="1"/>
    <x v="1"/>
    <x v="2"/>
    <x v="3"/>
    <x v="1"/>
    <x v="0"/>
    <x v="2"/>
    <x v="2"/>
    <s v="No Options"/>
    <x v="3"/>
    <x v="0"/>
    <x v="0"/>
    <x v="1"/>
  </r>
  <r>
    <n v="34"/>
    <x v="1"/>
    <s v="Travel_Rarely"/>
    <n v="204"/>
    <x v="0"/>
    <n v="14"/>
    <n v="3"/>
    <s v="Technical Degree"/>
    <n v="666"/>
    <n v="3"/>
    <x v="0"/>
    <n v="31"/>
    <n v="3"/>
    <n v="1"/>
    <x v="6"/>
    <n v="3"/>
    <x v="2"/>
    <n v="2579"/>
    <n v="1"/>
    <x v="0"/>
    <n v="18"/>
    <n v="3"/>
    <n v="4"/>
    <n v="2"/>
    <n v="8"/>
    <n v="3"/>
    <n v="3"/>
    <n v="8"/>
    <n v="2"/>
    <n v="0"/>
    <n v="6"/>
    <x v="1"/>
    <x v="0"/>
    <x v="3"/>
    <x v="1"/>
    <x v="0"/>
    <x v="1"/>
    <x v="2"/>
    <x v="1"/>
    <s v="Medium"/>
    <x v="1"/>
    <x v="2"/>
    <x v="1"/>
    <x v="0"/>
  </r>
  <r>
    <n v="27"/>
    <x v="0"/>
    <s v="Travel_Rarely"/>
    <n v="1420"/>
    <x v="0"/>
    <n v="2"/>
    <n v="1"/>
    <s v="Marketing"/>
    <n v="667"/>
    <n v="3"/>
    <x v="1"/>
    <n v="85"/>
    <n v="3"/>
    <n v="1"/>
    <x v="6"/>
    <n v="1"/>
    <x v="2"/>
    <n v="3041"/>
    <n v="0"/>
    <x v="1"/>
    <n v="11"/>
    <n v="3"/>
    <n v="2"/>
    <n v="1"/>
    <n v="5"/>
    <n v="3"/>
    <n v="3"/>
    <n v="4"/>
    <n v="3"/>
    <n v="0"/>
    <n v="2"/>
    <x v="0"/>
    <x v="1"/>
    <x v="1"/>
    <x v="1"/>
    <x v="0"/>
    <x v="1"/>
    <x v="3"/>
    <x v="2"/>
    <s v="Low"/>
    <x v="1"/>
    <x v="2"/>
    <x v="0"/>
    <x v="2"/>
  </r>
  <r>
    <n v="21"/>
    <x v="1"/>
    <s v="Travel_Rarely"/>
    <n v="1343"/>
    <x v="0"/>
    <n v="22"/>
    <n v="1"/>
    <s v="Technical Degree"/>
    <n v="669"/>
    <n v="3"/>
    <x v="1"/>
    <n v="49"/>
    <n v="3"/>
    <n v="1"/>
    <x v="6"/>
    <n v="3"/>
    <x v="0"/>
    <n v="3447"/>
    <n v="1"/>
    <x v="1"/>
    <n v="11"/>
    <n v="3"/>
    <n v="3"/>
    <n v="0"/>
    <n v="3"/>
    <n v="2"/>
    <n v="3"/>
    <n v="3"/>
    <n v="2"/>
    <n v="1"/>
    <n v="2"/>
    <x v="1"/>
    <x v="1"/>
    <x v="1"/>
    <x v="1"/>
    <x v="0"/>
    <x v="1"/>
    <x v="2"/>
    <x v="3"/>
    <s v="No Options"/>
    <x v="1"/>
    <x v="4"/>
    <x v="0"/>
    <x v="2"/>
  </r>
  <r>
    <n v="44"/>
    <x v="1"/>
    <s v="Travel_Rarely"/>
    <n v="1315"/>
    <x v="1"/>
    <n v="3"/>
    <n v="4"/>
    <s v="Other"/>
    <n v="671"/>
    <n v="4"/>
    <x v="1"/>
    <n v="35"/>
    <n v="3"/>
    <n v="5"/>
    <x v="5"/>
    <n v="4"/>
    <x v="1"/>
    <n v="19513"/>
    <n v="4"/>
    <x v="0"/>
    <n v="12"/>
    <n v="3"/>
    <n v="1"/>
    <n v="1"/>
    <n v="26"/>
    <n v="2"/>
    <n v="4"/>
    <n v="2"/>
    <n v="2"/>
    <n v="0"/>
    <n v="1"/>
    <x v="1"/>
    <x v="0"/>
    <x v="2"/>
    <x v="2"/>
    <x v="0"/>
    <x v="4"/>
    <x v="0"/>
    <x v="0"/>
    <s v="Low"/>
    <x v="3"/>
    <x v="0"/>
    <x v="3"/>
    <x v="1"/>
  </r>
  <r>
    <n v="22"/>
    <x v="1"/>
    <s v="Travel_Rarely"/>
    <n v="604"/>
    <x v="1"/>
    <n v="6"/>
    <n v="1"/>
    <s v="Medical"/>
    <n v="675"/>
    <n v="1"/>
    <x v="1"/>
    <n v="69"/>
    <n v="3"/>
    <n v="1"/>
    <x v="1"/>
    <n v="3"/>
    <x v="1"/>
    <n v="2773"/>
    <n v="0"/>
    <x v="1"/>
    <n v="20"/>
    <n v="4"/>
    <n v="4"/>
    <n v="0"/>
    <n v="3"/>
    <n v="3"/>
    <n v="3"/>
    <n v="2"/>
    <n v="2"/>
    <n v="2"/>
    <n v="2"/>
    <x v="1"/>
    <x v="1"/>
    <x v="1"/>
    <x v="3"/>
    <x v="0"/>
    <x v="1"/>
    <x v="2"/>
    <x v="1"/>
    <s v="No Options"/>
    <x v="1"/>
    <x v="4"/>
    <x v="1"/>
    <x v="1"/>
  </r>
  <r>
    <n v="33"/>
    <x v="1"/>
    <s v="Travel_Rarely"/>
    <n v="1216"/>
    <x v="0"/>
    <n v="8"/>
    <n v="4"/>
    <s v="Marketing"/>
    <n v="677"/>
    <n v="3"/>
    <x v="1"/>
    <n v="39"/>
    <n v="3"/>
    <n v="2"/>
    <x v="0"/>
    <n v="3"/>
    <x v="2"/>
    <n v="7104"/>
    <n v="0"/>
    <x v="1"/>
    <n v="12"/>
    <n v="3"/>
    <n v="4"/>
    <n v="0"/>
    <n v="6"/>
    <n v="3"/>
    <n v="3"/>
    <n v="5"/>
    <n v="0"/>
    <n v="1"/>
    <n v="2"/>
    <x v="1"/>
    <x v="1"/>
    <x v="2"/>
    <x v="1"/>
    <x v="0"/>
    <x v="0"/>
    <x v="2"/>
    <x v="1"/>
    <s v="No Options"/>
    <x v="1"/>
    <x v="2"/>
    <x v="2"/>
    <x v="2"/>
  </r>
  <r>
    <n v="32"/>
    <x v="1"/>
    <s v="Travel_Rarely"/>
    <n v="646"/>
    <x v="1"/>
    <n v="9"/>
    <n v="4"/>
    <s v="Life Sciences"/>
    <n v="679"/>
    <n v="1"/>
    <x v="0"/>
    <n v="92"/>
    <n v="3"/>
    <n v="2"/>
    <x v="1"/>
    <n v="4"/>
    <x v="1"/>
    <n v="6322"/>
    <n v="1"/>
    <x v="0"/>
    <n v="12"/>
    <n v="3"/>
    <n v="4"/>
    <n v="1"/>
    <n v="6"/>
    <n v="2"/>
    <n v="2"/>
    <n v="6"/>
    <n v="4"/>
    <n v="0"/>
    <n v="5"/>
    <x v="1"/>
    <x v="0"/>
    <x v="2"/>
    <x v="3"/>
    <x v="0"/>
    <x v="0"/>
    <x v="0"/>
    <x v="1"/>
    <s v="Low"/>
    <x v="2"/>
    <x v="2"/>
    <x v="0"/>
    <x v="0"/>
  </r>
  <r>
    <n v="30"/>
    <x v="1"/>
    <s v="Travel_Frequently"/>
    <n v="160"/>
    <x v="1"/>
    <n v="3"/>
    <n v="3"/>
    <s v="Medical"/>
    <n v="680"/>
    <n v="3"/>
    <x v="0"/>
    <n v="71"/>
    <n v="3"/>
    <n v="1"/>
    <x v="1"/>
    <n v="3"/>
    <x v="2"/>
    <n v="2083"/>
    <n v="1"/>
    <x v="1"/>
    <n v="20"/>
    <n v="4"/>
    <n v="3"/>
    <n v="1"/>
    <n v="1"/>
    <n v="2"/>
    <n v="3"/>
    <n v="1"/>
    <n v="0"/>
    <n v="0"/>
    <n v="0"/>
    <x v="1"/>
    <x v="1"/>
    <x v="3"/>
    <x v="1"/>
    <x v="0"/>
    <x v="1"/>
    <x v="2"/>
    <x v="3"/>
    <s v="Low"/>
    <x v="1"/>
    <x v="2"/>
    <x v="1"/>
    <x v="1"/>
  </r>
  <r>
    <n v="53"/>
    <x v="1"/>
    <s v="Travel_Rarely"/>
    <n v="238"/>
    <x v="0"/>
    <n v="1"/>
    <n v="1"/>
    <s v="Medical"/>
    <n v="682"/>
    <n v="4"/>
    <x v="0"/>
    <n v="34"/>
    <n v="3"/>
    <n v="2"/>
    <x v="0"/>
    <n v="1"/>
    <x v="0"/>
    <n v="8381"/>
    <n v="7"/>
    <x v="1"/>
    <n v="20"/>
    <n v="4"/>
    <n v="4"/>
    <n v="0"/>
    <n v="18"/>
    <n v="2"/>
    <n v="4"/>
    <n v="14"/>
    <n v="7"/>
    <n v="8"/>
    <n v="10"/>
    <x v="1"/>
    <x v="1"/>
    <x v="1"/>
    <x v="2"/>
    <x v="0"/>
    <x v="0"/>
    <x v="3"/>
    <x v="1"/>
    <s v="No Options"/>
    <x v="3"/>
    <x v="1"/>
    <x v="2"/>
    <x v="4"/>
  </r>
  <r>
    <n v="34"/>
    <x v="1"/>
    <s v="Travel_Rarely"/>
    <n v="1397"/>
    <x v="1"/>
    <n v="1"/>
    <n v="5"/>
    <s v="Life Sciences"/>
    <n v="683"/>
    <n v="2"/>
    <x v="1"/>
    <n v="42"/>
    <n v="3"/>
    <n v="1"/>
    <x v="1"/>
    <n v="4"/>
    <x v="1"/>
    <n v="2691"/>
    <n v="1"/>
    <x v="1"/>
    <n v="12"/>
    <n v="3"/>
    <n v="4"/>
    <n v="1"/>
    <n v="10"/>
    <n v="4"/>
    <n v="2"/>
    <n v="10"/>
    <n v="9"/>
    <n v="8"/>
    <n v="8"/>
    <x v="1"/>
    <x v="1"/>
    <x v="4"/>
    <x v="0"/>
    <x v="0"/>
    <x v="1"/>
    <x v="0"/>
    <x v="1"/>
    <s v="Low"/>
    <x v="2"/>
    <x v="2"/>
    <x v="1"/>
    <x v="0"/>
  </r>
  <r>
    <n v="45"/>
    <x v="0"/>
    <s v="Travel_Frequently"/>
    <n v="306"/>
    <x v="0"/>
    <n v="26"/>
    <n v="4"/>
    <s v="Life Sciences"/>
    <n v="684"/>
    <n v="1"/>
    <x v="0"/>
    <n v="100"/>
    <n v="3"/>
    <n v="2"/>
    <x v="0"/>
    <n v="1"/>
    <x v="1"/>
    <n v="4286"/>
    <n v="2"/>
    <x v="1"/>
    <n v="14"/>
    <n v="3"/>
    <n v="4"/>
    <n v="2"/>
    <n v="5"/>
    <n v="4"/>
    <n v="3"/>
    <n v="1"/>
    <n v="1"/>
    <n v="0"/>
    <n v="0"/>
    <x v="0"/>
    <x v="1"/>
    <x v="2"/>
    <x v="3"/>
    <x v="0"/>
    <x v="0"/>
    <x v="3"/>
    <x v="1"/>
    <s v="Medium"/>
    <x v="1"/>
    <x v="1"/>
    <x v="0"/>
    <x v="1"/>
  </r>
  <r>
    <n v="26"/>
    <x v="1"/>
    <s v="Travel_Rarely"/>
    <n v="991"/>
    <x v="1"/>
    <n v="6"/>
    <n v="3"/>
    <s v="Life Sciences"/>
    <n v="686"/>
    <n v="3"/>
    <x v="0"/>
    <n v="71"/>
    <n v="3"/>
    <n v="1"/>
    <x v="2"/>
    <n v="4"/>
    <x v="1"/>
    <n v="2659"/>
    <n v="1"/>
    <x v="0"/>
    <n v="13"/>
    <n v="3"/>
    <n v="3"/>
    <n v="1"/>
    <n v="3"/>
    <n v="2"/>
    <n v="3"/>
    <n v="3"/>
    <n v="2"/>
    <n v="0"/>
    <n v="2"/>
    <x v="1"/>
    <x v="0"/>
    <x v="3"/>
    <x v="1"/>
    <x v="0"/>
    <x v="1"/>
    <x v="0"/>
    <x v="3"/>
    <s v="Low"/>
    <x v="1"/>
    <x v="2"/>
    <x v="1"/>
    <x v="2"/>
  </r>
  <r>
    <n v="37"/>
    <x v="1"/>
    <s v="Travel_Rarely"/>
    <n v="482"/>
    <x v="1"/>
    <n v="3"/>
    <n v="3"/>
    <s v="Other"/>
    <n v="689"/>
    <n v="3"/>
    <x v="1"/>
    <n v="36"/>
    <n v="3"/>
    <n v="3"/>
    <x v="3"/>
    <n v="3"/>
    <x v="1"/>
    <n v="9434"/>
    <n v="1"/>
    <x v="1"/>
    <n v="15"/>
    <n v="3"/>
    <n v="3"/>
    <n v="1"/>
    <n v="10"/>
    <n v="2"/>
    <n v="3"/>
    <n v="10"/>
    <n v="7"/>
    <n v="7"/>
    <n v="8"/>
    <x v="1"/>
    <x v="1"/>
    <x v="3"/>
    <x v="1"/>
    <x v="0"/>
    <x v="2"/>
    <x v="2"/>
    <x v="3"/>
    <s v="Low"/>
    <x v="1"/>
    <x v="0"/>
    <x v="2"/>
    <x v="0"/>
  </r>
  <r>
    <n v="29"/>
    <x v="1"/>
    <s v="Travel_Rarely"/>
    <n v="1176"/>
    <x v="0"/>
    <n v="3"/>
    <n v="2"/>
    <s v="Medical"/>
    <n v="690"/>
    <n v="2"/>
    <x v="0"/>
    <n v="62"/>
    <n v="3"/>
    <n v="2"/>
    <x v="0"/>
    <n v="3"/>
    <x v="1"/>
    <n v="5561"/>
    <n v="1"/>
    <x v="1"/>
    <n v="14"/>
    <n v="3"/>
    <n v="1"/>
    <n v="1"/>
    <n v="6"/>
    <n v="5"/>
    <n v="2"/>
    <n v="6"/>
    <n v="0"/>
    <n v="1"/>
    <n v="2"/>
    <x v="1"/>
    <x v="1"/>
    <x v="0"/>
    <x v="0"/>
    <x v="0"/>
    <x v="0"/>
    <x v="2"/>
    <x v="0"/>
    <s v="Low"/>
    <x v="2"/>
    <x v="2"/>
    <x v="0"/>
    <x v="0"/>
  </r>
  <r>
    <n v="35"/>
    <x v="1"/>
    <s v="Travel_Rarely"/>
    <n v="1017"/>
    <x v="1"/>
    <n v="6"/>
    <n v="4"/>
    <s v="Life Sciences"/>
    <n v="691"/>
    <n v="2"/>
    <x v="1"/>
    <n v="82"/>
    <n v="1"/>
    <n v="2"/>
    <x v="1"/>
    <n v="4"/>
    <x v="0"/>
    <n v="6646"/>
    <n v="1"/>
    <x v="1"/>
    <n v="13"/>
    <n v="3"/>
    <n v="2"/>
    <n v="0"/>
    <n v="17"/>
    <n v="3"/>
    <n v="3"/>
    <n v="17"/>
    <n v="11"/>
    <n v="11"/>
    <n v="8"/>
    <x v="1"/>
    <x v="1"/>
    <x v="2"/>
    <x v="0"/>
    <x v="3"/>
    <x v="0"/>
    <x v="0"/>
    <x v="2"/>
    <s v="No Options"/>
    <x v="1"/>
    <x v="0"/>
    <x v="0"/>
    <x v="4"/>
  </r>
  <r>
    <n v="33"/>
    <x v="1"/>
    <s v="Travel_Frequently"/>
    <n v="1296"/>
    <x v="1"/>
    <n v="6"/>
    <n v="3"/>
    <s v="Life Sciences"/>
    <n v="692"/>
    <n v="3"/>
    <x v="1"/>
    <n v="30"/>
    <n v="3"/>
    <n v="2"/>
    <x v="4"/>
    <n v="4"/>
    <x v="2"/>
    <n v="7725"/>
    <n v="3"/>
    <x v="1"/>
    <n v="23"/>
    <n v="4"/>
    <n v="3"/>
    <n v="1"/>
    <n v="15"/>
    <n v="2"/>
    <n v="1"/>
    <n v="13"/>
    <n v="11"/>
    <n v="4"/>
    <n v="7"/>
    <x v="1"/>
    <x v="1"/>
    <x v="3"/>
    <x v="1"/>
    <x v="0"/>
    <x v="0"/>
    <x v="0"/>
    <x v="3"/>
    <s v="Low"/>
    <x v="0"/>
    <x v="2"/>
    <x v="2"/>
    <x v="4"/>
  </r>
  <r>
    <n v="54"/>
    <x v="1"/>
    <s v="Travel_Rarely"/>
    <n v="397"/>
    <x v="2"/>
    <n v="19"/>
    <n v="4"/>
    <s v="Medical"/>
    <n v="698"/>
    <n v="3"/>
    <x v="1"/>
    <n v="88"/>
    <n v="3"/>
    <n v="3"/>
    <x v="8"/>
    <n v="2"/>
    <x v="1"/>
    <n v="10725"/>
    <n v="2"/>
    <x v="1"/>
    <n v="15"/>
    <n v="3"/>
    <n v="3"/>
    <n v="1"/>
    <n v="16"/>
    <n v="1"/>
    <n v="4"/>
    <n v="9"/>
    <n v="7"/>
    <n v="7"/>
    <n v="1"/>
    <x v="1"/>
    <x v="1"/>
    <x v="2"/>
    <x v="1"/>
    <x v="0"/>
    <x v="2"/>
    <x v="1"/>
    <x v="3"/>
    <s v="Low"/>
    <x v="3"/>
    <x v="1"/>
    <x v="2"/>
    <x v="0"/>
  </r>
  <r>
    <n v="36"/>
    <x v="1"/>
    <s v="Travel_Rarely"/>
    <n v="913"/>
    <x v="1"/>
    <n v="9"/>
    <n v="2"/>
    <s v="Medical"/>
    <n v="699"/>
    <n v="2"/>
    <x v="1"/>
    <n v="48"/>
    <n v="2"/>
    <n v="2"/>
    <x v="3"/>
    <n v="2"/>
    <x v="2"/>
    <n v="8847"/>
    <n v="2"/>
    <x v="0"/>
    <n v="11"/>
    <n v="3"/>
    <n v="3"/>
    <n v="1"/>
    <n v="13"/>
    <n v="2"/>
    <n v="3"/>
    <n v="3"/>
    <n v="2"/>
    <n v="0"/>
    <n v="2"/>
    <x v="1"/>
    <x v="0"/>
    <x v="0"/>
    <x v="0"/>
    <x v="1"/>
    <x v="0"/>
    <x v="1"/>
    <x v="3"/>
    <s v="Low"/>
    <x v="1"/>
    <x v="0"/>
    <x v="2"/>
    <x v="2"/>
  </r>
  <r>
    <n v="27"/>
    <x v="1"/>
    <s v="Travel_Rarely"/>
    <n v="1115"/>
    <x v="1"/>
    <n v="3"/>
    <n v="4"/>
    <s v="Medical"/>
    <n v="700"/>
    <n v="1"/>
    <x v="1"/>
    <n v="54"/>
    <n v="2"/>
    <n v="1"/>
    <x v="1"/>
    <n v="4"/>
    <x v="0"/>
    <n v="2045"/>
    <n v="0"/>
    <x v="1"/>
    <n v="13"/>
    <n v="3"/>
    <n v="4"/>
    <n v="0"/>
    <n v="5"/>
    <n v="0"/>
    <n v="3"/>
    <n v="4"/>
    <n v="2"/>
    <n v="1"/>
    <n v="1"/>
    <x v="1"/>
    <x v="1"/>
    <x v="2"/>
    <x v="3"/>
    <x v="1"/>
    <x v="1"/>
    <x v="0"/>
    <x v="1"/>
    <s v="No Options"/>
    <x v="1"/>
    <x v="2"/>
    <x v="1"/>
    <x v="2"/>
  </r>
  <r>
    <n v="20"/>
    <x v="0"/>
    <s v="Travel_Rarely"/>
    <n v="1362"/>
    <x v="1"/>
    <n v="10"/>
    <n v="1"/>
    <s v="Medical"/>
    <n v="701"/>
    <n v="4"/>
    <x v="1"/>
    <n v="32"/>
    <n v="3"/>
    <n v="1"/>
    <x v="1"/>
    <n v="3"/>
    <x v="0"/>
    <n v="1009"/>
    <n v="1"/>
    <x v="0"/>
    <n v="11"/>
    <n v="3"/>
    <n v="4"/>
    <n v="0"/>
    <n v="1"/>
    <n v="5"/>
    <n v="3"/>
    <n v="1"/>
    <n v="0"/>
    <n v="1"/>
    <n v="1"/>
    <x v="0"/>
    <x v="0"/>
    <x v="1"/>
    <x v="2"/>
    <x v="0"/>
    <x v="1"/>
    <x v="2"/>
    <x v="1"/>
    <s v="No Options"/>
    <x v="1"/>
    <x v="4"/>
    <x v="1"/>
    <x v="1"/>
  </r>
  <r>
    <n v="33"/>
    <x v="0"/>
    <s v="Travel_Frequently"/>
    <n v="1076"/>
    <x v="1"/>
    <n v="3"/>
    <n v="3"/>
    <s v="Life Sciences"/>
    <n v="702"/>
    <n v="1"/>
    <x v="1"/>
    <n v="70"/>
    <n v="3"/>
    <n v="1"/>
    <x v="1"/>
    <n v="1"/>
    <x v="0"/>
    <n v="3348"/>
    <n v="1"/>
    <x v="0"/>
    <n v="11"/>
    <n v="3"/>
    <n v="1"/>
    <n v="0"/>
    <n v="10"/>
    <n v="3"/>
    <n v="3"/>
    <n v="10"/>
    <n v="8"/>
    <n v="9"/>
    <n v="7"/>
    <x v="0"/>
    <x v="0"/>
    <x v="3"/>
    <x v="3"/>
    <x v="0"/>
    <x v="1"/>
    <x v="3"/>
    <x v="0"/>
    <s v="No Options"/>
    <x v="1"/>
    <x v="2"/>
    <x v="0"/>
    <x v="0"/>
  </r>
  <r>
    <n v="35"/>
    <x v="1"/>
    <s v="Non-Travel"/>
    <n v="727"/>
    <x v="1"/>
    <n v="3"/>
    <n v="3"/>
    <s v="Life Sciences"/>
    <n v="704"/>
    <n v="3"/>
    <x v="1"/>
    <n v="41"/>
    <n v="2"/>
    <n v="1"/>
    <x v="2"/>
    <n v="3"/>
    <x v="1"/>
    <n v="1281"/>
    <n v="1"/>
    <x v="1"/>
    <n v="18"/>
    <n v="3"/>
    <n v="3"/>
    <n v="2"/>
    <n v="1"/>
    <n v="3"/>
    <n v="3"/>
    <n v="1"/>
    <n v="0"/>
    <n v="0"/>
    <n v="0"/>
    <x v="1"/>
    <x v="1"/>
    <x v="3"/>
    <x v="1"/>
    <x v="1"/>
    <x v="1"/>
    <x v="2"/>
    <x v="3"/>
    <s v="Medium"/>
    <x v="1"/>
    <x v="0"/>
    <x v="1"/>
    <x v="1"/>
  </r>
  <r>
    <n v="23"/>
    <x v="1"/>
    <s v="Travel_Rarely"/>
    <n v="885"/>
    <x v="1"/>
    <n v="4"/>
    <n v="3"/>
    <s v="Medical"/>
    <n v="705"/>
    <n v="1"/>
    <x v="1"/>
    <n v="58"/>
    <n v="4"/>
    <n v="1"/>
    <x v="1"/>
    <n v="1"/>
    <x v="1"/>
    <n v="2819"/>
    <n v="2"/>
    <x v="1"/>
    <n v="16"/>
    <n v="3"/>
    <n v="1"/>
    <n v="1"/>
    <n v="5"/>
    <n v="3"/>
    <n v="4"/>
    <n v="3"/>
    <n v="2"/>
    <n v="0"/>
    <n v="2"/>
    <x v="1"/>
    <x v="1"/>
    <x v="3"/>
    <x v="3"/>
    <x v="2"/>
    <x v="1"/>
    <x v="3"/>
    <x v="0"/>
    <s v="Low"/>
    <x v="3"/>
    <x v="4"/>
    <x v="1"/>
    <x v="2"/>
  </r>
  <r>
    <n v="25"/>
    <x v="1"/>
    <s v="Travel_Rarely"/>
    <n v="810"/>
    <x v="0"/>
    <n v="8"/>
    <n v="3"/>
    <s v="Life Sciences"/>
    <n v="707"/>
    <n v="4"/>
    <x v="1"/>
    <n v="57"/>
    <n v="4"/>
    <n v="2"/>
    <x v="0"/>
    <n v="2"/>
    <x v="1"/>
    <n v="4851"/>
    <n v="0"/>
    <x v="1"/>
    <n v="22"/>
    <n v="4"/>
    <n v="3"/>
    <n v="1"/>
    <n v="4"/>
    <n v="4"/>
    <n v="3"/>
    <n v="3"/>
    <n v="2"/>
    <n v="1"/>
    <n v="2"/>
    <x v="1"/>
    <x v="1"/>
    <x v="3"/>
    <x v="2"/>
    <x v="2"/>
    <x v="0"/>
    <x v="1"/>
    <x v="3"/>
    <s v="Low"/>
    <x v="1"/>
    <x v="2"/>
    <x v="0"/>
    <x v="2"/>
  </r>
  <r>
    <n v="38"/>
    <x v="1"/>
    <s v="Travel_Rarely"/>
    <n v="243"/>
    <x v="0"/>
    <n v="7"/>
    <n v="4"/>
    <s v="Marketing"/>
    <n v="709"/>
    <n v="4"/>
    <x v="0"/>
    <n v="46"/>
    <n v="2"/>
    <n v="2"/>
    <x v="0"/>
    <n v="4"/>
    <x v="0"/>
    <n v="4028"/>
    <n v="0"/>
    <x v="1"/>
    <n v="20"/>
    <n v="4"/>
    <n v="1"/>
    <n v="0"/>
    <n v="8"/>
    <n v="2"/>
    <n v="3"/>
    <n v="7"/>
    <n v="7"/>
    <n v="0"/>
    <n v="5"/>
    <x v="1"/>
    <x v="1"/>
    <x v="2"/>
    <x v="2"/>
    <x v="1"/>
    <x v="0"/>
    <x v="0"/>
    <x v="0"/>
    <s v="No Options"/>
    <x v="1"/>
    <x v="0"/>
    <x v="0"/>
    <x v="0"/>
  </r>
  <r>
    <n v="29"/>
    <x v="1"/>
    <s v="Travel_Frequently"/>
    <n v="806"/>
    <x v="1"/>
    <n v="1"/>
    <n v="4"/>
    <s v="Life Sciences"/>
    <n v="710"/>
    <n v="2"/>
    <x v="1"/>
    <n v="76"/>
    <n v="1"/>
    <n v="1"/>
    <x v="1"/>
    <n v="4"/>
    <x v="2"/>
    <n v="2720"/>
    <n v="1"/>
    <x v="1"/>
    <n v="18"/>
    <n v="3"/>
    <n v="4"/>
    <n v="1"/>
    <n v="10"/>
    <n v="5"/>
    <n v="3"/>
    <n v="10"/>
    <n v="7"/>
    <n v="2"/>
    <n v="8"/>
    <x v="1"/>
    <x v="1"/>
    <x v="2"/>
    <x v="0"/>
    <x v="3"/>
    <x v="1"/>
    <x v="0"/>
    <x v="1"/>
    <s v="Low"/>
    <x v="1"/>
    <x v="2"/>
    <x v="1"/>
    <x v="0"/>
  </r>
  <r>
    <n v="48"/>
    <x v="1"/>
    <s v="Travel_Rarely"/>
    <n v="817"/>
    <x v="0"/>
    <n v="2"/>
    <n v="1"/>
    <s v="Marketing"/>
    <n v="712"/>
    <n v="2"/>
    <x v="1"/>
    <n v="56"/>
    <n v="4"/>
    <n v="2"/>
    <x v="0"/>
    <n v="2"/>
    <x v="1"/>
    <n v="8120"/>
    <n v="3"/>
    <x v="1"/>
    <n v="12"/>
    <n v="3"/>
    <n v="4"/>
    <n v="0"/>
    <n v="12"/>
    <n v="3"/>
    <n v="3"/>
    <n v="2"/>
    <n v="2"/>
    <n v="2"/>
    <n v="2"/>
    <x v="1"/>
    <x v="1"/>
    <x v="1"/>
    <x v="0"/>
    <x v="2"/>
    <x v="0"/>
    <x v="1"/>
    <x v="1"/>
    <s v="No Options"/>
    <x v="1"/>
    <x v="1"/>
    <x v="2"/>
    <x v="1"/>
  </r>
  <r>
    <n v="27"/>
    <x v="1"/>
    <s v="Travel_Frequently"/>
    <n v="1410"/>
    <x v="0"/>
    <n v="3"/>
    <n v="1"/>
    <s v="Medical"/>
    <n v="714"/>
    <n v="4"/>
    <x v="0"/>
    <n v="71"/>
    <n v="4"/>
    <n v="2"/>
    <x v="0"/>
    <n v="4"/>
    <x v="2"/>
    <n v="4647"/>
    <n v="1"/>
    <x v="0"/>
    <n v="20"/>
    <n v="4"/>
    <n v="2"/>
    <n v="2"/>
    <n v="6"/>
    <n v="3"/>
    <n v="3"/>
    <n v="6"/>
    <n v="5"/>
    <n v="0"/>
    <n v="4"/>
    <x v="1"/>
    <x v="0"/>
    <x v="1"/>
    <x v="2"/>
    <x v="2"/>
    <x v="0"/>
    <x v="0"/>
    <x v="2"/>
    <s v="Medium"/>
    <x v="1"/>
    <x v="2"/>
    <x v="0"/>
    <x v="0"/>
  </r>
  <r>
    <n v="37"/>
    <x v="1"/>
    <s v="Travel_Rarely"/>
    <n v="1225"/>
    <x v="1"/>
    <n v="10"/>
    <n v="2"/>
    <s v="Life Sciences"/>
    <n v="715"/>
    <n v="4"/>
    <x v="1"/>
    <n v="80"/>
    <n v="4"/>
    <n v="1"/>
    <x v="1"/>
    <n v="4"/>
    <x v="0"/>
    <n v="4680"/>
    <n v="3"/>
    <x v="1"/>
    <n v="17"/>
    <n v="3"/>
    <n v="1"/>
    <n v="0"/>
    <n v="4"/>
    <n v="2"/>
    <n v="3"/>
    <n v="1"/>
    <n v="0"/>
    <n v="0"/>
    <n v="0"/>
    <x v="1"/>
    <x v="1"/>
    <x v="0"/>
    <x v="2"/>
    <x v="2"/>
    <x v="1"/>
    <x v="0"/>
    <x v="0"/>
    <s v="No Options"/>
    <x v="1"/>
    <x v="0"/>
    <x v="0"/>
    <x v="1"/>
  </r>
  <r>
    <n v="50"/>
    <x v="1"/>
    <s v="Travel_Rarely"/>
    <n v="1207"/>
    <x v="1"/>
    <n v="28"/>
    <n v="1"/>
    <s v="Medical"/>
    <n v="716"/>
    <n v="4"/>
    <x v="1"/>
    <n v="74"/>
    <n v="4"/>
    <n v="1"/>
    <x v="2"/>
    <n v="3"/>
    <x v="1"/>
    <n v="3221"/>
    <n v="1"/>
    <x v="0"/>
    <n v="11"/>
    <n v="3"/>
    <n v="3"/>
    <n v="3"/>
    <n v="20"/>
    <n v="3"/>
    <n v="3"/>
    <n v="20"/>
    <n v="8"/>
    <n v="3"/>
    <n v="8"/>
    <x v="1"/>
    <x v="0"/>
    <x v="1"/>
    <x v="2"/>
    <x v="2"/>
    <x v="1"/>
    <x v="2"/>
    <x v="3"/>
    <s v="High"/>
    <x v="1"/>
    <x v="1"/>
    <x v="0"/>
    <x v="4"/>
  </r>
  <r>
    <n v="34"/>
    <x v="1"/>
    <s v="Travel_Rarely"/>
    <n v="1442"/>
    <x v="1"/>
    <n v="9"/>
    <n v="3"/>
    <s v="Medical"/>
    <n v="717"/>
    <n v="4"/>
    <x v="0"/>
    <n v="46"/>
    <n v="2"/>
    <n v="3"/>
    <x v="4"/>
    <n v="2"/>
    <x v="0"/>
    <n v="8621"/>
    <n v="1"/>
    <x v="1"/>
    <n v="14"/>
    <n v="3"/>
    <n v="2"/>
    <n v="0"/>
    <n v="9"/>
    <n v="3"/>
    <n v="4"/>
    <n v="8"/>
    <n v="7"/>
    <n v="7"/>
    <n v="7"/>
    <x v="1"/>
    <x v="1"/>
    <x v="3"/>
    <x v="2"/>
    <x v="1"/>
    <x v="2"/>
    <x v="1"/>
    <x v="2"/>
    <s v="No Options"/>
    <x v="3"/>
    <x v="2"/>
    <x v="2"/>
    <x v="0"/>
  </r>
  <r>
    <n v="24"/>
    <x v="0"/>
    <s v="Travel_Rarely"/>
    <n v="693"/>
    <x v="0"/>
    <n v="3"/>
    <n v="2"/>
    <s v="Life Sciences"/>
    <n v="720"/>
    <n v="1"/>
    <x v="0"/>
    <n v="65"/>
    <n v="3"/>
    <n v="2"/>
    <x v="0"/>
    <n v="3"/>
    <x v="0"/>
    <n v="4577"/>
    <n v="9"/>
    <x v="1"/>
    <n v="14"/>
    <n v="3"/>
    <n v="1"/>
    <n v="0"/>
    <n v="4"/>
    <n v="3"/>
    <n v="3"/>
    <n v="2"/>
    <n v="2"/>
    <n v="2"/>
    <n v="0"/>
    <x v="0"/>
    <x v="1"/>
    <x v="0"/>
    <x v="3"/>
    <x v="0"/>
    <x v="0"/>
    <x v="2"/>
    <x v="0"/>
    <s v="No Options"/>
    <x v="1"/>
    <x v="4"/>
    <x v="0"/>
    <x v="1"/>
  </r>
  <r>
    <n v="39"/>
    <x v="1"/>
    <s v="Travel_Rarely"/>
    <n v="408"/>
    <x v="1"/>
    <n v="2"/>
    <n v="4"/>
    <s v="Technical Degree"/>
    <n v="721"/>
    <n v="4"/>
    <x v="0"/>
    <n v="80"/>
    <n v="2"/>
    <n v="2"/>
    <x v="4"/>
    <n v="3"/>
    <x v="0"/>
    <n v="4553"/>
    <n v="1"/>
    <x v="1"/>
    <n v="11"/>
    <n v="3"/>
    <n v="1"/>
    <n v="0"/>
    <n v="20"/>
    <n v="4"/>
    <n v="3"/>
    <n v="20"/>
    <n v="7"/>
    <n v="11"/>
    <n v="10"/>
    <x v="1"/>
    <x v="1"/>
    <x v="2"/>
    <x v="2"/>
    <x v="1"/>
    <x v="0"/>
    <x v="2"/>
    <x v="0"/>
    <s v="No Options"/>
    <x v="1"/>
    <x v="0"/>
    <x v="0"/>
    <x v="4"/>
  </r>
  <r>
    <n v="32"/>
    <x v="1"/>
    <s v="Travel_Rarely"/>
    <n v="929"/>
    <x v="0"/>
    <n v="10"/>
    <n v="3"/>
    <s v="Marketing"/>
    <n v="722"/>
    <n v="4"/>
    <x v="1"/>
    <n v="55"/>
    <n v="3"/>
    <n v="2"/>
    <x v="0"/>
    <n v="4"/>
    <x v="0"/>
    <n v="5396"/>
    <n v="1"/>
    <x v="1"/>
    <n v="12"/>
    <n v="3"/>
    <n v="4"/>
    <n v="0"/>
    <n v="10"/>
    <n v="2"/>
    <n v="2"/>
    <n v="10"/>
    <n v="7"/>
    <n v="0"/>
    <n v="8"/>
    <x v="1"/>
    <x v="1"/>
    <x v="3"/>
    <x v="2"/>
    <x v="0"/>
    <x v="0"/>
    <x v="0"/>
    <x v="1"/>
    <s v="No Options"/>
    <x v="2"/>
    <x v="2"/>
    <x v="0"/>
    <x v="0"/>
  </r>
  <r>
    <n v="50"/>
    <x v="0"/>
    <s v="Travel_Frequently"/>
    <n v="562"/>
    <x v="0"/>
    <n v="8"/>
    <n v="2"/>
    <s v="Technical Degree"/>
    <n v="723"/>
    <n v="2"/>
    <x v="1"/>
    <n v="50"/>
    <n v="3"/>
    <n v="2"/>
    <x v="0"/>
    <n v="3"/>
    <x v="1"/>
    <n v="6796"/>
    <n v="3"/>
    <x v="0"/>
    <n v="14"/>
    <n v="3"/>
    <n v="1"/>
    <n v="1"/>
    <n v="18"/>
    <n v="4"/>
    <n v="3"/>
    <n v="4"/>
    <n v="3"/>
    <n v="1"/>
    <n v="3"/>
    <x v="0"/>
    <x v="0"/>
    <x v="0"/>
    <x v="0"/>
    <x v="0"/>
    <x v="0"/>
    <x v="2"/>
    <x v="0"/>
    <s v="Low"/>
    <x v="1"/>
    <x v="1"/>
    <x v="0"/>
    <x v="2"/>
  </r>
  <r>
    <n v="38"/>
    <x v="1"/>
    <s v="Travel_Rarely"/>
    <n v="827"/>
    <x v="1"/>
    <n v="1"/>
    <n v="4"/>
    <s v="Life Sciences"/>
    <n v="724"/>
    <n v="2"/>
    <x v="0"/>
    <n v="33"/>
    <n v="4"/>
    <n v="2"/>
    <x v="4"/>
    <n v="4"/>
    <x v="0"/>
    <n v="7625"/>
    <n v="0"/>
    <x v="1"/>
    <n v="13"/>
    <n v="3"/>
    <n v="3"/>
    <n v="0"/>
    <n v="10"/>
    <n v="4"/>
    <n v="2"/>
    <n v="9"/>
    <n v="7"/>
    <n v="1"/>
    <n v="8"/>
    <x v="1"/>
    <x v="1"/>
    <x v="2"/>
    <x v="0"/>
    <x v="2"/>
    <x v="0"/>
    <x v="0"/>
    <x v="3"/>
    <s v="No Options"/>
    <x v="2"/>
    <x v="0"/>
    <x v="2"/>
    <x v="0"/>
  </r>
  <r>
    <n v="27"/>
    <x v="1"/>
    <s v="Travel_Rarely"/>
    <n v="608"/>
    <x v="1"/>
    <n v="1"/>
    <n v="2"/>
    <s v="Life Sciences"/>
    <n v="725"/>
    <n v="3"/>
    <x v="0"/>
    <n v="68"/>
    <n v="3"/>
    <n v="3"/>
    <x v="3"/>
    <n v="1"/>
    <x v="1"/>
    <n v="7412"/>
    <n v="1"/>
    <x v="1"/>
    <n v="11"/>
    <n v="3"/>
    <n v="4"/>
    <n v="0"/>
    <n v="9"/>
    <n v="3"/>
    <n v="3"/>
    <n v="9"/>
    <n v="7"/>
    <n v="0"/>
    <n v="7"/>
    <x v="1"/>
    <x v="1"/>
    <x v="0"/>
    <x v="1"/>
    <x v="0"/>
    <x v="2"/>
    <x v="3"/>
    <x v="1"/>
    <s v="No Options"/>
    <x v="1"/>
    <x v="2"/>
    <x v="2"/>
    <x v="0"/>
  </r>
  <r>
    <n v="32"/>
    <x v="1"/>
    <s v="Travel_Rarely"/>
    <n v="1018"/>
    <x v="1"/>
    <n v="3"/>
    <n v="2"/>
    <s v="Life Sciences"/>
    <n v="727"/>
    <n v="3"/>
    <x v="0"/>
    <n v="39"/>
    <n v="3"/>
    <n v="3"/>
    <x v="7"/>
    <n v="4"/>
    <x v="0"/>
    <n v="11159"/>
    <n v="3"/>
    <x v="1"/>
    <n v="15"/>
    <n v="3"/>
    <n v="4"/>
    <n v="0"/>
    <n v="10"/>
    <n v="6"/>
    <n v="3"/>
    <n v="7"/>
    <n v="7"/>
    <n v="7"/>
    <n v="7"/>
    <x v="1"/>
    <x v="1"/>
    <x v="0"/>
    <x v="1"/>
    <x v="0"/>
    <x v="2"/>
    <x v="0"/>
    <x v="1"/>
    <s v="No Options"/>
    <x v="1"/>
    <x v="2"/>
    <x v="2"/>
    <x v="0"/>
  </r>
  <r>
    <n v="47"/>
    <x v="1"/>
    <s v="Travel_Rarely"/>
    <n v="703"/>
    <x v="0"/>
    <n v="14"/>
    <n v="4"/>
    <s v="Marketing"/>
    <n v="728"/>
    <n v="4"/>
    <x v="1"/>
    <n v="42"/>
    <n v="3"/>
    <n v="2"/>
    <x v="0"/>
    <n v="1"/>
    <x v="0"/>
    <n v="4960"/>
    <n v="2"/>
    <x v="1"/>
    <n v="12"/>
    <n v="3"/>
    <n v="4"/>
    <n v="0"/>
    <n v="20"/>
    <n v="2"/>
    <n v="3"/>
    <n v="7"/>
    <n v="7"/>
    <n v="1"/>
    <n v="7"/>
    <x v="1"/>
    <x v="1"/>
    <x v="2"/>
    <x v="2"/>
    <x v="0"/>
    <x v="0"/>
    <x v="3"/>
    <x v="1"/>
    <s v="No Options"/>
    <x v="1"/>
    <x v="1"/>
    <x v="0"/>
    <x v="0"/>
  </r>
  <r>
    <n v="40"/>
    <x v="1"/>
    <s v="Travel_Frequently"/>
    <n v="580"/>
    <x v="0"/>
    <n v="5"/>
    <n v="4"/>
    <s v="Life Sciences"/>
    <n v="729"/>
    <n v="4"/>
    <x v="1"/>
    <n v="48"/>
    <n v="2"/>
    <n v="3"/>
    <x v="0"/>
    <n v="1"/>
    <x v="1"/>
    <n v="10475"/>
    <n v="5"/>
    <x v="0"/>
    <n v="21"/>
    <n v="4"/>
    <n v="3"/>
    <n v="1"/>
    <n v="20"/>
    <n v="2"/>
    <n v="3"/>
    <n v="18"/>
    <n v="13"/>
    <n v="1"/>
    <n v="12"/>
    <x v="1"/>
    <x v="0"/>
    <x v="2"/>
    <x v="2"/>
    <x v="1"/>
    <x v="2"/>
    <x v="3"/>
    <x v="3"/>
    <s v="Low"/>
    <x v="1"/>
    <x v="0"/>
    <x v="2"/>
    <x v="4"/>
  </r>
  <r>
    <n v="53"/>
    <x v="1"/>
    <s v="Travel_Rarely"/>
    <n v="970"/>
    <x v="1"/>
    <n v="7"/>
    <n v="3"/>
    <s v="Life Sciences"/>
    <n v="730"/>
    <n v="3"/>
    <x v="1"/>
    <n v="59"/>
    <n v="4"/>
    <n v="4"/>
    <x v="7"/>
    <n v="3"/>
    <x v="1"/>
    <n v="14814"/>
    <n v="3"/>
    <x v="1"/>
    <n v="19"/>
    <n v="3"/>
    <n v="3"/>
    <n v="0"/>
    <n v="32"/>
    <n v="3"/>
    <n v="3"/>
    <n v="5"/>
    <n v="1"/>
    <n v="1"/>
    <n v="3"/>
    <x v="1"/>
    <x v="1"/>
    <x v="3"/>
    <x v="1"/>
    <x v="2"/>
    <x v="3"/>
    <x v="2"/>
    <x v="3"/>
    <s v="No Options"/>
    <x v="1"/>
    <x v="1"/>
    <x v="3"/>
    <x v="2"/>
  </r>
  <r>
    <n v="41"/>
    <x v="1"/>
    <s v="Travel_Rarely"/>
    <n v="427"/>
    <x v="2"/>
    <n v="10"/>
    <n v="4"/>
    <s v="Human Resources"/>
    <n v="731"/>
    <n v="2"/>
    <x v="1"/>
    <n v="73"/>
    <n v="2"/>
    <n v="5"/>
    <x v="5"/>
    <n v="4"/>
    <x v="2"/>
    <n v="19141"/>
    <n v="3"/>
    <x v="1"/>
    <n v="15"/>
    <n v="3"/>
    <n v="2"/>
    <n v="3"/>
    <n v="23"/>
    <n v="2"/>
    <n v="2"/>
    <n v="21"/>
    <n v="6"/>
    <n v="12"/>
    <n v="6"/>
    <x v="1"/>
    <x v="1"/>
    <x v="2"/>
    <x v="0"/>
    <x v="1"/>
    <x v="4"/>
    <x v="0"/>
    <x v="2"/>
    <s v="High"/>
    <x v="2"/>
    <x v="0"/>
    <x v="3"/>
    <x v="3"/>
  </r>
  <r>
    <n v="60"/>
    <x v="1"/>
    <s v="Travel_Rarely"/>
    <n v="1179"/>
    <x v="0"/>
    <n v="16"/>
    <n v="4"/>
    <s v="Marketing"/>
    <n v="732"/>
    <n v="1"/>
    <x v="1"/>
    <n v="84"/>
    <n v="3"/>
    <n v="2"/>
    <x v="0"/>
    <n v="1"/>
    <x v="0"/>
    <n v="5405"/>
    <n v="8"/>
    <x v="1"/>
    <n v="14"/>
    <n v="3"/>
    <n v="4"/>
    <n v="0"/>
    <n v="10"/>
    <n v="1"/>
    <n v="3"/>
    <n v="2"/>
    <n v="2"/>
    <n v="2"/>
    <n v="2"/>
    <x v="1"/>
    <x v="1"/>
    <x v="2"/>
    <x v="3"/>
    <x v="0"/>
    <x v="0"/>
    <x v="3"/>
    <x v="1"/>
    <s v="No Options"/>
    <x v="1"/>
    <x v="3"/>
    <x v="0"/>
    <x v="1"/>
  </r>
  <r>
    <n v="27"/>
    <x v="1"/>
    <s v="Travel_Frequently"/>
    <n v="294"/>
    <x v="1"/>
    <n v="10"/>
    <n v="2"/>
    <s v="Life Sciences"/>
    <n v="733"/>
    <n v="4"/>
    <x v="1"/>
    <n v="32"/>
    <n v="3"/>
    <n v="3"/>
    <x v="3"/>
    <n v="1"/>
    <x v="2"/>
    <n v="8793"/>
    <n v="1"/>
    <x v="1"/>
    <n v="21"/>
    <n v="4"/>
    <n v="3"/>
    <n v="2"/>
    <n v="9"/>
    <n v="4"/>
    <n v="2"/>
    <n v="9"/>
    <n v="7"/>
    <n v="1"/>
    <n v="7"/>
    <x v="1"/>
    <x v="1"/>
    <x v="0"/>
    <x v="2"/>
    <x v="0"/>
    <x v="2"/>
    <x v="3"/>
    <x v="3"/>
    <s v="Medium"/>
    <x v="2"/>
    <x v="2"/>
    <x v="2"/>
    <x v="0"/>
  </r>
  <r>
    <n v="41"/>
    <x v="1"/>
    <s v="Travel_Rarely"/>
    <n v="314"/>
    <x v="2"/>
    <n v="1"/>
    <n v="3"/>
    <s v="Human Resources"/>
    <n v="734"/>
    <n v="4"/>
    <x v="1"/>
    <n v="59"/>
    <n v="2"/>
    <n v="5"/>
    <x v="5"/>
    <n v="3"/>
    <x v="1"/>
    <n v="19189"/>
    <n v="1"/>
    <x v="1"/>
    <n v="12"/>
    <n v="3"/>
    <n v="2"/>
    <n v="1"/>
    <n v="22"/>
    <n v="3"/>
    <n v="3"/>
    <n v="22"/>
    <n v="7"/>
    <n v="2"/>
    <n v="10"/>
    <x v="1"/>
    <x v="1"/>
    <x v="3"/>
    <x v="2"/>
    <x v="1"/>
    <x v="4"/>
    <x v="2"/>
    <x v="2"/>
    <s v="Low"/>
    <x v="1"/>
    <x v="0"/>
    <x v="3"/>
    <x v="3"/>
  </r>
  <r>
    <n v="50"/>
    <x v="1"/>
    <s v="Travel_Rarely"/>
    <n v="316"/>
    <x v="0"/>
    <n v="8"/>
    <n v="4"/>
    <s v="Marketing"/>
    <n v="738"/>
    <n v="4"/>
    <x v="1"/>
    <n v="54"/>
    <n v="3"/>
    <n v="1"/>
    <x v="6"/>
    <n v="2"/>
    <x v="1"/>
    <n v="3875"/>
    <n v="7"/>
    <x v="1"/>
    <n v="15"/>
    <n v="3"/>
    <n v="4"/>
    <n v="1"/>
    <n v="4"/>
    <n v="2"/>
    <n v="3"/>
    <n v="2"/>
    <n v="2"/>
    <n v="2"/>
    <n v="2"/>
    <x v="1"/>
    <x v="1"/>
    <x v="2"/>
    <x v="2"/>
    <x v="0"/>
    <x v="1"/>
    <x v="1"/>
    <x v="1"/>
    <s v="Low"/>
    <x v="1"/>
    <x v="1"/>
    <x v="0"/>
    <x v="1"/>
  </r>
  <r>
    <n v="28"/>
    <x v="0"/>
    <s v="Travel_Rarely"/>
    <n v="654"/>
    <x v="1"/>
    <n v="1"/>
    <n v="2"/>
    <s v="Life Sciences"/>
    <n v="741"/>
    <n v="1"/>
    <x v="0"/>
    <n v="67"/>
    <n v="1"/>
    <n v="1"/>
    <x v="1"/>
    <n v="2"/>
    <x v="0"/>
    <n v="2216"/>
    <n v="7"/>
    <x v="0"/>
    <n v="13"/>
    <n v="3"/>
    <n v="4"/>
    <n v="0"/>
    <n v="10"/>
    <n v="4"/>
    <n v="3"/>
    <n v="7"/>
    <n v="7"/>
    <n v="3"/>
    <n v="7"/>
    <x v="0"/>
    <x v="0"/>
    <x v="0"/>
    <x v="3"/>
    <x v="3"/>
    <x v="1"/>
    <x v="1"/>
    <x v="1"/>
    <s v="No Options"/>
    <x v="1"/>
    <x v="2"/>
    <x v="1"/>
    <x v="0"/>
  </r>
  <r>
    <n v="36"/>
    <x v="1"/>
    <s v="Non-Travel"/>
    <n v="427"/>
    <x v="1"/>
    <n v="8"/>
    <n v="3"/>
    <s v="Life Sciences"/>
    <n v="742"/>
    <n v="1"/>
    <x v="0"/>
    <n v="63"/>
    <n v="4"/>
    <n v="3"/>
    <x v="7"/>
    <n v="1"/>
    <x v="1"/>
    <n v="11713"/>
    <n v="9"/>
    <x v="1"/>
    <n v="14"/>
    <n v="3"/>
    <n v="1"/>
    <n v="1"/>
    <n v="10"/>
    <n v="2"/>
    <n v="3"/>
    <n v="8"/>
    <n v="7"/>
    <n v="0"/>
    <n v="5"/>
    <x v="1"/>
    <x v="1"/>
    <x v="3"/>
    <x v="3"/>
    <x v="2"/>
    <x v="2"/>
    <x v="3"/>
    <x v="0"/>
    <s v="Low"/>
    <x v="1"/>
    <x v="0"/>
    <x v="2"/>
    <x v="0"/>
  </r>
  <r>
    <n v="38"/>
    <x v="1"/>
    <s v="Travel_Rarely"/>
    <n v="168"/>
    <x v="1"/>
    <n v="1"/>
    <n v="3"/>
    <s v="Life Sciences"/>
    <n v="743"/>
    <n v="3"/>
    <x v="0"/>
    <n v="81"/>
    <n v="3"/>
    <n v="3"/>
    <x v="3"/>
    <n v="3"/>
    <x v="0"/>
    <n v="7861"/>
    <n v="4"/>
    <x v="0"/>
    <n v="14"/>
    <n v="3"/>
    <n v="4"/>
    <n v="0"/>
    <n v="10"/>
    <n v="4"/>
    <n v="4"/>
    <n v="1"/>
    <n v="0"/>
    <n v="0"/>
    <n v="0"/>
    <x v="1"/>
    <x v="0"/>
    <x v="3"/>
    <x v="1"/>
    <x v="0"/>
    <x v="2"/>
    <x v="2"/>
    <x v="1"/>
    <s v="No Options"/>
    <x v="3"/>
    <x v="0"/>
    <x v="2"/>
    <x v="1"/>
  </r>
  <r>
    <n v="44"/>
    <x v="1"/>
    <s v="Non-Travel"/>
    <n v="381"/>
    <x v="1"/>
    <n v="24"/>
    <n v="3"/>
    <s v="Medical"/>
    <n v="744"/>
    <n v="1"/>
    <x v="1"/>
    <n v="49"/>
    <n v="1"/>
    <n v="1"/>
    <x v="2"/>
    <n v="3"/>
    <x v="0"/>
    <n v="3708"/>
    <n v="2"/>
    <x v="1"/>
    <n v="14"/>
    <n v="3"/>
    <n v="3"/>
    <n v="0"/>
    <n v="9"/>
    <n v="5"/>
    <n v="3"/>
    <n v="5"/>
    <n v="2"/>
    <n v="1"/>
    <n v="4"/>
    <x v="1"/>
    <x v="1"/>
    <x v="3"/>
    <x v="3"/>
    <x v="3"/>
    <x v="1"/>
    <x v="2"/>
    <x v="3"/>
    <s v="No Options"/>
    <x v="1"/>
    <x v="0"/>
    <x v="0"/>
    <x v="2"/>
  </r>
  <r>
    <n v="47"/>
    <x v="1"/>
    <s v="Travel_Frequently"/>
    <n v="217"/>
    <x v="0"/>
    <n v="3"/>
    <n v="3"/>
    <s v="Medical"/>
    <n v="746"/>
    <n v="4"/>
    <x v="0"/>
    <n v="49"/>
    <n v="3"/>
    <n v="4"/>
    <x v="0"/>
    <n v="3"/>
    <x v="2"/>
    <n v="13770"/>
    <n v="9"/>
    <x v="0"/>
    <n v="12"/>
    <n v="3"/>
    <n v="4"/>
    <n v="2"/>
    <n v="28"/>
    <n v="2"/>
    <n v="2"/>
    <n v="22"/>
    <n v="2"/>
    <n v="11"/>
    <n v="13"/>
    <x v="1"/>
    <x v="0"/>
    <x v="3"/>
    <x v="2"/>
    <x v="0"/>
    <x v="3"/>
    <x v="2"/>
    <x v="1"/>
    <s v="Medium"/>
    <x v="2"/>
    <x v="1"/>
    <x v="3"/>
    <x v="3"/>
  </r>
  <r>
    <n v="30"/>
    <x v="1"/>
    <s v="Travel_Rarely"/>
    <n v="501"/>
    <x v="0"/>
    <n v="27"/>
    <n v="5"/>
    <s v="Marketing"/>
    <n v="747"/>
    <n v="3"/>
    <x v="1"/>
    <n v="99"/>
    <n v="3"/>
    <n v="2"/>
    <x v="0"/>
    <n v="4"/>
    <x v="2"/>
    <n v="5304"/>
    <n v="7"/>
    <x v="1"/>
    <n v="23"/>
    <n v="4"/>
    <n v="4"/>
    <n v="1"/>
    <n v="10"/>
    <n v="2"/>
    <n v="2"/>
    <n v="8"/>
    <n v="7"/>
    <n v="7"/>
    <n v="7"/>
    <x v="1"/>
    <x v="1"/>
    <x v="4"/>
    <x v="1"/>
    <x v="0"/>
    <x v="0"/>
    <x v="0"/>
    <x v="1"/>
    <s v="Low"/>
    <x v="2"/>
    <x v="2"/>
    <x v="0"/>
    <x v="0"/>
  </r>
  <r>
    <n v="29"/>
    <x v="1"/>
    <s v="Travel_Rarely"/>
    <n v="1396"/>
    <x v="0"/>
    <n v="10"/>
    <n v="3"/>
    <s v="Life Sciences"/>
    <n v="749"/>
    <n v="3"/>
    <x v="1"/>
    <n v="99"/>
    <n v="3"/>
    <n v="1"/>
    <x v="6"/>
    <n v="3"/>
    <x v="0"/>
    <n v="2642"/>
    <n v="1"/>
    <x v="1"/>
    <n v="11"/>
    <n v="3"/>
    <n v="3"/>
    <n v="0"/>
    <n v="1"/>
    <n v="6"/>
    <n v="3"/>
    <n v="1"/>
    <n v="0"/>
    <n v="0"/>
    <n v="0"/>
    <x v="1"/>
    <x v="1"/>
    <x v="3"/>
    <x v="1"/>
    <x v="0"/>
    <x v="1"/>
    <x v="2"/>
    <x v="3"/>
    <s v="No Options"/>
    <x v="1"/>
    <x v="2"/>
    <x v="1"/>
    <x v="1"/>
  </r>
  <r>
    <n v="42"/>
    <x v="0"/>
    <s v="Travel_Frequently"/>
    <n v="933"/>
    <x v="1"/>
    <n v="19"/>
    <n v="3"/>
    <s v="Medical"/>
    <n v="752"/>
    <n v="3"/>
    <x v="1"/>
    <n v="57"/>
    <n v="4"/>
    <n v="1"/>
    <x v="1"/>
    <n v="3"/>
    <x v="2"/>
    <n v="2759"/>
    <n v="6"/>
    <x v="0"/>
    <n v="12"/>
    <n v="3"/>
    <n v="4"/>
    <n v="0"/>
    <n v="7"/>
    <n v="2"/>
    <n v="3"/>
    <n v="2"/>
    <n v="2"/>
    <n v="2"/>
    <n v="2"/>
    <x v="0"/>
    <x v="0"/>
    <x v="3"/>
    <x v="1"/>
    <x v="2"/>
    <x v="1"/>
    <x v="2"/>
    <x v="1"/>
    <s v="No Options"/>
    <x v="1"/>
    <x v="0"/>
    <x v="1"/>
    <x v="1"/>
  </r>
  <r>
    <n v="43"/>
    <x v="1"/>
    <s v="Travel_Frequently"/>
    <n v="775"/>
    <x v="0"/>
    <n v="15"/>
    <n v="3"/>
    <s v="Life Sciences"/>
    <n v="754"/>
    <n v="4"/>
    <x v="1"/>
    <n v="47"/>
    <n v="2"/>
    <n v="2"/>
    <x v="0"/>
    <n v="4"/>
    <x v="1"/>
    <n v="6804"/>
    <n v="3"/>
    <x v="1"/>
    <n v="18"/>
    <n v="3"/>
    <n v="3"/>
    <n v="1"/>
    <n v="7"/>
    <n v="5"/>
    <n v="3"/>
    <n v="2"/>
    <n v="2"/>
    <n v="2"/>
    <n v="2"/>
    <x v="1"/>
    <x v="1"/>
    <x v="3"/>
    <x v="2"/>
    <x v="1"/>
    <x v="0"/>
    <x v="0"/>
    <x v="3"/>
    <s v="Low"/>
    <x v="1"/>
    <x v="0"/>
    <x v="0"/>
    <x v="1"/>
  </r>
  <r>
    <n v="34"/>
    <x v="1"/>
    <s v="Travel_Rarely"/>
    <n v="970"/>
    <x v="1"/>
    <n v="8"/>
    <n v="2"/>
    <s v="Medical"/>
    <n v="757"/>
    <n v="2"/>
    <x v="0"/>
    <n v="96"/>
    <n v="3"/>
    <n v="2"/>
    <x v="4"/>
    <n v="3"/>
    <x v="0"/>
    <n v="6142"/>
    <n v="3"/>
    <x v="1"/>
    <n v="11"/>
    <n v="3"/>
    <n v="4"/>
    <n v="0"/>
    <n v="10"/>
    <n v="2"/>
    <n v="3"/>
    <n v="5"/>
    <n v="1"/>
    <n v="4"/>
    <n v="3"/>
    <x v="1"/>
    <x v="1"/>
    <x v="0"/>
    <x v="0"/>
    <x v="0"/>
    <x v="0"/>
    <x v="2"/>
    <x v="1"/>
    <s v="No Options"/>
    <x v="1"/>
    <x v="2"/>
    <x v="0"/>
    <x v="2"/>
  </r>
  <r>
    <n v="23"/>
    <x v="1"/>
    <s v="Travel_Rarely"/>
    <n v="650"/>
    <x v="1"/>
    <n v="9"/>
    <n v="1"/>
    <s v="Medical"/>
    <n v="758"/>
    <n v="2"/>
    <x v="1"/>
    <n v="37"/>
    <n v="3"/>
    <n v="1"/>
    <x v="2"/>
    <n v="1"/>
    <x v="1"/>
    <n v="2500"/>
    <n v="1"/>
    <x v="1"/>
    <n v="14"/>
    <n v="3"/>
    <n v="4"/>
    <n v="1"/>
    <n v="5"/>
    <n v="2"/>
    <n v="4"/>
    <n v="4"/>
    <n v="3"/>
    <n v="0"/>
    <n v="2"/>
    <x v="1"/>
    <x v="1"/>
    <x v="1"/>
    <x v="0"/>
    <x v="0"/>
    <x v="1"/>
    <x v="3"/>
    <x v="1"/>
    <s v="Low"/>
    <x v="3"/>
    <x v="4"/>
    <x v="1"/>
    <x v="2"/>
  </r>
  <r>
    <n v="39"/>
    <x v="1"/>
    <s v="Travel_Rarely"/>
    <n v="141"/>
    <x v="2"/>
    <n v="3"/>
    <n v="3"/>
    <s v="Human Resources"/>
    <n v="760"/>
    <n v="3"/>
    <x v="0"/>
    <n v="44"/>
    <n v="4"/>
    <n v="2"/>
    <x v="8"/>
    <n v="2"/>
    <x v="1"/>
    <n v="6389"/>
    <n v="9"/>
    <x v="1"/>
    <n v="15"/>
    <n v="3"/>
    <n v="3"/>
    <n v="1"/>
    <n v="12"/>
    <n v="3"/>
    <n v="1"/>
    <n v="8"/>
    <n v="3"/>
    <n v="3"/>
    <n v="6"/>
    <x v="1"/>
    <x v="1"/>
    <x v="3"/>
    <x v="1"/>
    <x v="2"/>
    <x v="0"/>
    <x v="1"/>
    <x v="3"/>
    <s v="Low"/>
    <x v="0"/>
    <x v="0"/>
    <x v="0"/>
    <x v="0"/>
  </r>
  <r>
    <n v="56"/>
    <x v="1"/>
    <s v="Travel_Rarely"/>
    <n v="832"/>
    <x v="1"/>
    <n v="9"/>
    <n v="3"/>
    <s v="Medical"/>
    <n v="762"/>
    <n v="3"/>
    <x v="1"/>
    <n v="81"/>
    <n v="3"/>
    <n v="4"/>
    <x v="4"/>
    <n v="4"/>
    <x v="1"/>
    <n v="11103"/>
    <n v="7"/>
    <x v="1"/>
    <n v="11"/>
    <n v="3"/>
    <n v="3"/>
    <n v="0"/>
    <n v="30"/>
    <n v="1"/>
    <n v="2"/>
    <n v="10"/>
    <n v="7"/>
    <n v="1"/>
    <n v="1"/>
    <x v="1"/>
    <x v="1"/>
    <x v="3"/>
    <x v="1"/>
    <x v="0"/>
    <x v="3"/>
    <x v="0"/>
    <x v="3"/>
    <s v="No Options"/>
    <x v="2"/>
    <x v="3"/>
    <x v="2"/>
    <x v="0"/>
  </r>
  <r>
    <n v="40"/>
    <x v="1"/>
    <s v="Travel_Rarely"/>
    <n v="804"/>
    <x v="1"/>
    <n v="2"/>
    <n v="1"/>
    <s v="Medical"/>
    <n v="763"/>
    <n v="4"/>
    <x v="0"/>
    <n v="86"/>
    <n v="2"/>
    <n v="1"/>
    <x v="1"/>
    <n v="4"/>
    <x v="0"/>
    <n v="2342"/>
    <n v="0"/>
    <x v="0"/>
    <n v="20"/>
    <n v="4"/>
    <n v="4"/>
    <n v="0"/>
    <n v="5"/>
    <n v="2"/>
    <n v="2"/>
    <n v="4"/>
    <n v="2"/>
    <n v="2"/>
    <n v="3"/>
    <x v="1"/>
    <x v="0"/>
    <x v="1"/>
    <x v="2"/>
    <x v="1"/>
    <x v="1"/>
    <x v="0"/>
    <x v="1"/>
    <s v="No Options"/>
    <x v="2"/>
    <x v="0"/>
    <x v="1"/>
    <x v="2"/>
  </r>
  <r>
    <n v="27"/>
    <x v="1"/>
    <s v="Travel_Rarely"/>
    <n v="975"/>
    <x v="1"/>
    <n v="7"/>
    <n v="3"/>
    <s v="Medical"/>
    <n v="764"/>
    <n v="4"/>
    <x v="0"/>
    <n v="55"/>
    <n v="2"/>
    <n v="2"/>
    <x v="4"/>
    <n v="1"/>
    <x v="0"/>
    <n v="6811"/>
    <n v="8"/>
    <x v="1"/>
    <n v="19"/>
    <n v="3"/>
    <n v="1"/>
    <n v="0"/>
    <n v="9"/>
    <n v="2"/>
    <n v="1"/>
    <n v="7"/>
    <n v="6"/>
    <n v="0"/>
    <n v="7"/>
    <x v="1"/>
    <x v="1"/>
    <x v="3"/>
    <x v="2"/>
    <x v="1"/>
    <x v="0"/>
    <x v="3"/>
    <x v="0"/>
    <s v="No Options"/>
    <x v="0"/>
    <x v="2"/>
    <x v="0"/>
    <x v="0"/>
  </r>
  <r>
    <n v="29"/>
    <x v="1"/>
    <s v="Travel_Rarely"/>
    <n v="1090"/>
    <x v="0"/>
    <n v="10"/>
    <n v="3"/>
    <s v="Marketing"/>
    <n v="766"/>
    <n v="4"/>
    <x v="1"/>
    <n v="83"/>
    <n v="3"/>
    <n v="1"/>
    <x v="6"/>
    <n v="2"/>
    <x v="2"/>
    <n v="2297"/>
    <n v="1"/>
    <x v="1"/>
    <n v="14"/>
    <n v="3"/>
    <n v="4"/>
    <n v="2"/>
    <n v="2"/>
    <n v="2"/>
    <n v="3"/>
    <n v="2"/>
    <n v="2"/>
    <n v="2"/>
    <n v="2"/>
    <x v="1"/>
    <x v="1"/>
    <x v="3"/>
    <x v="2"/>
    <x v="0"/>
    <x v="1"/>
    <x v="1"/>
    <x v="1"/>
    <s v="Medium"/>
    <x v="1"/>
    <x v="2"/>
    <x v="1"/>
    <x v="1"/>
  </r>
  <r>
    <n v="53"/>
    <x v="1"/>
    <s v="Travel_Rarely"/>
    <n v="346"/>
    <x v="1"/>
    <n v="6"/>
    <n v="3"/>
    <s v="Life Sciences"/>
    <n v="769"/>
    <n v="4"/>
    <x v="1"/>
    <n v="86"/>
    <n v="3"/>
    <n v="2"/>
    <x v="2"/>
    <n v="4"/>
    <x v="0"/>
    <n v="2450"/>
    <n v="2"/>
    <x v="1"/>
    <n v="17"/>
    <n v="3"/>
    <n v="4"/>
    <n v="0"/>
    <n v="19"/>
    <n v="4"/>
    <n v="3"/>
    <n v="2"/>
    <n v="2"/>
    <n v="2"/>
    <n v="2"/>
    <x v="1"/>
    <x v="1"/>
    <x v="3"/>
    <x v="2"/>
    <x v="0"/>
    <x v="0"/>
    <x v="0"/>
    <x v="1"/>
    <s v="No Options"/>
    <x v="1"/>
    <x v="1"/>
    <x v="1"/>
    <x v="1"/>
  </r>
  <r>
    <n v="35"/>
    <x v="1"/>
    <s v="Non-Travel"/>
    <n v="1225"/>
    <x v="1"/>
    <n v="2"/>
    <n v="4"/>
    <s v="Life Sciences"/>
    <n v="771"/>
    <n v="4"/>
    <x v="0"/>
    <n v="61"/>
    <n v="3"/>
    <n v="2"/>
    <x v="4"/>
    <n v="1"/>
    <x v="2"/>
    <n v="5093"/>
    <n v="2"/>
    <x v="1"/>
    <n v="11"/>
    <n v="3"/>
    <n v="1"/>
    <n v="1"/>
    <n v="16"/>
    <n v="2"/>
    <n v="4"/>
    <n v="1"/>
    <n v="0"/>
    <n v="0"/>
    <n v="0"/>
    <x v="1"/>
    <x v="1"/>
    <x v="2"/>
    <x v="2"/>
    <x v="0"/>
    <x v="0"/>
    <x v="3"/>
    <x v="0"/>
    <s v="Low"/>
    <x v="3"/>
    <x v="0"/>
    <x v="0"/>
    <x v="1"/>
  </r>
  <r>
    <n v="32"/>
    <x v="1"/>
    <s v="Travel_Frequently"/>
    <n v="430"/>
    <x v="1"/>
    <n v="24"/>
    <n v="4"/>
    <s v="Life Sciences"/>
    <n v="772"/>
    <n v="1"/>
    <x v="1"/>
    <n v="80"/>
    <n v="3"/>
    <n v="2"/>
    <x v="2"/>
    <n v="4"/>
    <x v="1"/>
    <n v="5309"/>
    <n v="1"/>
    <x v="1"/>
    <n v="15"/>
    <n v="3"/>
    <n v="4"/>
    <n v="2"/>
    <n v="10"/>
    <n v="2"/>
    <n v="3"/>
    <n v="10"/>
    <n v="8"/>
    <n v="4"/>
    <n v="7"/>
    <x v="1"/>
    <x v="1"/>
    <x v="2"/>
    <x v="3"/>
    <x v="0"/>
    <x v="0"/>
    <x v="0"/>
    <x v="1"/>
    <s v="Medium"/>
    <x v="1"/>
    <x v="2"/>
    <x v="0"/>
    <x v="0"/>
  </r>
  <r>
    <n v="38"/>
    <x v="1"/>
    <s v="Travel_Rarely"/>
    <n v="268"/>
    <x v="1"/>
    <n v="2"/>
    <n v="5"/>
    <s v="Medical"/>
    <n v="773"/>
    <n v="4"/>
    <x v="1"/>
    <n v="92"/>
    <n v="3"/>
    <n v="1"/>
    <x v="1"/>
    <n v="3"/>
    <x v="1"/>
    <n v="3057"/>
    <n v="6"/>
    <x v="0"/>
    <n v="13"/>
    <n v="3"/>
    <n v="2"/>
    <n v="1"/>
    <n v="6"/>
    <n v="0"/>
    <n v="1"/>
    <n v="1"/>
    <n v="0"/>
    <n v="0"/>
    <n v="1"/>
    <x v="1"/>
    <x v="0"/>
    <x v="4"/>
    <x v="2"/>
    <x v="0"/>
    <x v="1"/>
    <x v="2"/>
    <x v="2"/>
    <s v="Low"/>
    <x v="0"/>
    <x v="0"/>
    <x v="0"/>
    <x v="1"/>
  </r>
  <r>
    <n v="34"/>
    <x v="1"/>
    <s v="Travel_Rarely"/>
    <n v="167"/>
    <x v="1"/>
    <n v="8"/>
    <n v="5"/>
    <s v="Life Sciences"/>
    <n v="775"/>
    <n v="2"/>
    <x v="0"/>
    <n v="32"/>
    <n v="3"/>
    <n v="2"/>
    <x v="3"/>
    <n v="1"/>
    <x v="2"/>
    <n v="5121"/>
    <n v="3"/>
    <x v="1"/>
    <n v="14"/>
    <n v="3"/>
    <n v="3"/>
    <n v="1"/>
    <n v="7"/>
    <n v="3"/>
    <n v="3"/>
    <n v="0"/>
    <n v="0"/>
    <n v="0"/>
    <n v="0"/>
    <x v="1"/>
    <x v="1"/>
    <x v="4"/>
    <x v="0"/>
    <x v="0"/>
    <x v="0"/>
    <x v="3"/>
    <x v="3"/>
    <s v="Low"/>
    <x v="1"/>
    <x v="2"/>
    <x v="0"/>
    <x v="1"/>
  </r>
  <r>
    <n v="52"/>
    <x v="1"/>
    <s v="Travel_Rarely"/>
    <n v="621"/>
    <x v="0"/>
    <n v="3"/>
    <n v="4"/>
    <s v="Marketing"/>
    <n v="776"/>
    <n v="3"/>
    <x v="1"/>
    <n v="31"/>
    <n v="2"/>
    <n v="4"/>
    <x v="5"/>
    <n v="1"/>
    <x v="1"/>
    <n v="16856"/>
    <n v="1"/>
    <x v="1"/>
    <n v="11"/>
    <n v="3"/>
    <n v="1"/>
    <n v="0"/>
    <n v="34"/>
    <n v="3"/>
    <n v="4"/>
    <n v="34"/>
    <n v="6"/>
    <n v="1"/>
    <n v="16"/>
    <x v="1"/>
    <x v="1"/>
    <x v="2"/>
    <x v="1"/>
    <x v="1"/>
    <x v="3"/>
    <x v="3"/>
    <x v="0"/>
    <s v="No Options"/>
    <x v="3"/>
    <x v="1"/>
    <x v="3"/>
    <x v="3"/>
  </r>
  <r>
    <n v="33"/>
    <x v="0"/>
    <s v="Travel_Rarely"/>
    <n v="527"/>
    <x v="1"/>
    <n v="1"/>
    <n v="4"/>
    <s v="Other"/>
    <n v="780"/>
    <n v="4"/>
    <x v="1"/>
    <n v="63"/>
    <n v="3"/>
    <n v="1"/>
    <x v="1"/>
    <n v="4"/>
    <x v="0"/>
    <n v="2686"/>
    <n v="1"/>
    <x v="0"/>
    <n v="13"/>
    <n v="3"/>
    <n v="3"/>
    <n v="0"/>
    <n v="10"/>
    <n v="2"/>
    <n v="2"/>
    <n v="10"/>
    <n v="9"/>
    <n v="7"/>
    <n v="8"/>
    <x v="0"/>
    <x v="0"/>
    <x v="2"/>
    <x v="2"/>
    <x v="0"/>
    <x v="1"/>
    <x v="0"/>
    <x v="3"/>
    <s v="No Options"/>
    <x v="2"/>
    <x v="2"/>
    <x v="1"/>
    <x v="0"/>
  </r>
  <r>
    <n v="25"/>
    <x v="1"/>
    <s v="Travel_Rarely"/>
    <n v="883"/>
    <x v="0"/>
    <n v="26"/>
    <n v="1"/>
    <s v="Medical"/>
    <n v="781"/>
    <n v="3"/>
    <x v="0"/>
    <n v="32"/>
    <n v="3"/>
    <n v="2"/>
    <x v="0"/>
    <n v="4"/>
    <x v="0"/>
    <n v="6180"/>
    <n v="1"/>
    <x v="1"/>
    <n v="23"/>
    <n v="4"/>
    <n v="2"/>
    <n v="0"/>
    <n v="6"/>
    <n v="5"/>
    <n v="2"/>
    <n v="6"/>
    <n v="5"/>
    <n v="1"/>
    <n v="4"/>
    <x v="1"/>
    <x v="1"/>
    <x v="1"/>
    <x v="1"/>
    <x v="0"/>
    <x v="0"/>
    <x v="0"/>
    <x v="2"/>
    <s v="No Options"/>
    <x v="2"/>
    <x v="2"/>
    <x v="0"/>
    <x v="0"/>
  </r>
  <r>
    <n v="45"/>
    <x v="1"/>
    <s v="Travel_Rarely"/>
    <n v="954"/>
    <x v="0"/>
    <n v="2"/>
    <n v="2"/>
    <s v="Technical Degree"/>
    <n v="783"/>
    <n v="2"/>
    <x v="1"/>
    <n v="46"/>
    <n v="1"/>
    <n v="2"/>
    <x v="6"/>
    <n v="3"/>
    <x v="0"/>
    <n v="6632"/>
    <n v="0"/>
    <x v="1"/>
    <n v="13"/>
    <n v="3"/>
    <n v="1"/>
    <n v="0"/>
    <n v="9"/>
    <n v="3"/>
    <n v="3"/>
    <n v="8"/>
    <n v="7"/>
    <n v="3"/>
    <n v="1"/>
    <x v="1"/>
    <x v="1"/>
    <x v="0"/>
    <x v="0"/>
    <x v="3"/>
    <x v="0"/>
    <x v="2"/>
    <x v="0"/>
    <s v="No Options"/>
    <x v="1"/>
    <x v="1"/>
    <x v="0"/>
    <x v="0"/>
  </r>
  <r>
    <n v="23"/>
    <x v="1"/>
    <s v="Travel_Rarely"/>
    <n v="310"/>
    <x v="1"/>
    <n v="10"/>
    <n v="1"/>
    <s v="Medical"/>
    <n v="784"/>
    <n v="1"/>
    <x v="1"/>
    <n v="79"/>
    <n v="4"/>
    <n v="1"/>
    <x v="1"/>
    <n v="3"/>
    <x v="0"/>
    <n v="3505"/>
    <n v="1"/>
    <x v="1"/>
    <n v="18"/>
    <n v="3"/>
    <n v="4"/>
    <n v="0"/>
    <n v="2"/>
    <n v="3"/>
    <n v="3"/>
    <n v="2"/>
    <n v="2"/>
    <n v="0"/>
    <n v="2"/>
    <x v="1"/>
    <x v="1"/>
    <x v="1"/>
    <x v="3"/>
    <x v="2"/>
    <x v="1"/>
    <x v="2"/>
    <x v="1"/>
    <s v="No Options"/>
    <x v="1"/>
    <x v="4"/>
    <x v="0"/>
    <x v="1"/>
  </r>
  <r>
    <n v="47"/>
    <x v="0"/>
    <s v="Travel_Frequently"/>
    <n v="719"/>
    <x v="0"/>
    <n v="27"/>
    <n v="2"/>
    <s v="Life Sciences"/>
    <n v="785"/>
    <n v="2"/>
    <x v="0"/>
    <n v="77"/>
    <n v="4"/>
    <n v="2"/>
    <x v="0"/>
    <n v="3"/>
    <x v="0"/>
    <n v="6397"/>
    <n v="4"/>
    <x v="0"/>
    <n v="12"/>
    <n v="3"/>
    <n v="4"/>
    <n v="0"/>
    <n v="8"/>
    <n v="2"/>
    <n v="3"/>
    <n v="5"/>
    <n v="4"/>
    <n v="1"/>
    <n v="3"/>
    <x v="0"/>
    <x v="0"/>
    <x v="0"/>
    <x v="0"/>
    <x v="2"/>
    <x v="0"/>
    <x v="2"/>
    <x v="1"/>
    <s v="No Options"/>
    <x v="1"/>
    <x v="1"/>
    <x v="0"/>
    <x v="2"/>
  </r>
  <r>
    <n v="34"/>
    <x v="1"/>
    <s v="Travel_Rarely"/>
    <n v="304"/>
    <x v="0"/>
    <n v="2"/>
    <n v="3"/>
    <s v="Other"/>
    <n v="786"/>
    <n v="4"/>
    <x v="1"/>
    <n v="60"/>
    <n v="3"/>
    <n v="2"/>
    <x v="0"/>
    <n v="4"/>
    <x v="0"/>
    <n v="6274"/>
    <n v="1"/>
    <x v="1"/>
    <n v="22"/>
    <n v="4"/>
    <n v="3"/>
    <n v="0"/>
    <n v="6"/>
    <n v="5"/>
    <n v="3"/>
    <n v="6"/>
    <n v="5"/>
    <n v="1"/>
    <n v="4"/>
    <x v="1"/>
    <x v="1"/>
    <x v="3"/>
    <x v="2"/>
    <x v="0"/>
    <x v="0"/>
    <x v="0"/>
    <x v="3"/>
    <s v="No Options"/>
    <x v="1"/>
    <x v="2"/>
    <x v="0"/>
    <x v="0"/>
  </r>
  <r>
    <n v="55"/>
    <x v="0"/>
    <s v="Travel_Rarely"/>
    <n v="725"/>
    <x v="1"/>
    <n v="2"/>
    <n v="3"/>
    <s v="Medical"/>
    <n v="787"/>
    <n v="4"/>
    <x v="1"/>
    <n v="78"/>
    <n v="3"/>
    <n v="5"/>
    <x v="5"/>
    <n v="1"/>
    <x v="1"/>
    <n v="19859"/>
    <n v="5"/>
    <x v="0"/>
    <n v="13"/>
    <n v="3"/>
    <n v="4"/>
    <n v="1"/>
    <n v="24"/>
    <n v="2"/>
    <n v="3"/>
    <n v="5"/>
    <n v="2"/>
    <n v="1"/>
    <n v="4"/>
    <x v="0"/>
    <x v="0"/>
    <x v="3"/>
    <x v="2"/>
    <x v="0"/>
    <x v="4"/>
    <x v="3"/>
    <x v="1"/>
    <s v="Low"/>
    <x v="1"/>
    <x v="3"/>
    <x v="3"/>
    <x v="2"/>
  </r>
  <r>
    <n v="36"/>
    <x v="1"/>
    <s v="Non-Travel"/>
    <n v="1434"/>
    <x v="0"/>
    <n v="8"/>
    <n v="4"/>
    <s v="Life Sciences"/>
    <n v="789"/>
    <n v="1"/>
    <x v="1"/>
    <n v="76"/>
    <n v="2"/>
    <n v="3"/>
    <x v="0"/>
    <n v="1"/>
    <x v="0"/>
    <n v="7587"/>
    <n v="1"/>
    <x v="1"/>
    <n v="15"/>
    <n v="3"/>
    <n v="2"/>
    <n v="0"/>
    <n v="10"/>
    <n v="1"/>
    <n v="3"/>
    <n v="10"/>
    <n v="7"/>
    <n v="0"/>
    <n v="9"/>
    <x v="1"/>
    <x v="1"/>
    <x v="2"/>
    <x v="3"/>
    <x v="1"/>
    <x v="2"/>
    <x v="3"/>
    <x v="2"/>
    <s v="No Options"/>
    <x v="1"/>
    <x v="0"/>
    <x v="2"/>
    <x v="0"/>
  </r>
  <r>
    <n v="52"/>
    <x v="1"/>
    <s v="Non-Travel"/>
    <n v="715"/>
    <x v="1"/>
    <n v="19"/>
    <n v="4"/>
    <s v="Medical"/>
    <n v="791"/>
    <n v="4"/>
    <x v="1"/>
    <n v="41"/>
    <n v="3"/>
    <n v="1"/>
    <x v="1"/>
    <n v="4"/>
    <x v="1"/>
    <n v="4258"/>
    <n v="0"/>
    <x v="1"/>
    <n v="18"/>
    <n v="3"/>
    <n v="1"/>
    <n v="1"/>
    <n v="5"/>
    <n v="3"/>
    <n v="3"/>
    <n v="4"/>
    <n v="3"/>
    <n v="1"/>
    <n v="2"/>
    <x v="1"/>
    <x v="1"/>
    <x v="2"/>
    <x v="2"/>
    <x v="0"/>
    <x v="1"/>
    <x v="0"/>
    <x v="0"/>
    <s v="Low"/>
    <x v="1"/>
    <x v="1"/>
    <x v="0"/>
    <x v="2"/>
  </r>
  <r>
    <n v="26"/>
    <x v="1"/>
    <s v="Travel_Frequently"/>
    <n v="575"/>
    <x v="1"/>
    <n v="1"/>
    <n v="2"/>
    <s v="Life Sciences"/>
    <n v="792"/>
    <n v="1"/>
    <x v="0"/>
    <n v="71"/>
    <n v="1"/>
    <n v="1"/>
    <x v="2"/>
    <n v="4"/>
    <x v="2"/>
    <n v="4364"/>
    <n v="3"/>
    <x v="1"/>
    <n v="14"/>
    <n v="3"/>
    <n v="1"/>
    <n v="1"/>
    <n v="5"/>
    <n v="2"/>
    <n v="3"/>
    <n v="2"/>
    <n v="2"/>
    <n v="2"/>
    <n v="0"/>
    <x v="1"/>
    <x v="1"/>
    <x v="0"/>
    <x v="3"/>
    <x v="3"/>
    <x v="1"/>
    <x v="0"/>
    <x v="0"/>
    <s v="Low"/>
    <x v="1"/>
    <x v="2"/>
    <x v="0"/>
    <x v="1"/>
  </r>
  <r>
    <n v="29"/>
    <x v="1"/>
    <s v="Travel_Rarely"/>
    <n v="657"/>
    <x v="1"/>
    <n v="27"/>
    <n v="3"/>
    <s v="Medical"/>
    <n v="793"/>
    <n v="2"/>
    <x v="0"/>
    <n v="66"/>
    <n v="3"/>
    <n v="2"/>
    <x v="4"/>
    <n v="3"/>
    <x v="1"/>
    <n v="4335"/>
    <n v="4"/>
    <x v="1"/>
    <n v="12"/>
    <n v="3"/>
    <n v="1"/>
    <n v="1"/>
    <n v="11"/>
    <n v="3"/>
    <n v="2"/>
    <n v="8"/>
    <n v="7"/>
    <n v="1"/>
    <n v="1"/>
    <x v="1"/>
    <x v="1"/>
    <x v="3"/>
    <x v="0"/>
    <x v="0"/>
    <x v="0"/>
    <x v="2"/>
    <x v="0"/>
    <s v="Low"/>
    <x v="2"/>
    <x v="2"/>
    <x v="0"/>
    <x v="0"/>
  </r>
  <r>
    <n v="26"/>
    <x v="0"/>
    <s v="Travel_Rarely"/>
    <n v="1146"/>
    <x v="0"/>
    <n v="8"/>
    <n v="3"/>
    <s v="Technical Degree"/>
    <n v="796"/>
    <n v="4"/>
    <x v="1"/>
    <n v="38"/>
    <n v="2"/>
    <n v="2"/>
    <x v="0"/>
    <n v="1"/>
    <x v="0"/>
    <n v="5326"/>
    <n v="6"/>
    <x v="1"/>
    <n v="17"/>
    <n v="3"/>
    <n v="3"/>
    <n v="0"/>
    <n v="6"/>
    <n v="2"/>
    <n v="2"/>
    <n v="4"/>
    <n v="3"/>
    <n v="1"/>
    <n v="2"/>
    <x v="0"/>
    <x v="1"/>
    <x v="3"/>
    <x v="2"/>
    <x v="1"/>
    <x v="0"/>
    <x v="3"/>
    <x v="3"/>
    <s v="No Options"/>
    <x v="2"/>
    <x v="2"/>
    <x v="0"/>
    <x v="2"/>
  </r>
  <r>
    <n v="34"/>
    <x v="1"/>
    <s v="Travel_Rarely"/>
    <n v="182"/>
    <x v="1"/>
    <n v="1"/>
    <n v="4"/>
    <s v="Life Sciences"/>
    <n v="797"/>
    <n v="2"/>
    <x v="0"/>
    <n v="72"/>
    <n v="4"/>
    <n v="1"/>
    <x v="1"/>
    <n v="4"/>
    <x v="0"/>
    <n v="3280"/>
    <n v="2"/>
    <x v="1"/>
    <n v="16"/>
    <n v="3"/>
    <n v="3"/>
    <n v="0"/>
    <n v="10"/>
    <n v="2"/>
    <n v="3"/>
    <n v="4"/>
    <n v="2"/>
    <n v="1"/>
    <n v="3"/>
    <x v="1"/>
    <x v="1"/>
    <x v="2"/>
    <x v="0"/>
    <x v="2"/>
    <x v="1"/>
    <x v="0"/>
    <x v="3"/>
    <s v="No Options"/>
    <x v="1"/>
    <x v="2"/>
    <x v="0"/>
    <x v="2"/>
  </r>
  <r>
    <n v="54"/>
    <x v="1"/>
    <s v="Travel_Rarely"/>
    <n v="376"/>
    <x v="1"/>
    <n v="19"/>
    <n v="4"/>
    <s v="Medical"/>
    <n v="799"/>
    <n v="4"/>
    <x v="0"/>
    <n v="95"/>
    <n v="3"/>
    <n v="2"/>
    <x v="3"/>
    <n v="1"/>
    <x v="2"/>
    <n v="5485"/>
    <n v="9"/>
    <x v="0"/>
    <n v="11"/>
    <n v="3"/>
    <n v="2"/>
    <n v="2"/>
    <n v="9"/>
    <n v="4"/>
    <n v="3"/>
    <n v="5"/>
    <n v="3"/>
    <n v="1"/>
    <n v="4"/>
    <x v="1"/>
    <x v="0"/>
    <x v="2"/>
    <x v="2"/>
    <x v="0"/>
    <x v="0"/>
    <x v="3"/>
    <x v="2"/>
    <s v="Medium"/>
    <x v="1"/>
    <x v="1"/>
    <x v="0"/>
    <x v="2"/>
  </r>
  <r>
    <n v="27"/>
    <x v="1"/>
    <s v="Travel_Frequently"/>
    <n v="829"/>
    <x v="0"/>
    <n v="8"/>
    <n v="1"/>
    <s v="Marketing"/>
    <n v="800"/>
    <n v="3"/>
    <x v="1"/>
    <n v="84"/>
    <n v="3"/>
    <n v="2"/>
    <x v="0"/>
    <n v="4"/>
    <x v="1"/>
    <n v="4342"/>
    <n v="0"/>
    <x v="1"/>
    <n v="19"/>
    <n v="3"/>
    <n v="2"/>
    <n v="1"/>
    <n v="5"/>
    <n v="3"/>
    <n v="3"/>
    <n v="4"/>
    <n v="2"/>
    <n v="1"/>
    <n v="1"/>
    <x v="1"/>
    <x v="1"/>
    <x v="1"/>
    <x v="1"/>
    <x v="0"/>
    <x v="0"/>
    <x v="0"/>
    <x v="2"/>
    <s v="Low"/>
    <x v="1"/>
    <x v="2"/>
    <x v="0"/>
    <x v="2"/>
  </r>
  <r>
    <n v="37"/>
    <x v="1"/>
    <s v="Travel_Rarely"/>
    <n v="571"/>
    <x v="1"/>
    <n v="10"/>
    <n v="1"/>
    <s v="Life Sciences"/>
    <n v="802"/>
    <n v="4"/>
    <x v="0"/>
    <n v="82"/>
    <n v="3"/>
    <n v="1"/>
    <x v="1"/>
    <n v="1"/>
    <x v="2"/>
    <n v="2782"/>
    <n v="0"/>
    <x v="0"/>
    <n v="13"/>
    <n v="3"/>
    <n v="2"/>
    <n v="2"/>
    <n v="6"/>
    <n v="3"/>
    <n v="2"/>
    <n v="5"/>
    <n v="3"/>
    <n v="4"/>
    <n v="3"/>
    <x v="1"/>
    <x v="0"/>
    <x v="1"/>
    <x v="2"/>
    <x v="0"/>
    <x v="1"/>
    <x v="3"/>
    <x v="2"/>
    <s v="Medium"/>
    <x v="2"/>
    <x v="0"/>
    <x v="1"/>
    <x v="2"/>
  </r>
  <r>
    <n v="38"/>
    <x v="1"/>
    <s v="Travel_Frequently"/>
    <n v="240"/>
    <x v="1"/>
    <n v="2"/>
    <n v="4"/>
    <s v="Life Sciences"/>
    <n v="803"/>
    <n v="1"/>
    <x v="0"/>
    <n v="75"/>
    <n v="4"/>
    <n v="2"/>
    <x v="3"/>
    <n v="1"/>
    <x v="0"/>
    <n v="5980"/>
    <n v="6"/>
    <x v="0"/>
    <n v="12"/>
    <n v="3"/>
    <n v="4"/>
    <n v="0"/>
    <n v="17"/>
    <n v="2"/>
    <n v="3"/>
    <n v="15"/>
    <n v="7"/>
    <n v="4"/>
    <n v="12"/>
    <x v="1"/>
    <x v="0"/>
    <x v="2"/>
    <x v="3"/>
    <x v="2"/>
    <x v="0"/>
    <x v="3"/>
    <x v="1"/>
    <s v="No Options"/>
    <x v="1"/>
    <x v="0"/>
    <x v="0"/>
    <x v="4"/>
  </r>
  <r>
    <n v="34"/>
    <x v="1"/>
    <s v="Travel_Rarely"/>
    <n v="121"/>
    <x v="1"/>
    <n v="2"/>
    <n v="4"/>
    <s v="Medical"/>
    <n v="804"/>
    <n v="3"/>
    <x v="0"/>
    <n v="86"/>
    <n v="2"/>
    <n v="1"/>
    <x v="1"/>
    <n v="1"/>
    <x v="0"/>
    <n v="4381"/>
    <n v="1"/>
    <x v="1"/>
    <n v="11"/>
    <n v="3"/>
    <n v="3"/>
    <n v="0"/>
    <n v="6"/>
    <n v="3"/>
    <n v="3"/>
    <n v="6"/>
    <n v="5"/>
    <n v="1"/>
    <n v="3"/>
    <x v="1"/>
    <x v="1"/>
    <x v="2"/>
    <x v="1"/>
    <x v="1"/>
    <x v="1"/>
    <x v="3"/>
    <x v="3"/>
    <s v="No Options"/>
    <x v="1"/>
    <x v="2"/>
    <x v="0"/>
    <x v="0"/>
  </r>
  <r>
    <n v="35"/>
    <x v="1"/>
    <s v="Travel_Rarely"/>
    <n v="384"/>
    <x v="0"/>
    <n v="8"/>
    <n v="4"/>
    <s v="Life Sciences"/>
    <n v="805"/>
    <n v="1"/>
    <x v="0"/>
    <n v="72"/>
    <n v="3"/>
    <n v="1"/>
    <x v="6"/>
    <n v="4"/>
    <x v="1"/>
    <n v="2572"/>
    <n v="1"/>
    <x v="1"/>
    <n v="16"/>
    <n v="3"/>
    <n v="2"/>
    <n v="1"/>
    <n v="3"/>
    <n v="1"/>
    <n v="2"/>
    <n v="3"/>
    <n v="2"/>
    <n v="0"/>
    <n v="2"/>
    <x v="1"/>
    <x v="1"/>
    <x v="2"/>
    <x v="3"/>
    <x v="0"/>
    <x v="1"/>
    <x v="0"/>
    <x v="2"/>
    <s v="Low"/>
    <x v="2"/>
    <x v="0"/>
    <x v="1"/>
    <x v="2"/>
  </r>
  <r>
    <n v="30"/>
    <x v="1"/>
    <s v="Travel_Rarely"/>
    <n v="921"/>
    <x v="1"/>
    <n v="1"/>
    <n v="3"/>
    <s v="Life Sciences"/>
    <n v="806"/>
    <n v="4"/>
    <x v="1"/>
    <n v="38"/>
    <n v="1"/>
    <n v="1"/>
    <x v="2"/>
    <n v="3"/>
    <x v="1"/>
    <n v="3833"/>
    <n v="3"/>
    <x v="1"/>
    <n v="21"/>
    <n v="4"/>
    <n v="3"/>
    <n v="2"/>
    <n v="7"/>
    <n v="2"/>
    <n v="3"/>
    <n v="2"/>
    <n v="2"/>
    <n v="0"/>
    <n v="2"/>
    <x v="1"/>
    <x v="1"/>
    <x v="3"/>
    <x v="2"/>
    <x v="3"/>
    <x v="1"/>
    <x v="2"/>
    <x v="3"/>
    <s v="Medium"/>
    <x v="1"/>
    <x v="2"/>
    <x v="0"/>
    <x v="1"/>
  </r>
  <r>
    <n v="40"/>
    <x v="1"/>
    <s v="Travel_Frequently"/>
    <n v="791"/>
    <x v="1"/>
    <n v="2"/>
    <n v="2"/>
    <s v="Medical"/>
    <n v="807"/>
    <n v="3"/>
    <x v="0"/>
    <n v="38"/>
    <n v="4"/>
    <n v="2"/>
    <x v="4"/>
    <n v="2"/>
    <x v="1"/>
    <n v="4244"/>
    <n v="1"/>
    <x v="1"/>
    <n v="24"/>
    <n v="4"/>
    <n v="4"/>
    <n v="1"/>
    <n v="8"/>
    <n v="2"/>
    <n v="3"/>
    <n v="8"/>
    <n v="7"/>
    <n v="3"/>
    <n v="7"/>
    <x v="1"/>
    <x v="1"/>
    <x v="0"/>
    <x v="1"/>
    <x v="2"/>
    <x v="0"/>
    <x v="1"/>
    <x v="1"/>
    <s v="Low"/>
    <x v="1"/>
    <x v="0"/>
    <x v="0"/>
    <x v="0"/>
  </r>
  <r>
    <n v="34"/>
    <x v="1"/>
    <s v="Travel_Rarely"/>
    <n v="1111"/>
    <x v="0"/>
    <n v="8"/>
    <n v="2"/>
    <s v="Life Sciences"/>
    <n v="808"/>
    <n v="3"/>
    <x v="0"/>
    <n v="93"/>
    <n v="3"/>
    <n v="2"/>
    <x v="0"/>
    <n v="1"/>
    <x v="1"/>
    <n v="6500"/>
    <n v="5"/>
    <x v="1"/>
    <n v="17"/>
    <n v="3"/>
    <n v="2"/>
    <n v="1"/>
    <n v="6"/>
    <n v="1"/>
    <n v="3"/>
    <n v="3"/>
    <n v="2"/>
    <n v="1"/>
    <n v="2"/>
    <x v="1"/>
    <x v="1"/>
    <x v="0"/>
    <x v="1"/>
    <x v="0"/>
    <x v="0"/>
    <x v="3"/>
    <x v="2"/>
    <s v="Low"/>
    <x v="1"/>
    <x v="2"/>
    <x v="0"/>
    <x v="2"/>
  </r>
  <r>
    <n v="42"/>
    <x v="1"/>
    <s v="Travel_Frequently"/>
    <n v="570"/>
    <x v="1"/>
    <n v="8"/>
    <n v="3"/>
    <s v="Life Sciences"/>
    <n v="809"/>
    <n v="2"/>
    <x v="1"/>
    <n v="66"/>
    <n v="3"/>
    <n v="5"/>
    <x v="5"/>
    <n v="4"/>
    <x v="2"/>
    <n v="18430"/>
    <n v="1"/>
    <x v="1"/>
    <n v="13"/>
    <n v="3"/>
    <n v="2"/>
    <n v="1"/>
    <n v="24"/>
    <n v="4"/>
    <n v="2"/>
    <n v="24"/>
    <n v="7"/>
    <n v="14"/>
    <n v="9"/>
    <x v="1"/>
    <x v="1"/>
    <x v="3"/>
    <x v="0"/>
    <x v="0"/>
    <x v="4"/>
    <x v="0"/>
    <x v="2"/>
    <s v="Low"/>
    <x v="2"/>
    <x v="0"/>
    <x v="3"/>
    <x v="3"/>
  </r>
  <r>
    <n v="23"/>
    <x v="0"/>
    <s v="Travel_Rarely"/>
    <n v="1243"/>
    <x v="1"/>
    <n v="6"/>
    <n v="3"/>
    <s v="Life Sciences"/>
    <n v="811"/>
    <n v="3"/>
    <x v="1"/>
    <n v="63"/>
    <n v="4"/>
    <n v="1"/>
    <x v="2"/>
    <n v="1"/>
    <x v="1"/>
    <n v="1601"/>
    <n v="1"/>
    <x v="0"/>
    <n v="21"/>
    <n v="4"/>
    <n v="3"/>
    <n v="2"/>
    <n v="1"/>
    <n v="2"/>
    <n v="3"/>
    <n v="0"/>
    <n v="0"/>
    <n v="0"/>
    <n v="0"/>
    <x v="0"/>
    <x v="0"/>
    <x v="3"/>
    <x v="1"/>
    <x v="2"/>
    <x v="1"/>
    <x v="3"/>
    <x v="3"/>
    <s v="Medium"/>
    <x v="1"/>
    <x v="4"/>
    <x v="1"/>
    <x v="1"/>
  </r>
  <r>
    <n v="24"/>
    <x v="1"/>
    <s v="Non-Travel"/>
    <n v="1092"/>
    <x v="1"/>
    <n v="9"/>
    <n v="3"/>
    <s v="Life Sciences"/>
    <n v="812"/>
    <n v="3"/>
    <x v="1"/>
    <n v="60"/>
    <n v="2"/>
    <n v="1"/>
    <x v="2"/>
    <n v="2"/>
    <x v="2"/>
    <n v="2694"/>
    <n v="1"/>
    <x v="1"/>
    <n v="11"/>
    <n v="3"/>
    <n v="3"/>
    <n v="3"/>
    <n v="1"/>
    <n v="4"/>
    <n v="3"/>
    <n v="1"/>
    <n v="0"/>
    <n v="0"/>
    <n v="0"/>
    <x v="1"/>
    <x v="1"/>
    <x v="3"/>
    <x v="1"/>
    <x v="1"/>
    <x v="1"/>
    <x v="1"/>
    <x v="3"/>
    <s v="High"/>
    <x v="1"/>
    <x v="4"/>
    <x v="1"/>
    <x v="1"/>
  </r>
  <r>
    <n v="52"/>
    <x v="1"/>
    <s v="Travel_Rarely"/>
    <n v="1325"/>
    <x v="1"/>
    <n v="11"/>
    <n v="4"/>
    <s v="Life Sciences"/>
    <n v="813"/>
    <n v="4"/>
    <x v="0"/>
    <n v="82"/>
    <n v="3"/>
    <n v="2"/>
    <x v="2"/>
    <n v="3"/>
    <x v="1"/>
    <n v="3149"/>
    <n v="8"/>
    <x v="1"/>
    <n v="20"/>
    <n v="4"/>
    <n v="2"/>
    <n v="1"/>
    <n v="9"/>
    <n v="3"/>
    <n v="3"/>
    <n v="5"/>
    <n v="2"/>
    <n v="1"/>
    <n v="4"/>
    <x v="1"/>
    <x v="1"/>
    <x v="2"/>
    <x v="2"/>
    <x v="0"/>
    <x v="0"/>
    <x v="2"/>
    <x v="2"/>
    <s v="Low"/>
    <x v="1"/>
    <x v="1"/>
    <x v="0"/>
    <x v="2"/>
  </r>
  <r>
    <n v="50"/>
    <x v="1"/>
    <s v="Travel_Rarely"/>
    <n v="691"/>
    <x v="1"/>
    <n v="2"/>
    <n v="3"/>
    <s v="Medical"/>
    <n v="815"/>
    <n v="3"/>
    <x v="1"/>
    <n v="64"/>
    <n v="3"/>
    <n v="4"/>
    <x v="7"/>
    <n v="3"/>
    <x v="1"/>
    <n v="17639"/>
    <n v="5"/>
    <x v="1"/>
    <n v="16"/>
    <n v="3"/>
    <n v="4"/>
    <n v="0"/>
    <n v="30"/>
    <n v="3"/>
    <n v="3"/>
    <n v="4"/>
    <n v="3"/>
    <n v="0"/>
    <n v="3"/>
    <x v="1"/>
    <x v="1"/>
    <x v="3"/>
    <x v="1"/>
    <x v="0"/>
    <x v="3"/>
    <x v="2"/>
    <x v="1"/>
    <s v="No Options"/>
    <x v="1"/>
    <x v="1"/>
    <x v="3"/>
    <x v="2"/>
  </r>
  <r>
    <n v="29"/>
    <x v="0"/>
    <s v="Travel_Rarely"/>
    <n v="805"/>
    <x v="1"/>
    <n v="1"/>
    <n v="2"/>
    <s v="Life Sciences"/>
    <n v="816"/>
    <n v="2"/>
    <x v="0"/>
    <n v="36"/>
    <n v="2"/>
    <n v="1"/>
    <x v="2"/>
    <n v="1"/>
    <x v="1"/>
    <n v="2319"/>
    <n v="1"/>
    <x v="0"/>
    <n v="11"/>
    <n v="3"/>
    <n v="4"/>
    <n v="1"/>
    <n v="1"/>
    <n v="1"/>
    <n v="3"/>
    <n v="1"/>
    <n v="0"/>
    <n v="0"/>
    <n v="0"/>
    <x v="0"/>
    <x v="0"/>
    <x v="0"/>
    <x v="0"/>
    <x v="1"/>
    <x v="1"/>
    <x v="3"/>
    <x v="1"/>
    <s v="Low"/>
    <x v="1"/>
    <x v="2"/>
    <x v="1"/>
    <x v="1"/>
  </r>
  <r>
    <n v="33"/>
    <x v="1"/>
    <s v="Travel_Rarely"/>
    <n v="213"/>
    <x v="1"/>
    <n v="7"/>
    <n v="3"/>
    <s v="Medical"/>
    <n v="817"/>
    <n v="3"/>
    <x v="1"/>
    <n v="49"/>
    <n v="3"/>
    <n v="3"/>
    <x v="7"/>
    <n v="3"/>
    <x v="1"/>
    <n v="11691"/>
    <n v="0"/>
    <x v="1"/>
    <n v="11"/>
    <n v="3"/>
    <n v="4"/>
    <n v="0"/>
    <n v="14"/>
    <n v="3"/>
    <n v="4"/>
    <n v="13"/>
    <n v="9"/>
    <n v="3"/>
    <n v="7"/>
    <x v="1"/>
    <x v="1"/>
    <x v="3"/>
    <x v="1"/>
    <x v="0"/>
    <x v="2"/>
    <x v="2"/>
    <x v="1"/>
    <s v="No Options"/>
    <x v="3"/>
    <x v="2"/>
    <x v="2"/>
    <x v="4"/>
  </r>
  <r>
    <n v="33"/>
    <x v="0"/>
    <s v="Travel_Rarely"/>
    <n v="118"/>
    <x v="0"/>
    <n v="16"/>
    <n v="3"/>
    <s v="Marketing"/>
    <n v="819"/>
    <n v="1"/>
    <x v="0"/>
    <n v="69"/>
    <n v="3"/>
    <n v="2"/>
    <x v="0"/>
    <n v="1"/>
    <x v="0"/>
    <n v="5324"/>
    <n v="5"/>
    <x v="1"/>
    <n v="15"/>
    <n v="3"/>
    <n v="3"/>
    <n v="0"/>
    <n v="6"/>
    <n v="3"/>
    <n v="3"/>
    <n v="3"/>
    <n v="2"/>
    <n v="0"/>
    <n v="2"/>
    <x v="0"/>
    <x v="1"/>
    <x v="3"/>
    <x v="3"/>
    <x v="0"/>
    <x v="0"/>
    <x v="3"/>
    <x v="3"/>
    <s v="No Options"/>
    <x v="1"/>
    <x v="2"/>
    <x v="0"/>
    <x v="2"/>
  </r>
  <r>
    <n v="47"/>
    <x v="1"/>
    <s v="Travel_Rarely"/>
    <n v="202"/>
    <x v="1"/>
    <n v="2"/>
    <n v="2"/>
    <s v="Other"/>
    <n v="820"/>
    <n v="3"/>
    <x v="0"/>
    <n v="33"/>
    <n v="3"/>
    <n v="4"/>
    <x v="5"/>
    <n v="4"/>
    <x v="1"/>
    <n v="16752"/>
    <n v="1"/>
    <x v="0"/>
    <n v="11"/>
    <n v="3"/>
    <n v="3"/>
    <n v="1"/>
    <n v="26"/>
    <n v="3"/>
    <n v="2"/>
    <n v="26"/>
    <n v="14"/>
    <n v="3"/>
    <n v="0"/>
    <x v="1"/>
    <x v="0"/>
    <x v="0"/>
    <x v="1"/>
    <x v="0"/>
    <x v="3"/>
    <x v="0"/>
    <x v="3"/>
    <s v="Low"/>
    <x v="2"/>
    <x v="1"/>
    <x v="3"/>
    <x v="3"/>
  </r>
  <r>
    <n v="36"/>
    <x v="1"/>
    <s v="Travel_Rarely"/>
    <n v="676"/>
    <x v="1"/>
    <n v="1"/>
    <n v="3"/>
    <s v="Other"/>
    <n v="823"/>
    <n v="3"/>
    <x v="0"/>
    <n v="35"/>
    <n v="3"/>
    <n v="2"/>
    <x v="3"/>
    <n v="2"/>
    <x v="1"/>
    <n v="5228"/>
    <n v="0"/>
    <x v="1"/>
    <n v="15"/>
    <n v="3"/>
    <n v="1"/>
    <n v="1"/>
    <n v="10"/>
    <n v="2"/>
    <n v="3"/>
    <n v="9"/>
    <n v="7"/>
    <n v="0"/>
    <n v="5"/>
    <x v="1"/>
    <x v="1"/>
    <x v="3"/>
    <x v="1"/>
    <x v="0"/>
    <x v="0"/>
    <x v="1"/>
    <x v="0"/>
    <s v="Low"/>
    <x v="1"/>
    <x v="0"/>
    <x v="0"/>
    <x v="0"/>
  </r>
  <r>
    <n v="29"/>
    <x v="1"/>
    <s v="Travel_Rarely"/>
    <n v="1252"/>
    <x v="1"/>
    <n v="23"/>
    <n v="2"/>
    <s v="Life Sciences"/>
    <n v="824"/>
    <n v="3"/>
    <x v="1"/>
    <n v="81"/>
    <n v="4"/>
    <n v="1"/>
    <x v="1"/>
    <n v="3"/>
    <x v="1"/>
    <n v="2700"/>
    <n v="1"/>
    <x v="1"/>
    <n v="24"/>
    <n v="4"/>
    <n v="3"/>
    <n v="1"/>
    <n v="10"/>
    <n v="3"/>
    <n v="3"/>
    <n v="10"/>
    <n v="7"/>
    <n v="0"/>
    <n v="7"/>
    <x v="1"/>
    <x v="1"/>
    <x v="0"/>
    <x v="1"/>
    <x v="2"/>
    <x v="1"/>
    <x v="2"/>
    <x v="3"/>
    <s v="Low"/>
    <x v="1"/>
    <x v="2"/>
    <x v="1"/>
    <x v="0"/>
  </r>
  <r>
    <n v="58"/>
    <x v="0"/>
    <s v="Travel_Rarely"/>
    <n v="286"/>
    <x v="1"/>
    <n v="2"/>
    <n v="4"/>
    <s v="Life Sciences"/>
    <n v="825"/>
    <n v="4"/>
    <x v="1"/>
    <n v="31"/>
    <n v="3"/>
    <n v="5"/>
    <x v="7"/>
    <n v="2"/>
    <x v="0"/>
    <n v="19246"/>
    <n v="7"/>
    <x v="0"/>
    <n v="12"/>
    <n v="3"/>
    <n v="4"/>
    <n v="0"/>
    <n v="40"/>
    <n v="2"/>
    <n v="3"/>
    <n v="31"/>
    <n v="15"/>
    <n v="13"/>
    <n v="8"/>
    <x v="0"/>
    <x v="0"/>
    <x v="2"/>
    <x v="2"/>
    <x v="0"/>
    <x v="4"/>
    <x v="1"/>
    <x v="1"/>
    <s v="No Options"/>
    <x v="1"/>
    <x v="3"/>
    <x v="3"/>
    <x v="3"/>
  </r>
  <r>
    <n v="35"/>
    <x v="1"/>
    <s v="Travel_Rarely"/>
    <n v="1258"/>
    <x v="1"/>
    <n v="1"/>
    <n v="4"/>
    <s v="Life Sciences"/>
    <n v="826"/>
    <n v="4"/>
    <x v="0"/>
    <n v="40"/>
    <n v="4"/>
    <n v="1"/>
    <x v="1"/>
    <n v="3"/>
    <x v="0"/>
    <n v="2506"/>
    <n v="3"/>
    <x v="1"/>
    <n v="13"/>
    <n v="3"/>
    <n v="3"/>
    <n v="0"/>
    <n v="7"/>
    <n v="0"/>
    <n v="3"/>
    <n v="2"/>
    <n v="2"/>
    <n v="2"/>
    <n v="2"/>
    <x v="1"/>
    <x v="1"/>
    <x v="2"/>
    <x v="2"/>
    <x v="2"/>
    <x v="1"/>
    <x v="2"/>
    <x v="3"/>
    <s v="No Options"/>
    <x v="1"/>
    <x v="0"/>
    <x v="1"/>
    <x v="1"/>
  </r>
  <r>
    <n v="42"/>
    <x v="1"/>
    <s v="Travel_Rarely"/>
    <n v="932"/>
    <x v="1"/>
    <n v="1"/>
    <n v="2"/>
    <s v="Life Sciences"/>
    <n v="827"/>
    <n v="4"/>
    <x v="0"/>
    <n v="43"/>
    <n v="2"/>
    <n v="2"/>
    <x v="3"/>
    <n v="4"/>
    <x v="1"/>
    <n v="6062"/>
    <n v="9"/>
    <x v="0"/>
    <n v="13"/>
    <n v="3"/>
    <n v="4"/>
    <n v="1"/>
    <n v="8"/>
    <n v="4"/>
    <n v="3"/>
    <n v="4"/>
    <n v="3"/>
    <n v="0"/>
    <n v="2"/>
    <x v="1"/>
    <x v="0"/>
    <x v="0"/>
    <x v="2"/>
    <x v="1"/>
    <x v="0"/>
    <x v="0"/>
    <x v="1"/>
    <s v="Low"/>
    <x v="1"/>
    <x v="0"/>
    <x v="0"/>
    <x v="2"/>
  </r>
  <r>
    <n v="28"/>
    <x v="0"/>
    <s v="Travel_Rarely"/>
    <n v="890"/>
    <x v="1"/>
    <n v="2"/>
    <n v="4"/>
    <s v="Medical"/>
    <n v="828"/>
    <n v="3"/>
    <x v="1"/>
    <n v="46"/>
    <n v="3"/>
    <n v="1"/>
    <x v="1"/>
    <n v="3"/>
    <x v="0"/>
    <n v="4382"/>
    <n v="6"/>
    <x v="1"/>
    <n v="17"/>
    <n v="3"/>
    <n v="4"/>
    <n v="0"/>
    <n v="5"/>
    <n v="3"/>
    <n v="2"/>
    <n v="2"/>
    <n v="2"/>
    <n v="2"/>
    <n v="1"/>
    <x v="0"/>
    <x v="1"/>
    <x v="2"/>
    <x v="1"/>
    <x v="0"/>
    <x v="1"/>
    <x v="2"/>
    <x v="1"/>
    <s v="No Options"/>
    <x v="2"/>
    <x v="2"/>
    <x v="0"/>
    <x v="1"/>
  </r>
  <r>
    <n v="36"/>
    <x v="1"/>
    <s v="Travel_Rarely"/>
    <n v="1041"/>
    <x v="2"/>
    <n v="13"/>
    <n v="3"/>
    <s v="Human Resources"/>
    <n v="829"/>
    <n v="3"/>
    <x v="1"/>
    <n v="36"/>
    <n v="3"/>
    <n v="1"/>
    <x v="8"/>
    <n v="2"/>
    <x v="1"/>
    <n v="2143"/>
    <n v="4"/>
    <x v="1"/>
    <n v="13"/>
    <n v="3"/>
    <n v="2"/>
    <n v="1"/>
    <n v="8"/>
    <n v="2"/>
    <n v="3"/>
    <n v="5"/>
    <n v="2"/>
    <n v="0"/>
    <n v="4"/>
    <x v="1"/>
    <x v="1"/>
    <x v="3"/>
    <x v="1"/>
    <x v="0"/>
    <x v="1"/>
    <x v="1"/>
    <x v="2"/>
    <s v="Low"/>
    <x v="1"/>
    <x v="0"/>
    <x v="1"/>
    <x v="2"/>
  </r>
  <r>
    <n v="32"/>
    <x v="1"/>
    <s v="Travel_Rarely"/>
    <n v="859"/>
    <x v="1"/>
    <n v="4"/>
    <n v="3"/>
    <s v="Life Sciences"/>
    <n v="830"/>
    <n v="3"/>
    <x v="0"/>
    <n v="98"/>
    <n v="2"/>
    <n v="2"/>
    <x v="3"/>
    <n v="3"/>
    <x v="1"/>
    <n v="6162"/>
    <n v="1"/>
    <x v="1"/>
    <n v="12"/>
    <n v="3"/>
    <n v="3"/>
    <n v="1"/>
    <n v="14"/>
    <n v="3"/>
    <n v="3"/>
    <n v="14"/>
    <n v="13"/>
    <n v="6"/>
    <n v="8"/>
    <x v="1"/>
    <x v="1"/>
    <x v="3"/>
    <x v="1"/>
    <x v="1"/>
    <x v="0"/>
    <x v="2"/>
    <x v="3"/>
    <s v="Low"/>
    <x v="1"/>
    <x v="2"/>
    <x v="0"/>
    <x v="4"/>
  </r>
  <r>
    <n v="40"/>
    <x v="1"/>
    <s v="Travel_Frequently"/>
    <n v="720"/>
    <x v="1"/>
    <n v="16"/>
    <n v="4"/>
    <s v="Medical"/>
    <n v="832"/>
    <n v="1"/>
    <x v="1"/>
    <n v="51"/>
    <n v="2"/>
    <n v="2"/>
    <x v="2"/>
    <n v="3"/>
    <x v="0"/>
    <n v="5094"/>
    <n v="6"/>
    <x v="1"/>
    <n v="14"/>
    <n v="3"/>
    <n v="4"/>
    <n v="0"/>
    <n v="10"/>
    <n v="6"/>
    <n v="3"/>
    <n v="1"/>
    <n v="0"/>
    <n v="0"/>
    <n v="0"/>
    <x v="1"/>
    <x v="1"/>
    <x v="2"/>
    <x v="3"/>
    <x v="1"/>
    <x v="0"/>
    <x v="2"/>
    <x v="1"/>
    <s v="No Options"/>
    <x v="1"/>
    <x v="0"/>
    <x v="0"/>
    <x v="1"/>
  </r>
  <r>
    <n v="30"/>
    <x v="1"/>
    <s v="Travel_Rarely"/>
    <n v="946"/>
    <x v="1"/>
    <n v="2"/>
    <n v="3"/>
    <s v="Medical"/>
    <n v="833"/>
    <n v="3"/>
    <x v="0"/>
    <n v="52"/>
    <n v="2"/>
    <n v="2"/>
    <x v="3"/>
    <n v="4"/>
    <x v="0"/>
    <n v="6877"/>
    <n v="5"/>
    <x v="0"/>
    <n v="24"/>
    <n v="4"/>
    <n v="2"/>
    <n v="0"/>
    <n v="12"/>
    <n v="4"/>
    <n v="2"/>
    <n v="0"/>
    <n v="0"/>
    <n v="0"/>
    <n v="0"/>
    <x v="1"/>
    <x v="0"/>
    <x v="3"/>
    <x v="1"/>
    <x v="1"/>
    <x v="0"/>
    <x v="0"/>
    <x v="2"/>
    <s v="No Options"/>
    <x v="2"/>
    <x v="2"/>
    <x v="0"/>
    <x v="1"/>
  </r>
  <r>
    <n v="45"/>
    <x v="1"/>
    <s v="Travel_Rarely"/>
    <n v="252"/>
    <x v="1"/>
    <n v="2"/>
    <n v="3"/>
    <s v="Life Sciences"/>
    <n v="834"/>
    <n v="2"/>
    <x v="0"/>
    <n v="95"/>
    <n v="2"/>
    <n v="1"/>
    <x v="1"/>
    <n v="3"/>
    <x v="0"/>
    <n v="2274"/>
    <n v="1"/>
    <x v="1"/>
    <n v="14"/>
    <n v="3"/>
    <n v="4"/>
    <n v="0"/>
    <n v="1"/>
    <n v="3"/>
    <n v="3"/>
    <n v="1"/>
    <n v="0"/>
    <n v="0"/>
    <n v="0"/>
    <x v="1"/>
    <x v="1"/>
    <x v="3"/>
    <x v="0"/>
    <x v="1"/>
    <x v="1"/>
    <x v="2"/>
    <x v="1"/>
    <s v="No Options"/>
    <x v="1"/>
    <x v="1"/>
    <x v="1"/>
    <x v="1"/>
  </r>
  <r>
    <n v="42"/>
    <x v="1"/>
    <s v="Travel_Rarely"/>
    <n v="933"/>
    <x v="1"/>
    <n v="29"/>
    <n v="3"/>
    <s v="Life Sciences"/>
    <n v="836"/>
    <n v="2"/>
    <x v="1"/>
    <n v="98"/>
    <n v="3"/>
    <n v="2"/>
    <x v="3"/>
    <n v="2"/>
    <x v="1"/>
    <n v="4434"/>
    <n v="1"/>
    <x v="1"/>
    <n v="13"/>
    <n v="3"/>
    <n v="4"/>
    <n v="1"/>
    <n v="10"/>
    <n v="3"/>
    <n v="2"/>
    <n v="9"/>
    <n v="8"/>
    <n v="7"/>
    <n v="8"/>
    <x v="1"/>
    <x v="1"/>
    <x v="3"/>
    <x v="0"/>
    <x v="0"/>
    <x v="0"/>
    <x v="1"/>
    <x v="1"/>
    <s v="Low"/>
    <x v="2"/>
    <x v="0"/>
    <x v="0"/>
    <x v="0"/>
  </r>
  <r>
    <n v="38"/>
    <x v="1"/>
    <s v="Travel_Frequently"/>
    <n v="471"/>
    <x v="1"/>
    <n v="12"/>
    <n v="3"/>
    <s v="Life Sciences"/>
    <n v="837"/>
    <n v="1"/>
    <x v="1"/>
    <n v="45"/>
    <n v="2"/>
    <n v="2"/>
    <x v="4"/>
    <n v="1"/>
    <x v="2"/>
    <n v="6288"/>
    <n v="2"/>
    <x v="1"/>
    <n v="15"/>
    <n v="3"/>
    <n v="3"/>
    <n v="1"/>
    <n v="13"/>
    <n v="3"/>
    <n v="2"/>
    <n v="4"/>
    <n v="3"/>
    <n v="1"/>
    <n v="2"/>
    <x v="1"/>
    <x v="1"/>
    <x v="3"/>
    <x v="3"/>
    <x v="1"/>
    <x v="0"/>
    <x v="3"/>
    <x v="3"/>
    <s v="Low"/>
    <x v="2"/>
    <x v="0"/>
    <x v="0"/>
    <x v="2"/>
  </r>
  <r>
    <n v="34"/>
    <x v="1"/>
    <s v="Travel_Frequently"/>
    <n v="702"/>
    <x v="1"/>
    <n v="16"/>
    <n v="4"/>
    <s v="Life Sciences"/>
    <n v="838"/>
    <n v="3"/>
    <x v="0"/>
    <n v="100"/>
    <n v="2"/>
    <n v="1"/>
    <x v="1"/>
    <n v="4"/>
    <x v="0"/>
    <n v="2553"/>
    <n v="1"/>
    <x v="1"/>
    <n v="16"/>
    <n v="3"/>
    <n v="3"/>
    <n v="0"/>
    <n v="6"/>
    <n v="3"/>
    <n v="3"/>
    <n v="5"/>
    <n v="2"/>
    <n v="1"/>
    <n v="3"/>
    <x v="1"/>
    <x v="1"/>
    <x v="2"/>
    <x v="1"/>
    <x v="1"/>
    <x v="1"/>
    <x v="0"/>
    <x v="3"/>
    <s v="No Options"/>
    <x v="1"/>
    <x v="2"/>
    <x v="1"/>
    <x v="2"/>
  </r>
  <r>
    <n v="49"/>
    <x v="0"/>
    <s v="Travel_Rarely"/>
    <n v="1184"/>
    <x v="0"/>
    <n v="11"/>
    <n v="3"/>
    <s v="Marketing"/>
    <n v="840"/>
    <n v="3"/>
    <x v="0"/>
    <n v="43"/>
    <n v="3"/>
    <n v="3"/>
    <x v="0"/>
    <n v="4"/>
    <x v="1"/>
    <n v="7654"/>
    <n v="1"/>
    <x v="1"/>
    <n v="18"/>
    <n v="3"/>
    <n v="1"/>
    <n v="2"/>
    <n v="9"/>
    <n v="3"/>
    <n v="4"/>
    <n v="9"/>
    <n v="8"/>
    <n v="7"/>
    <n v="7"/>
    <x v="0"/>
    <x v="1"/>
    <x v="3"/>
    <x v="1"/>
    <x v="0"/>
    <x v="2"/>
    <x v="0"/>
    <x v="0"/>
    <s v="Medium"/>
    <x v="3"/>
    <x v="1"/>
    <x v="2"/>
    <x v="0"/>
  </r>
  <r>
    <n v="55"/>
    <x v="0"/>
    <s v="Travel_Rarely"/>
    <n v="436"/>
    <x v="0"/>
    <n v="2"/>
    <n v="1"/>
    <s v="Medical"/>
    <n v="842"/>
    <n v="3"/>
    <x v="1"/>
    <n v="37"/>
    <n v="3"/>
    <n v="2"/>
    <x v="0"/>
    <n v="4"/>
    <x v="0"/>
    <n v="5160"/>
    <n v="4"/>
    <x v="1"/>
    <n v="16"/>
    <n v="3"/>
    <n v="3"/>
    <n v="0"/>
    <n v="12"/>
    <n v="3"/>
    <n v="2"/>
    <n v="9"/>
    <n v="7"/>
    <n v="7"/>
    <n v="3"/>
    <x v="0"/>
    <x v="1"/>
    <x v="1"/>
    <x v="1"/>
    <x v="0"/>
    <x v="0"/>
    <x v="0"/>
    <x v="3"/>
    <s v="No Options"/>
    <x v="2"/>
    <x v="3"/>
    <x v="0"/>
    <x v="0"/>
  </r>
  <r>
    <n v="43"/>
    <x v="1"/>
    <s v="Travel_Rarely"/>
    <n v="589"/>
    <x v="1"/>
    <n v="14"/>
    <n v="2"/>
    <s v="Life Sciences"/>
    <n v="843"/>
    <n v="2"/>
    <x v="1"/>
    <n v="94"/>
    <n v="3"/>
    <n v="4"/>
    <x v="7"/>
    <n v="1"/>
    <x v="1"/>
    <n v="17159"/>
    <n v="6"/>
    <x v="1"/>
    <n v="24"/>
    <n v="4"/>
    <n v="3"/>
    <n v="1"/>
    <n v="22"/>
    <n v="3"/>
    <n v="3"/>
    <n v="4"/>
    <n v="1"/>
    <n v="1"/>
    <n v="0"/>
    <x v="1"/>
    <x v="1"/>
    <x v="0"/>
    <x v="0"/>
    <x v="0"/>
    <x v="3"/>
    <x v="3"/>
    <x v="3"/>
    <s v="Low"/>
    <x v="1"/>
    <x v="0"/>
    <x v="3"/>
    <x v="2"/>
  </r>
  <r>
    <n v="27"/>
    <x v="1"/>
    <s v="Travel_Rarely"/>
    <n v="269"/>
    <x v="1"/>
    <n v="5"/>
    <n v="1"/>
    <s v="Technical Degree"/>
    <n v="844"/>
    <n v="3"/>
    <x v="1"/>
    <n v="42"/>
    <n v="2"/>
    <n v="3"/>
    <x v="7"/>
    <n v="4"/>
    <x v="2"/>
    <n v="12808"/>
    <n v="1"/>
    <x v="0"/>
    <n v="16"/>
    <n v="3"/>
    <n v="2"/>
    <n v="1"/>
    <n v="9"/>
    <n v="3"/>
    <n v="3"/>
    <n v="9"/>
    <n v="8"/>
    <n v="0"/>
    <n v="8"/>
    <x v="1"/>
    <x v="0"/>
    <x v="1"/>
    <x v="1"/>
    <x v="1"/>
    <x v="2"/>
    <x v="0"/>
    <x v="2"/>
    <s v="Low"/>
    <x v="1"/>
    <x v="2"/>
    <x v="2"/>
    <x v="0"/>
  </r>
  <r>
    <n v="35"/>
    <x v="1"/>
    <s v="Travel_Rarely"/>
    <n v="950"/>
    <x v="1"/>
    <n v="7"/>
    <n v="3"/>
    <s v="Other"/>
    <n v="845"/>
    <n v="3"/>
    <x v="1"/>
    <n v="59"/>
    <n v="3"/>
    <n v="3"/>
    <x v="3"/>
    <n v="3"/>
    <x v="0"/>
    <n v="10221"/>
    <n v="3"/>
    <x v="1"/>
    <n v="21"/>
    <n v="4"/>
    <n v="2"/>
    <n v="0"/>
    <n v="17"/>
    <n v="3"/>
    <n v="4"/>
    <n v="8"/>
    <n v="5"/>
    <n v="1"/>
    <n v="6"/>
    <x v="1"/>
    <x v="1"/>
    <x v="3"/>
    <x v="1"/>
    <x v="0"/>
    <x v="2"/>
    <x v="2"/>
    <x v="2"/>
    <s v="No Options"/>
    <x v="3"/>
    <x v="0"/>
    <x v="2"/>
    <x v="0"/>
  </r>
  <r>
    <n v="28"/>
    <x v="1"/>
    <s v="Travel_Rarely"/>
    <n v="760"/>
    <x v="0"/>
    <n v="2"/>
    <n v="4"/>
    <s v="Marketing"/>
    <n v="846"/>
    <n v="2"/>
    <x v="0"/>
    <n v="81"/>
    <n v="3"/>
    <n v="2"/>
    <x v="0"/>
    <n v="2"/>
    <x v="1"/>
    <n v="4779"/>
    <n v="1"/>
    <x v="0"/>
    <n v="20"/>
    <n v="4"/>
    <n v="1"/>
    <n v="0"/>
    <n v="8"/>
    <n v="2"/>
    <n v="3"/>
    <n v="8"/>
    <n v="7"/>
    <n v="7"/>
    <n v="5"/>
    <x v="1"/>
    <x v="0"/>
    <x v="2"/>
    <x v="0"/>
    <x v="0"/>
    <x v="0"/>
    <x v="1"/>
    <x v="0"/>
    <s v="No Options"/>
    <x v="1"/>
    <x v="2"/>
    <x v="0"/>
    <x v="0"/>
  </r>
  <r>
    <n v="34"/>
    <x v="1"/>
    <s v="Travel_Rarely"/>
    <n v="829"/>
    <x v="2"/>
    <n v="3"/>
    <n v="2"/>
    <s v="Human Resources"/>
    <n v="847"/>
    <n v="3"/>
    <x v="1"/>
    <n v="88"/>
    <n v="3"/>
    <n v="1"/>
    <x v="8"/>
    <n v="4"/>
    <x v="1"/>
    <n v="3737"/>
    <n v="0"/>
    <x v="1"/>
    <n v="19"/>
    <n v="3"/>
    <n v="3"/>
    <n v="1"/>
    <n v="4"/>
    <n v="1"/>
    <n v="1"/>
    <n v="3"/>
    <n v="2"/>
    <n v="0"/>
    <n v="2"/>
    <x v="1"/>
    <x v="1"/>
    <x v="0"/>
    <x v="1"/>
    <x v="0"/>
    <x v="1"/>
    <x v="0"/>
    <x v="3"/>
    <s v="Low"/>
    <x v="0"/>
    <x v="2"/>
    <x v="0"/>
    <x v="2"/>
  </r>
  <r>
    <n v="26"/>
    <x v="0"/>
    <s v="Travel_Frequently"/>
    <n v="887"/>
    <x v="1"/>
    <n v="5"/>
    <n v="2"/>
    <s v="Medical"/>
    <n v="848"/>
    <n v="3"/>
    <x v="0"/>
    <n v="88"/>
    <n v="2"/>
    <n v="1"/>
    <x v="1"/>
    <n v="3"/>
    <x v="1"/>
    <n v="2366"/>
    <n v="1"/>
    <x v="0"/>
    <n v="14"/>
    <n v="3"/>
    <n v="1"/>
    <n v="1"/>
    <n v="8"/>
    <n v="2"/>
    <n v="3"/>
    <n v="8"/>
    <n v="7"/>
    <n v="1"/>
    <n v="7"/>
    <x v="0"/>
    <x v="0"/>
    <x v="0"/>
    <x v="1"/>
    <x v="1"/>
    <x v="1"/>
    <x v="2"/>
    <x v="0"/>
    <s v="Low"/>
    <x v="1"/>
    <x v="2"/>
    <x v="1"/>
    <x v="0"/>
  </r>
  <r>
    <n v="27"/>
    <x v="1"/>
    <s v="Non-Travel"/>
    <n v="443"/>
    <x v="1"/>
    <n v="3"/>
    <n v="3"/>
    <s v="Medical"/>
    <n v="850"/>
    <n v="4"/>
    <x v="1"/>
    <n v="50"/>
    <n v="3"/>
    <n v="1"/>
    <x v="1"/>
    <n v="4"/>
    <x v="1"/>
    <n v="1706"/>
    <n v="1"/>
    <x v="1"/>
    <n v="11"/>
    <n v="3"/>
    <n v="3"/>
    <n v="3"/>
    <n v="0"/>
    <n v="6"/>
    <n v="2"/>
    <n v="0"/>
    <n v="0"/>
    <n v="0"/>
    <n v="0"/>
    <x v="1"/>
    <x v="1"/>
    <x v="3"/>
    <x v="2"/>
    <x v="0"/>
    <x v="1"/>
    <x v="0"/>
    <x v="3"/>
    <s v="High"/>
    <x v="2"/>
    <x v="2"/>
    <x v="1"/>
    <x v="1"/>
  </r>
  <r>
    <n v="51"/>
    <x v="1"/>
    <s v="Travel_Rarely"/>
    <n v="1318"/>
    <x v="0"/>
    <n v="26"/>
    <n v="4"/>
    <s v="Marketing"/>
    <n v="851"/>
    <n v="1"/>
    <x v="0"/>
    <n v="66"/>
    <n v="3"/>
    <n v="4"/>
    <x v="5"/>
    <n v="3"/>
    <x v="1"/>
    <n v="16307"/>
    <n v="2"/>
    <x v="1"/>
    <n v="14"/>
    <n v="3"/>
    <n v="3"/>
    <n v="1"/>
    <n v="29"/>
    <n v="2"/>
    <n v="2"/>
    <n v="20"/>
    <n v="6"/>
    <n v="4"/>
    <n v="17"/>
    <x v="1"/>
    <x v="1"/>
    <x v="2"/>
    <x v="3"/>
    <x v="0"/>
    <x v="3"/>
    <x v="2"/>
    <x v="3"/>
    <s v="Low"/>
    <x v="2"/>
    <x v="1"/>
    <x v="3"/>
    <x v="4"/>
  </r>
  <r>
    <n v="44"/>
    <x v="1"/>
    <s v="Travel_Rarely"/>
    <n v="625"/>
    <x v="1"/>
    <n v="4"/>
    <n v="3"/>
    <s v="Medical"/>
    <n v="852"/>
    <n v="4"/>
    <x v="1"/>
    <n v="50"/>
    <n v="3"/>
    <n v="2"/>
    <x v="4"/>
    <n v="2"/>
    <x v="0"/>
    <n v="5933"/>
    <n v="9"/>
    <x v="1"/>
    <n v="12"/>
    <n v="3"/>
    <n v="4"/>
    <n v="0"/>
    <n v="10"/>
    <n v="2"/>
    <n v="2"/>
    <n v="5"/>
    <n v="2"/>
    <n v="2"/>
    <n v="3"/>
    <x v="1"/>
    <x v="1"/>
    <x v="3"/>
    <x v="2"/>
    <x v="0"/>
    <x v="0"/>
    <x v="1"/>
    <x v="1"/>
    <s v="No Options"/>
    <x v="2"/>
    <x v="0"/>
    <x v="0"/>
    <x v="2"/>
  </r>
  <r>
    <n v="25"/>
    <x v="1"/>
    <s v="Travel_Rarely"/>
    <n v="180"/>
    <x v="1"/>
    <n v="2"/>
    <n v="1"/>
    <s v="Medical"/>
    <n v="854"/>
    <n v="1"/>
    <x v="1"/>
    <n v="65"/>
    <n v="4"/>
    <n v="1"/>
    <x v="1"/>
    <n v="1"/>
    <x v="0"/>
    <n v="3424"/>
    <n v="7"/>
    <x v="1"/>
    <n v="13"/>
    <n v="3"/>
    <n v="3"/>
    <n v="0"/>
    <n v="6"/>
    <n v="3"/>
    <n v="2"/>
    <n v="4"/>
    <n v="3"/>
    <n v="0"/>
    <n v="1"/>
    <x v="1"/>
    <x v="1"/>
    <x v="1"/>
    <x v="3"/>
    <x v="2"/>
    <x v="1"/>
    <x v="3"/>
    <x v="3"/>
    <s v="No Options"/>
    <x v="2"/>
    <x v="2"/>
    <x v="0"/>
    <x v="2"/>
  </r>
  <r>
    <n v="33"/>
    <x v="1"/>
    <s v="Travel_Rarely"/>
    <n v="586"/>
    <x v="0"/>
    <n v="1"/>
    <n v="3"/>
    <s v="Medical"/>
    <n v="855"/>
    <n v="1"/>
    <x v="1"/>
    <n v="48"/>
    <n v="4"/>
    <n v="2"/>
    <x v="0"/>
    <n v="1"/>
    <x v="2"/>
    <n v="4037"/>
    <n v="1"/>
    <x v="1"/>
    <n v="22"/>
    <n v="4"/>
    <n v="1"/>
    <n v="1"/>
    <n v="9"/>
    <n v="5"/>
    <n v="3"/>
    <n v="9"/>
    <n v="8"/>
    <n v="0"/>
    <n v="8"/>
    <x v="1"/>
    <x v="1"/>
    <x v="3"/>
    <x v="3"/>
    <x v="2"/>
    <x v="0"/>
    <x v="3"/>
    <x v="0"/>
    <s v="Low"/>
    <x v="1"/>
    <x v="2"/>
    <x v="0"/>
    <x v="0"/>
  </r>
  <r>
    <n v="35"/>
    <x v="1"/>
    <s v="Travel_Rarely"/>
    <n v="1343"/>
    <x v="1"/>
    <n v="27"/>
    <n v="1"/>
    <s v="Medical"/>
    <n v="856"/>
    <n v="3"/>
    <x v="0"/>
    <n v="53"/>
    <n v="2"/>
    <n v="1"/>
    <x v="1"/>
    <n v="1"/>
    <x v="0"/>
    <n v="2559"/>
    <n v="1"/>
    <x v="1"/>
    <n v="11"/>
    <n v="3"/>
    <n v="4"/>
    <n v="0"/>
    <n v="6"/>
    <n v="3"/>
    <n v="2"/>
    <n v="6"/>
    <n v="5"/>
    <n v="1"/>
    <n v="1"/>
    <x v="1"/>
    <x v="1"/>
    <x v="1"/>
    <x v="1"/>
    <x v="1"/>
    <x v="1"/>
    <x v="3"/>
    <x v="1"/>
    <s v="No Options"/>
    <x v="2"/>
    <x v="0"/>
    <x v="1"/>
    <x v="0"/>
  </r>
  <r>
    <n v="36"/>
    <x v="1"/>
    <s v="Travel_Rarely"/>
    <n v="928"/>
    <x v="0"/>
    <n v="1"/>
    <n v="2"/>
    <s v="Life Sciences"/>
    <n v="857"/>
    <n v="2"/>
    <x v="1"/>
    <n v="56"/>
    <n v="3"/>
    <n v="2"/>
    <x v="0"/>
    <n v="4"/>
    <x v="1"/>
    <n v="6201"/>
    <n v="1"/>
    <x v="0"/>
    <n v="14"/>
    <n v="3"/>
    <n v="4"/>
    <n v="1"/>
    <n v="18"/>
    <n v="1"/>
    <n v="2"/>
    <n v="18"/>
    <n v="14"/>
    <n v="4"/>
    <n v="11"/>
    <x v="1"/>
    <x v="0"/>
    <x v="0"/>
    <x v="0"/>
    <x v="0"/>
    <x v="0"/>
    <x v="0"/>
    <x v="1"/>
    <s v="Low"/>
    <x v="2"/>
    <x v="0"/>
    <x v="0"/>
    <x v="4"/>
  </r>
  <r>
    <n v="32"/>
    <x v="1"/>
    <s v="Travel_Rarely"/>
    <n v="117"/>
    <x v="0"/>
    <n v="13"/>
    <n v="4"/>
    <s v="Life Sciences"/>
    <n v="859"/>
    <n v="2"/>
    <x v="1"/>
    <n v="73"/>
    <n v="3"/>
    <n v="2"/>
    <x v="0"/>
    <n v="4"/>
    <x v="2"/>
    <n v="4403"/>
    <n v="2"/>
    <x v="1"/>
    <n v="11"/>
    <n v="3"/>
    <n v="3"/>
    <n v="1"/>
    <n v="8"/>
    <n v="3"/>
    <n v="2"/>
    <n v="5"/>
    <n v="2"/>
    <n v="0"/>
    <n v="3"/>
    <x v="1"/>
    <x v="1"/>
    <x v="2"/>
    <x v="0"/>
    <x v="0"/>
    <x v="0"/>
    <x v="0"/>
    <x v="3"/>
    <s v="Low"/>
    <x v="2"/>
    <x v="2"/>
    <x v="0"/>
    <x v="2"/>
  </r>
  <r>
    <n v="30"/>
    <x v="1"/>
    <s v="Travel_Frequently"/>
    <n v="1012"/>
    <x v="1"/>
    <n v="5"/>
    <n v="4"/>
    <s v="Life Sciences"/>
    <n v="861"/>
    <n v="2"/>
    <x v="1"/>
    <n v="75"/>
    <n v="2"/>
    <n v="1"/>
    <x v="1"/>
    <n v="4"/>
    <x v="2"/>
    <n v="3761"/>
    <n v="9"/>
    <x v="1"/>
    <n v="12"/>
    <n v="3"/>
    <n v="2"/>
    <n v="1"/>
    <n v="10"/>
    <n v="3"/>
    <n v="2"/>
    <n v="5"/>
    <n v="4"/>
    <n v="0"/>
    <n v="3"/>
    <x v="1"/>
    <x v="1"/>
    <x v="2"/>
    <x v="0"/>
    <x v="1"/>
    <x v="1"/>
    <x v="0"/>
    <x v="2"/>
    <s v="Low"/>
    <x v="2"/>
    <x v="2"/>
    <x v="0"/>
    <x v="2"/>
  </r>
  <r>
    <n v="53"/>
    <x v="1"/>
    <s v="Travel_Rarely"/>
    <n v="661"/>
    <x v="0"/>
    <n v="7"/>
    <n v="2"/>
    <s v="Marketing"/>
    <n v="862"/>
    <n v="1"/>
    <x v="0"/>
    <n v="78"/>
    <n v="2"/>
    <n v="3"/>
    <x v="0"/>
    <n v="4"/>
    <x v="1"/>
    <n v="10934"/>
    <n v="7"/>
    <x v="0"/>
    <n v="18"/>
    <n v="3"/>
    <n v="4"/>
    <n v="1"/>
    <n v="35"/>
    <n v="3"/>
    <n v="3"/>
    <n v="5"/>
    <n v="2"/>
    <n v="0"/>
    <n v="4"/>
    <x v="1"/>
    <x v="0"/>
    <x v="0"/>
    <x v="3"/>
    <x v="1"/>
    <x v="2"/>
    <x v="0"/>
    <x v="1"/>
    <s v="Low"/>
    <x v="1"/>
    <x v="1"/>
    <x v="2"/>
    <x v="2"/>
  </r>
  <r>
    <n v="45"/>
    <x v="1"/>
    <s v="Travel_Rarely"/>
    <n v="930"/>
    <x v="0"/>
    <n v="9"/>
    <n v="3"/>
    <s v="Marketing"/>
    <n v="864"/>
    <n v="4"/>
    <x v="1"/>
    <n v="74"/>
    <n v="3"/>
    <n v="3"/>
    <x v="0"/>
    <n v="1"/>
    <x v="2"/>
    <n v="10761"/>
    <n v="4"/>
    <x v="0"/>
    <n v="12"/>
    <n v="3"/>
    <n v="3"/>
    <n v="1"/>
    <n v="18"/>
    <n v="2"/>
    <n v="3"/>
    <n v="5"/>
    <n v="4"/>
    <n v="0"/>
    <n v="2"/>
    <x v="1"/>
    <x v="0"/>
    <x v="3"/>
    <x v="2"/>
    <x v="0"/>
    <x v="2"/>
    <x v="3"/>
    <x v="3"/>
    <s v="Low"/>
    <x v="1"/>
    <x v="1"/>
    <x v="2"/>
    <x v="2"/>
  </r>
  <r>
    <n v="32"/>
    <x v="1"/>
    <s v="Travel_Rarely"/>
    <n v="638"/>
    <x v="1"/>
    <n v="8"/>
    <n v="2"/>
    <s v="Medical"/>
    <n v="865"/>
    <n v="3"/>
    <x v="0"/>
    <n v="91"/>
    <n v="4"/>
    <n v="2"/>
    <x v="1"/>
    <n v="3"/>
    <x v="1"/>
    <n v="5175"/>
    <n v="5"/>
    <x v="1"/>
    <n v="12"/>
    <n v="3"/>
    <n v="3"/>
    <n v="1"/>
    <n v="9"/>
    <n v="3"/>
    <n v="2"/>
    <n v="5"/>
    <n v="3"/>
    <n v="1"/>
    <n v="3"/>
    <x v="1"/>
    <x v="1"/>
    <x v="0"/>
    <x v="1"/>
    <x v="2"/>
    <x v="0"/>
    <x v="2"/>
    <x v="3"/>
    <s v="Low"/>
    <x v="2"/>
    <x v="2"/>
    <x v="0"/>
    <x v="2"/>
  </r>
  <r>
    <n v="52"/>
    <x v="1"/>
    <s v="Travel_Frequently"/>
    <n v="890"/>
    <x v="1"/>
    <n v="25"/>
    <n v="4"/>
    <s v="Medical"/>
    <n v="867"/>
    <n v="3"/>
    <x v="0"/>
    <n v="81"/>
    <n v="2"/>
    <n v="4"/>
    <x v="3"/>
    <n v="4"/>
    <x v="1"/>
    <n v="13826"/>
    <n v="3"/>
    <x v="1"/>
    <n v="22"/>
    <n v="4"/>
    <n v="3"/>
    <n v="0"/>
    <n v="31"/>
    <n v="3"/>
    <n v="3"/>
    <n v="9"/>
    <n v="8"/>
    <n v="0"/>
    <n v="0"/>
    <x v="1"/>
    <x v="1"/>
    <x v="2"/>
    <x v="1"/>
    <x v="1"/>
    <x v="3"/>
    <x v="0"/>
    <x v="3"/>
    <s v="No Options"/>
    <x v="1"/>
    <x v="1"/>
    <x v="3"/>
    <x v="0"/>
  </r>
  <r>
    <n v="37"/>
    <x v="1"/>
    <s v="Travel_Rarely"/>
    <n v="342"/>
    <x v="0"/>
    <n v="16"/>
    <n v="4"/>
    <s v="Marketing"/>
    <n v="868"/>
    <n v="4"/>
    <x v="1"/>
    <n v="66"/>
    <n v="2"/>
    <n v="2"/>
    <x v="0"/>
    <n v="3"/>
    <x v="2"/>
    <n v="6334"/>
    <n v="4"/>
    <x v="1"/>
    <n v="19"/>
    <n v="3"/>
    <n v="4"/>
    <n v="2"/>
    <n v="9"/>
    <n v="2"/>
    <n v="3"/>
    <n v="1"/>
    <n v="0"/>
    <n v="0"/>
    <n v="0"/>
    <x v="1"/>
    <x v="1"/>
    <x v="2"/>
    <x v="2"/>
    <x v="1"/>
    <x v="0"/>
    <x v="2"/>
    <x v="1"/>
    <s v="Medium"/>
    <x v="1"/>
    <x v="0"/>
    <x v="0"/>
    <x v="1"/>
  </r>
  <r>
    <n v="28"/>
    <x v="1"/>
    <s v="Travel_Rarely"/>
    <n v="1169"/>
    <x v="2"/>
    <n v="8"/>
    <n v="2"/>
    <s v="Medical"/>
    <n v="869"/>
    <n v="2"/>
    <x v="1"/>
    <n v="63"/>
    <n v="2"/>
    <n v="1"/>
    <x v="8"/>
    <n v="4"/>
    <x v="2"/>
    <n v="4936"/>
    <n v="1"/>
    <x v="1"/>
    <n v="13"/>
    <n v="3"/>
    <n v="4"/>
    <n v="1"/>
    <n v="6"/>
    <n v="6"/>
    <n v="3"/>
    <n v="5"/>
    <n v="1"/>
    <n v="0"/>
    <n v="4"/>
    <x v="1"/>
    <x v="1"/>
    <x v="0"/>
    <x v="0"/>
    <x v="1"/>
    <x v="1"/>
    <x v="0"/>
    <x v="1"/>
    <s v="Low"/>
    <x v="1"/>
    <x v="2"/>
    <x v="0"/>
    <x v="2"/>
  </r>
  <r>
    <n v="22"/>
    <x v="1"/>
    <s v="Travel_Rarely"/>
    <n v="1230"/>
    <x v="1"/>
    <n v="1"/>
    <n v="2"/>
    <s v="Life Sciences"/>
    <n v="872"/>
    <n v="4"/>
    <x v="1"/>
    <n v="33"/>
    <n v="2"/>
    <n v="2"/>
    <x v="3"/>
    <n v="4"/>
    <x v="1"/>
    <n v="4775"/>
    <n v="6"/>
    <x v="1"/>
    <n v="22"/>
    <n v="4"/>
    <n v="1"/>
    <n v="2"/>
    <n v="4"/>
    <n v="2"/>
    <n v="1"/>
    <n v="2"/>
    <n v="2"/>
    <n v="2"/>
    <n v="2"/>
    <x v="1"/>
    <x v="1"/>
    <x v="0"/>
    <x v="2"/>
    <x v="1"/>
    <x v="0"/>
    <x v="0"/>
    <x v="0"/>
    <s v="Medium"/>
    <x v="0"/>
    <x v="4"/>
    <x v="0"/>
    <x v="1"/>
  </r>
  <r>
    <n v="44"/>
    <x v="1"/>
    <s v="Travel_Rarely"/>
    <n v="986"/>
    <x v="1"/>
    <n v="8"/>
    <n v="4"/>
    <s v="Life Sciences"/>
    <n v="874"/>
    <n v="1"/>
    <x v="1"/>
    <n v="62"/>
    <n v="4"/>
    <n v="1"/>
    <x v="2"/>
    <n v="4"/>
    <x v="1"/>
    <n v="2818"/>
    <n v="2"/>
    <x v="0"/>
    <n v="24"/>
    <n v="4"/>
    <n v="3"/>
    <n v="1"/>
    <n v="10"/>
    <n v="2"/>
    <n v="2"/>
    <n v="3"/>
    <n v="2"/>
    <n v="0"/>
    <n v="2"/>
    <x v="1"/>
    <x v="0"/>
    <x v="2"/>
    <x v="3"/>
    <x v="2"/>
    <x v="1"/>
    <x v="0"/>
    <x v="3"/>
    <s v="Low"/>
    <x v="2"/>
    <x v="0"/>
    <x v="1"/>
    <x v="2"/>
  </r>
  <r>
    <n v="42"/>
    <x v="1"/>
    <s v="Travel_Frequently"/>
    <n v="1271"/>
    <x v="1"/>
    <n v="2"/>
    <n v="1"/>
    <s v="Medical"/>
    <n v="875"/>
    <n v="2"/>
    <x v="1"/>
    <n v="35"/>
    <n v="3"/>
    <n v="1"/>
    <x v="1"/>
    <n v="4"/>
    <x v="0"/>
    <n v="2515"/>
    <n v="5"/>
    <x v="0"/>
    <n v="14"/>
    <n v="3"/>
    <n v="4"/>
    <n v="0"/>
    <n v="8"/>
    <n v="2"/>
    <n v="3"/>
    <n v="2"/>
    <n v="1"/>
    <n v="2"/>
    <n v="2"/>
    <x v="1"/>
    <x v="0"/>
    <x v="1"/>
    <x v="0"/>
    <x v="0"/>
    <x v="1"/>
    <x v="0"/>
    <x v="1"/>
    <s v="No Options"/>
    <x v="1"/>
    <x v="0"/>
    <x v="1"/>
    <x v="1"/>
  </r>
  <r>
    <n v="36"/>
    <x v="1"/>
    <s v="Travel_Rarely"/>
    <n v="1278"/>
    <x v="2"/>
    <n v="8"/>
    <n v="3"/>
    <s v="Life Sciences"/>
    <n v="878"/>
    <n v="1"/>
    <x v="1"/>
    <n v="77"/>
    <n v="2"/>
    <n v="1"/>
    <x v="8"/>
    <n v="1"/>
    <x v="1"/>
    <n v="2342"/>
    <n v="0"/>
    <x v="1"/>
    <n v="21"/>
    <n v="4"/>
    <n v="3"/>
    <n v="0"/>
    <n v="6"/>
    <n v="3"/>
    <n v="3"/>
    <n v="5"/>
    <n v="4"/>
    <n v="0"/>
    <n v="3"/>
    <x v="1"/>
    <x v="1"/>
    <x v="3"/>
    <x v="3"/>
    <x v="1"/>
    <x v="1"/>
    <x v="3"/>
    <x v="3"/>
    <s v="No Options"/>
    <x v="1"/>
    <x v="0"/>
    <x v="1"/>
    <x v="2"/>
  </r>
  <r>
    <n v="25"/>
    <x v="1"/>
    <s v="Travel_Rarely"/>
    <n v="141"/>
    <x v="0"/>
    <n v="3"/>
    <n v="1"/>
    <s v="Other"/>
    <n v="879"/>
    <n v="3"/>
    <x v="1"/>
    <n v="98"/>
    <n v="3"/>
    <n v="2"/>
    <x v="0"/>
    <n v="1"/>
    <x v="1"/>
    <n v="4194"/>
    <n v="1"/>
    <x v="0"/>
    <n v="18"/>
    <n v="3"/>
    <n v="4"/>
    <n v="0"/>
    <n v="5"/>
    <n v="3"/>
    <n v="3"/>
    <n v="5"/>
    <n v="3"/>
    <n v="0"/>
    <n v="3"/>
    <x v="1"/>
    <x v="0"/>
    <x v="1"/>
    <x v="1"/>
    <x v="0"/>
    <x v="0"/>
    <x v="3"/>
    <x v="1"/>
    <s v="No Options"/>
    <x v="1"/>
    <x v="2"/>
    <x v="0"/>
    <x v="2"/>
  </r>
  <r>
    <n v="35"/>
    <x v="1"/>
    <s v="Travel_Rarely"/>
    <n v="607"/>
    <x v="1"/>
    <n v="9"/>
    <n v="3"/>
    <s v="Life Sciences"/>
    <n v="880"/>
    <n v="4"/>
    <x v="0"/>
    <n v="66"/>
    <n v="2"/>
    <n v="3"/>
    <x v="3"/>
    <n v="3"/>
    <x v="1"/>
    <n v="10685"/>
    <n v="1"/>
    <x v="0"/>
    <n v="20"/>
    <n v="4"/>
    <n v="2"/>
    <n v="1"/>
    <n v="17"/>
    <n v="2"/>
    <n v="3"/>
    <n v="17"/>
    <n v="14"/>
    <n v="5"/>
    <n v="15"/>
    <x v="1"/>
    <x v="0"/>
    <x v="3"/>
    <x v="2"/>
    <x v="1"/>
    <x v="2"/>
    <x v="2"/>
    <x v="2"/>
    <s v="Low"/>
    <x v="1"/>
    <x v="0"/>
    <x v="2"/>
    <x v="4"/>
  </r>
  <r>
    <n v="35"/>
    <x v="0"/>
    <s v="Travel_Frequently"/>
    <n v="130"/>
    <x v="1"/>
    <n v="25"/>
    <n v="4"/>
    <s v="Life Sciences"/>
    <n v="881"/>
    <n v="4"/>
    <x v="0"/>
    <n v="96"/>
    <n v="3"/>
    <n v="1"/>
    <x v="1"/>
    <n v="2"/>
    <x v="2"/>
    <n v="2022"/>
    <n v="1"/>
    <x v="0"/>
    <n v="19"/>
    <n v="3"/>
    <n v="1"/>
    <n v="1"/>
    <n v="10"/>
    <n v="3"/>
    <n v="2"/>
    <n v="10"/>
    <n v="2"/>
    <n v="7"/>
    <n v="8"/>
    <x v="0"/>
    <x v="0"/>
    <x v="2"/>
    <x v="2"/>
    <x v="0"/>
    <x v="1"/>
    <x v="1"/>
    <x v="0"/>
    <s v="Low"/>
    <x v="2"/>
    <x v="0"/>
    <x v="1"/>
    <x v="0"/>
  </r>
  <r>
    <n v="32"/>
    <x v="1"/>
    <s v="Non-Travel"/>
    <n v="300"/>
    <x v="1"/>
    <n v="1"/>
    <n v="3"/>
    <s v="Life Sciences"/>
    <n v="882"/>
    <n v="4"/>
    <x v="1"/>
    <n v="61"/>
    <n v="3"/>
    <n v="1"/>
    <x v="2"/>
    <n v="4"/>
    <x v="2"/>
    <n v="2314"/>
    <n v="0"/>
    <x v="1"/>
    <n v="12"/>
    <n v="3"/>
    <n v="2"/>
    <n v="1"/>
    <n v="4"/>
    <n v="2"/>
    <n v="3"/>
    <n v="3"/>
    <n v="0"/>
    <n v="0"/>
    <n v="2"/>
    <x v="1"/>
    <x v="1"/>
    <x v="3"/>
    <x v="2"/>
    <x v="0"/>
    <x v="1"/>
    <x v="0"/>
    <x v="2"/>
    <s v="Low"/>
    <x v="1"/>
    <x v="2"/>
    <x v="1"/>
    <x v="2"/>
  </r>
  <r>
    <n v="25"/>
    <x v="1"/>
    <s v="Travel_Rarely"/>
    <n v="583"/>
    <x v="0"/>
    <n v="4"/>
    <n v="1"/>
    <s v="Marketing"/>
    <n v="885"/>
    <n v="3"/>
    <x v="1"/>
    <n v="87"/>
    <n v="2"/>
    <n v="2"/>
    <x v="0"/>
    <n v="1"/>
    <x v="1"/>
    <n v="4256"/>
    <n v="1"/>
    <x v="1"/>
    <n v="12"/>
    <n v="3"/>
    <n v="1"/>
    <n v="0"/>
    <n v="5"/>
    <n v="1"/>
    <n v="4"/>
    <n v="5"/>
    <n v="2"/>
    <n v="0"/>
    <n v="3"/>
    <x v="1"/>
    <x v="1"/>
    <x v="1"/>
    <x v="1"/>
    <x v="1"/>
    <x v="0"/>
    <x v="3"/>
    <x v="0"/>
    <s v="No Options"/>
    <x v="3"/>
    <x v="2"/>
    <x v="0"/>
    <x v="2"/>
  </r>
  <r>
    <n v="49"/>
    <x v="1"/>
    <s v="Travel_Rarely"/>
    <n v="1418"/>
    <x v="1"/>
    <n v="1"/>
    <n v="3"/>
    <s v="Technical Degree"/>
    <n v="887"/>
    <n v="3"/>
    <x v="0"/>
    <n v="36"/>
    <n v="3"/>
    <n v="1"/>
    <x v="1"/>
    <n v="1"/>
    <x v="1"/>
    <n v="3580"/>
    <n v="2"/>
    <x v="1"/>
    <n v="16"/>
    <n v="3"/>
    <n v="2"/>
    <n v="1"/>
    <n v="7"/>
    <n v="2"/>
    <n v="3"/>
    <n v="4"/>
    <n v="2"/>
    <n v="0"/>
    <n v="2"/>
    <x v="1"/>
    <x v="1"/>
    <x v="3"/>
    <x v="1"/>
    <x v="0"/>
    <x v="1"/>
    <x v="3"/>
    <x v="2"/>
    <s v="Low"/>
    <x v="1"/>
    <x v="1"/>
    <x v="0"/>
    <x v="2"/>
  </r>
  <r>
    <n v="24"/>
    <x v="1"/>
    <s v="Non-Travel"/>
    <n v="1269"/>
    <x v="1"/>
    <n v="4"/>
    <n v="1"/>
    <s v="Life Sciences"/>
    <n v="888"/>
    <n v="1"/>
    <x v="1"/>
    <n v="46"/>
    <n v="2"/>
    <n v="1"/>
    <x v="2"/>
    <n v="4"/>
    <x v="1"/>
    <n v="3162"/>
    <n v="0"/>
    <x v="1"/>
    <n v="17"/>
    <n v="3"/>
    <n v="4"/>
    <n v="0"/>
    <n v="6"/>
    <n v="2"/>
    <n v="2"/>
    <n v="5"/>
    <n v="2"/>
    <n v="3"/>
    <n v="4"/>
    <x v="1"/>
    <x v="1"/>
    <x v="1"/>
    <x v="3"/>
    <x v="1"/>
    <x v="1"/>
    <x v="0"/>
    <x v="1"/>
    <s v="No Options"/>
    <x v="2"/>
    <x v="4"/>
    <x v="0"/>
    <x v="2"/>
  </r>
  <r>
    <n v="32"/>
    <x v="1"/>
    <s v="Travel_Frequently"/>
    <n v="379"/>
    <x v="0"/>
    <n v="5"/>
    <n v="2"/>
    <s v="Life Sciences"/>
    <n v="889"/>
    <n v="2"/>
    <x v="1"/>
    <n v="48"/>
    <n v="3"/>
    <n v="2"/>
    <x v="0"/>
    <n v="2"/>
    <x v="1"/>
    <n v="6524"/>
    <n v="1"/>
    <x v="1"/>
    <n v="14"/>
    <n v="3"/>
    <n v="4"/>
    <n v="1"/>
    <n v="10"/>
    <n v="3"/>
    <n v="3"/>
    <n v="10"/>
    <n v="8"/>
    <n v="5"/>
    <n v="3"/>
    <x v="1"/>
    <x v="1"/>
    <x v="0"/>
    <x v="0"/>
    <x v="0"/>
    <x v="0"/>
    <x v="1"/>
    <x v="1"/>
    <s v="Low"/>
    <x v="1"/>
    <x v="2"/>
    <x v="0"/>
    <x v="0"/>
  </r>
  <r>
    <n v="38"/>
    <x v="1"/>
    <s v="Travel_Rarely"/>
    <n v="395"/>
    <x v="0"/>
    <n v="9"/>
    <n v="3"/>
    <s v="Marketing"/>
    <n v="893"/>
    <n v="2"/>
    <x v="1"/>
    <n v="98"/>
    <n v="2"/>
    <n v="1"/>
    <x v="6"/>
    <n v="2"/>
    <x v="1"/>
    <n v="2899"/>
    <n v="0"/>
    <x v="1"/>
    <n v="19"/>
    <n v="3"/>
    <n v="4"/>
    <n v="1"/>
    <n v="3"/>
    <n v="3"/>
    <n v="3"/>
    <n v="2"/>
    <n v="2"/>
    <n v="1"/>
    <n v="2"/>
    <x v="1"/>
    <x v="1"/>
    <x v="3"/>
    <x v="0"/>
    <x v="1"/>
    <x v="1"/>
    <x v="1"/>
    <x v="1"/>
    <s v="Low"/>
    <x v="1"/>
    <x v="0"/>
    <x v="1"/>
    <x v="1"/>
  </r>
  <r>
    <n v="42"/>
    <x v="1"/>
    <s v="Travel_Rarely"/>
    <n v="1265"/>
    <x v="1"/>
    <n v="3"/>
    <n v="3"/>
    <s v="Life Sciences"/>
    <n v="894"/>
    <n v="3"/>
    <x v="0"/>
    <n v="95"/>
    <n v="4"/>
    <n v="2"/>
    <x v="2"/>
    <n v="4"/>
    <x v="1"/>
    <n v="5231"/>
    <n v="2"/>
    <x v="0"/>
    <n v="13"/>
    <n v="3"/>
    <n v="2"/>
    <n v="1"/>
    <n v="17"/>
    <n v="1"/>
    <n v="2"/>
    <n v="5"/>
    <n v="3"/>
    <n v="1"/>
    <n v="3"/>
    <x v="1"/>
    <x v="0"/>
    <x v="3"/>
    <x v="1"/>
    <x v="2"/>
    <x v="0"/>
    <x v="0"/>
    <x v="2"/>
    <s v="Low"/>
    <x v="2"/>
    <x v="0"/>
    <x v="0"/>
    <x v="2"/>
  </r>
  <r>
    <n v="31"/>
    <x v="1"/>
    <s v="Travel_Rarely"/>
    <n v="1222"/>
    <x v="1"/>
    <n v="11"/>
    <n v="4"/>
    <s v="Life Sciences"/>
    <n v="895"/>
    <n v="4"/>
    <x v="1"/>
    <n v="48"/>
    <n v="3"/>
    <n v="1"/>
    <x v="1"/>
    <n v="4"/>
    <x v="1"/>
    <n v="2356"/>
    <n v="3"/>
    <x v="0"/>
    <n v="19"/>
    <n v="3"/>
    <n v="2"/>
    <n v="1"/>
    <n v="8"/>
    <n v="2"/>
    <n v="3"/>
    <n v="6"/>
    <n v="4"/>
    <n v="0"/>
    <n v="2"/>
    <x v="1"/>
    <x v="0"/>
    <x v="2"/>
    <x v="2"/>
    <x v="0"/>
    <x v="1"/>
    <x v="0"/>
    <x v="2"/>
    <s v="Low"/>
    <x v="1"/>
    <x v="2"/>
    <x v="1"/>
    <x v="0"/>
  </r>
  <r>
    <n v="29"/>
    <x v="0"/>
    <s v="Travel_Rarely"/>
    <n v="341"/>
    <x v="0"/>
    <n v="1"/>
    <n v="3"/>
    <s v="Medical"/>
    <n v="896"/>
    <n v="2"/>
    <x v="0"/>
    <n v="48"/>
    <n v="2"/>
    <n v="1"/>
    <x v="6"/>
    <n v="3"/>
    <x v="2"/>
    <n v="2800"/>
    <n v="6"/>
    <x v="0"/>
    <n v="19"/>
    <n v="3"/>
    <n v="3"/>
    <n v="3"/>
    <n v="5"/>
    <n v="3"/>
    <n v="3"/>
    <n v="3"/>
    <n v="2"/>
    <n v="0"/>
    <n v="2"/>
    <x v="0"/>
    <x v="0"/>
    <x v="3"/>
    <x v="0"/>
    <x v="1"/>
    <x v="1"/>
    <x v="2"/>
    <x v="3"/>
    <s v="High"/>
    <x v="1"/>
    <x v="2"/>
    <x v="1"/>
    <x v="2"/>
  </r>
  <r>
    <n v="53"/>
    <x v="1"/>
    <s v="Travel_Rarely"/>
    <n v="868"/>
    <x v="0"/>
    <n v="8"/>
    <n v="3"/>
    <s v="Marketing"/>
    <n v="897"/>
    <n v="1"/>
    <x v="1"/>
    <n v="73"/>
    <n v="3"/>
    <n v="4"/>
    <x v="0"/>
    <n v="4"/>
    <x v="1"/>
    <n v="11836"/>
    <n v="5"/>
    <x v="1"/>
    <n v="14"/>
    <n v="3"/>
    <n v="3"/>
    <n v="1"/>
    <n v="28"/>
    <n v="3"/>
    <n v="3"/>
    <n v="2"/>
    <n v="0"/>
    <n v="2"/>
    <n v="2"/>
    <x v="1"/>
    <x v="1"/>
    <x v="3"/>
    <x v="3"/>
    <x v="0"/>
    <x v="3"/>
    <x v="0"/>
    <x v="3"/>
    <s v="Low"/>
    <x v="1"/>
    <x v="1"/>
    <x v="2"/>
    <x v="1"/>
  </r>
  <r>
    <n v="35"/>
    <x v="1"/>
    <s v="Travel_Rarely"/>
    <n v="672"/>
    <x v="1"/>
    <n v="25"/>
    <n v="3"/>
    <s v="Technical Degree"/>
    <n v="899"/>
    <n v="4"/>
    <x v="1"/>
    <n v="78"/>
    <n v="2"/>
    <n v="3"/>
    <x v="3"/>
    <n v="2"/>
    <x v="1"/>
    <n v="10903"/>
    <n v="3"/>
    <x v="1"/>
    <n v="16"/>
    <n v="3"/>
    <n v="1"/>
    <n v="0"/>
    <n v="16"/>
    <n v="2"/>
    <n v="3"/>
    <n v="13"/>
    <n v="10"/>
    <n v="4"/>
    <n v="8"/>
    <x v="1"/>
    <x v="1"/>
    <x v="3"/>
    <x v="2"/>
    <x v="1"/>
    <x v="2"/>
    <x v="1"/>
    <x v="0"/>
    <s v="No Options"/>
    <x v="1"/>
    <x v="0"/>
    <x v="2"/>
    <x v="4"/>
  </r>
  <r>
    <n v="37"/>
    <x v="1"/>
    <s v="Travel_Frequently"/>
    <n v="1231"/>
    <x v="0"/>
    <n v="21"/>
    <n v="2"/>
    <s v="Medical"/>
    <n v="900"/>
    <n v="3"/>
    <x v="0"/>
    <n v="54"/>
    <n v="3"/>
    <n v="1"/>
    <x v="6"/>
    <n v="4"/>
    <x v="1"/>
    <n v="2973"/>
    <n v="5"/>
    <x v="1"/>
    <n v="15"/>
    <n v="3"/>
    <n v="2"/>
    <n v="1"/>
    <n v="10"/>
    <n v="3"/>
    <n v="3"/>
    <n v="5"/>
    <n v="4"/>
    <n v="0"/>
    <n v="0"/>
    <x v="1"/>
    <x v="1"/>
    <x v="0"/>
    <x v="1"/>
    <x v="0"/>
    <x v="1"/>
    <x v="0"/>
    <x v="2"/>
    <s v="Low"/>
    <x v="1"/>
    <x v="0"/>
    <x v="1"/>
    <x v="2"/>
  </r>
  <r>
    <n v="53"/>
    <x v="1"/>
    <s v="Travel_Rarely"/>
    <n v="102"/>
    <x v="1"/>
    <n v="23"/>
    <n v="4"/>
    <s v="Life Sciences"/>
    <n v="901"/>
    <n v="4"/>
    <x v="0"/>
    <n v="72"/>
    <n v="3"/>
    <n v="4"/>
    <x v="7"/>
    <n v="4"/>
    <x v="0"/>
    <n v="14275"/>
    <n v="6"/>
    <x v="1"/>
    <n v="18"/>
    <n v="3"/>
    <n v="3"/>
    <n v="0"/>
    <n v="33"/>
    <n v="0"/>
    <n v="3"/>
    <n v="12"/>
    <n v="9"/>
    <n v="3"/>
    <n v="8"/>
    <x v="1"/>
    <x v="1"/>
    <x v="2"/>
    <x v="2"/>
    <x v="0"/>
    <x v="3"/>
    <x v="0"/>
    <x v="3"/>
    <s v="No Options"/>
    <x v="1"/>
    <x v="1"/>
    <x v="3"/>
    <x v="4"/>
  </r>
  <r>
    <n v="43"/>
    <x v="1"/>
    <s v="Travel_Frequently"/>
    <n v="422"/>
    <x v="1"/>
    <n v="1"/>
    <n v="3"/>
    <s v="Life Sciences"/>
    <n v="902"/>
    <n v="4"/>
    <x v="0"/>
    <n v="33"/>
    <n v="3"/>
    <n v="2"/>
    <x v="4"/>
    <n v="4"/>
    <x v="1"/>
    <n v="5562"/>
    <n v="4"/>
    <x v="1"/>
    <n v="13"/>
    <n v="3"/>
    <n v="2"/>
    <n v="1"/>
    <n v="12"/>
    <n v="2"/>
    <n v="2"/>
    <n v="5"/>
    <n v="2"/>
    <n v="2"/>
    <n v="2"/>
    <x v="1"/>
    <x v="1"/>
    <x v="3"/>
    <x v="2"/>
    <x v="0"/>
    <x v="0"/>
    <x v="0"/>
    <x v="2"/>
    <s v="Low"/>
    <x v="2"/>
    <x v="0"/>
    <x v="0"/>
    <x v="2"/>
  </r>
  <r>
    <n v="47"/>
    <x v="1"/>
    <s v="Travel_Rarely"/>
    <n v="249"/>
    <x v="0"/>
    <n v="2"/>
    <n v="2"/>
    <s v="Marketing"/>
    <n v="903"/>
    <n v="3"/>
    <x v="0"/>
    <n v="35"/>
    <n v="3"/>
    <n v="2"/>
    <x v="0"/>
    <n v="4"/>
    <x v="1"/>
    <n v="4537"/>
    <n v="0"/>
    <x v="0"/>
    <n v="22"/>
    <n v="4"/>
    <n v="1"/>
    <n v="1"/>
    <n v="8"/>
    <n v="2"/>
    <n v="3"/>
    <n v="7"/>
    <n v="6"/>
    <n v="7"/>
    <n v="7"/>
    <x v="1"/>
    <x v="0"/>
    <x v="0"/>
    <x v="1"/>
    <x v="0"/>
    <x v="0"/>
    <x v="0"/>
    <x v="0"/>
    <s v="Low"/>
    <x v="1"/>
    <x v="1"/>
    <x v="0"/>
    <x v="0"/>
  </r>
  <r>
    <n v="37"/>
    <x v="1"/>
    <s v="Non-Travel"/>
    <n v="1252"/>
    <x v="0"/>
    <n v="19"/>
    <n v="2"/>
    <s v="Medical"/>
    <n v="904"/>
    <n v="1"/>
    <x v="1"/>
    <n v="32"/>
    <n v="3"/>
    <n v="3"/>
    <x v="0"/>
    <n v="2"/>
    <x v="0"/>
    <n v="7642"/>
    <n v="1"/>
    <x v="0"/>
    <n v="13"/>
    <n v="3"/>
    <n v="4"/>
    <n v="0"/>
    <n v="10"/>
    <n v="2"/>
    <n v="3"/>
    <n v="10"/>
    <n v="0"/>
    <n v="0"/>
    <n v="9"/>
    <x v="1"/>
    <x v="0"/>
    <x v="0"/>
    <x v="3"/>
    <x v="0"/>
    <x v="2"/>
    <x v="1"/>
    <x v="1"/>
    <s v="No Options"/>
    <x v="1"/>
    <x v="0"/>
    <x v="2"/>
    <x v="0"/>
  </r>
  <r>
    <n v="50"/>
    <x v="1"/>
    <s v="Non-Travel"/>
    <n v="881"/>
    <x v="1"/>
    <n v="2"/>
    <n v="4"/>
    <s v="Life Sciences"/>
    <n v="905"/>
    <n v="1"/>
    <x v="1"/>
    <n v="98"/>
    <n v="3"/>
    <n v="4"/>
    <x v="5"/>
    <n v="1"/>
    <x v="2"/>
    <n v="17924"/>
    <n v="1"/>
    <x v="1"/>
    <n v="11"/>
    <n v="3"/>
    <n v="4"/>
    <n v="1"/>
    <n v="31"/>
    <n v="3"/>
    <n v="3"/>
    <n v="31"/>
    <n v="6"/>
    <n v="14"/>
    <n v="7"/>
    <x v="1"/>
    <x v="1"/>
    <x v="2"/>
    <x v="3"/>
    <x v="0"/>
    <x v="3"/>
    <x v="3"/>
    <x v="1"/>
    <s v="Low"/>
    <x v="1"/>
    <x v="1"/>
    <x v="3"/>
    <x v="3"/>
  </r>
  <r>
    <n v="39"/>
    <x v="1"/>
    <s v="Travel_Rarely"/>
    <n v="1383"/>
    <x v="2"/>
    <n v="2"/>
    <n v="3"/>
    <s v="Life Sciences"/>
    <n v="909"/>
    <n v="4"/>
    <x v="0"/>
    <n v="42"/>
    <n v="2"/>
    <n v="2"/>
    <x v="8"/>
    <n v="4"/>
    <x v="1"/>
    <n v="5204"/>
    <n v="8"/>
    <x v="1"/>
    <n v="11"/>
    <n v="3"/>
    <n v="3"/>
    <n v="2"/>
    <n v="13"/>
    <n v="2"/>
    <n v="3"/>
    <n v="5"/>
    <n v="4"/>
    <n v="0"/>
    <n v="4"/>
    <x v="1"/>
    <x v="1"/>
    <x v="3"/>
    <x v="2"/>
    <x v="1"/>
    <x v="0"/>
    <x v="0"/>
    <x v="3"/>
    <s v="Medium"/>
    <x v="1"/>
    <x v="0"/>
    <x v="0"/>
    <x v="2"/>
  </r>
  <r>
    <n v="33"/>
    <x v="1"/>
    <s v="Travel_Rarely"/>
    <n v="1075"/>
    <x v="2"/>
    <n v="3"/>
    <n v="2"/>
    <s v="Human Resources"/>
    <n v="910"/>
    <n v="4"/>
    <x v="1"/>
    <n v="57"/>
    <n v="3"/>
    <n v="1"/>
    <x v="8"/>
    <n v="2"/>
    <x v="2"/>
    <n v="2277"/>
    <n v="3"/>
    <x v="0"/>
    <n v="11"/>
    <n v="3"/>
    <n v="3"/>
    <n v="1"/>
    <n v="7"/>
    <n v="4"/>
    <n v="4"/>
    <n v="4"/>
    <n v="3"/>
    <n v="0"/>
    <n v="3"/>
    <x v="1"/>
    <x v="0"/>
    <x v="0"/>
    <x v="2"/>
    <x v="0"/>
    <x v="1"/>
    <x v="1"/>
    <x v="3"/>
    <s v="Low"/>
    <x v="3"/>
    <x v="2"/>
    <x v="1"/>
    <x v="2"/>
  </r>
  <r>
    <n v="32"/>
    <x v="0"/>
    <s v="Travel_Rarely"/>
    <n v="374"/>
    <x v="1"/>
    <n v="25"/>
    <n v="4"/>
    <s v="Life Sciences"/>
    <n v="911"/>
    <n v="1"/>
    <x v="1"/>
    <n v="87"/>
    <n v="3"/>
    <n v="1"/>
    <x v="2"/>
    <n v="4"/>
    <x v="0"/>
    <n v="2795"/>
    <n v="1"/>
    <x v="0"/>
    <n v="24"/>
    <n v="4"/>
    <n v="3"/>
    <n v="0"/>
    <n v="1"/>
    <n v="2"/>
    <n v="1"/>
    <n v="1"/>
    <n v="0"/>
    <n v="0"/>
    <n v="1"/>
    <x v="0"/>
    <x v="0"/>
    <x v="2"/>
    <x v="3"/>
    <x v="0"/>
    <x v="1"/>
    <x v="0"/>
    <x v="3"/>
    <s v="No Options"/>
    <x v="0"/>
    <x v="2"/>
    <x v="1"/>
    <x v="1"/>
  </r>
  <r>
    <n v="29"/>
    <x v="1"/>
    <s v="Travel_Rarely"/>
    <n v="1086"/>
    <x v="1"/>
    <n v="7"/>
    <n v="1"/>
    <s v="Medical"/>
    <n v="912"/>
    <n v="1"/>
    <x v="0"/>
    <n v="62"/>
    <n v="2"/>
    <n v="1"/>
    <x v="2"/>
    <n v="4"/>
    <x v="2"/>
    <n v="2532"/>
    <n v="6"/>
    <x v="1"/>
    <n v="14"/>
    <n v="3"/>
    <n v="3"/>
    <n v="3"/>
    <n v="8"/>
    <n v="5"/>
    <n v="3"/>
    <n v="4"/>
    <n v="3"/>
    <n v="0"/>
    <n v="3"/>
    <x v="1"/>
    <x v="1"/>
    <x v="1"/>
    <x v="3"/>
    <x v="1"/>
    <x v="1"/>
    <x v="0"/>
    <x v="3"/>
    <s v="High"/>
    <x v="1"/>
    <x v="2"/>
    <x v="1"/>
    <x v="2"/>
  </r>
  <r>
    <n v="44"/>
    <x v="1"/>
    <s v="Travel_Rarely"/>
    <n v="661"/>
    <x v="1"/>
    <n v="9"/>
    <n v="2"/>
    <s v="Life Sciences"/>
    <n v="913"/>
    <n v="2"/>
    <x v="1"/>
    <n v="61"/>
    <n v="3"/>
    <n v="1"/>
    <x v="1"/>
    <n v="1"/>
    <x v="1"/>
    <n v="2559"/>
    <n v="1"/>
    <x v="0"/>
    <n v="13"/>
    <n v="3"/>
    <n v="4"/>
    <n v="0"/>
    <n v="8"/>
    <n v="0"/>
    <n v="3"/>
    <n v="8"/>
    <n v="7"/>
    <n v="7"/>
    <n v="1"/>
    <x v="1"/>
    <x v="0"/>
    <x v="0"/>
    <x v="0"/>
    <x v="0"/>
    <x v="1"/>
    <x v="3"/>
    <x v="1"/>
    <s v="No Options"/>
    <x v="1"/>
    <x v="0"/>
    <x v="1"/>
    <x v="0"/>
  </r>
  <r>
    <n v="28"/>
    <x v="1"/>
    <s v="Travel_Rarely"/>
    <n v="821"/>
    <x v="0"/>
    <n v="5"/>
    <n v="4"/>
    <s v="Medical"/>
    <n v="916"/>
    <n v="1"/>
    <x v="1"/>
    <n v="98"/>
    <n v="3"/>
    <n v="2"/>
    <x v="0"/>
    <n v="4"/>
    <x v="0"/>
    <n v="4908"/>
    <n v="1"/>
    <x v="1"/>
    <n v="14"/>
    <n v="3"/>
    <n v="2"/>
    <n v="0"/>
    <n v="4"/>
    <n v="3"/>
    <n v="3"/>
    <n v="4"/>
    <n v="2"/>
    <n v="0"/>
    <n v="2"/>
    <x v="1"/>
    <x v="1"/>
    <x v="2"/>
    <x v="3"/>
    <x v="0"/>
    <x v="0"/>
    <x v="0"/>
    <x v="2"/>
    <s v="No Options"/>
    <x v="1"/>
    <x v="2"/>
    <x v="0"/>
    <x v="2"/>
  </r>
  <r>
    <n v="58"/>
    <x v="0"/>
    <s v="Travel_Frequently"/>
    <n v="781"/>
    <x v="1"/>
    <n v="2"/>
    <n v="1"/>
    <s v="Life Sciences"/>
    <n v="918"/>
    <n v="4"/>
    <x v="1"/>
    <n v="57"/>
    <n v="2"/>
    <n v="1"/>
    <x v="2"/>
    <n v="4"/>
    <x v="2"/>
    <n v="2380"/>
    <n v="9"/>
    <x v="0"/>
    <n v="14"/>
    <n v="3"/>
    <n v="4"/>
    <n v="1"/>
    <n v="3"/>
    <n v="3"/>
    <n v="2"/>
    <n v="1"/>
    <n v="0"/>
    <n v="0"/>
    <n v="0"/>
    <x v="0"/>
    <x v="0"/>
    <x v="1"/>
    <x v="2"/>
    <x v="1"/>
    <x v="1"/>
    <x v="0"/>
    <x v="1"/>
    <s v="Low"/>
    <x v="2"/>
    <x v="3"/>
    <x v="1"/>
    <x v="1"/>
  </r>
  <r>
    <n v="43"/>
    <x v="1"/>
    <s v="Travel_Rarely"/>
    <n v="177"/>
    <x v="1"/>
    <n v="8"/>
    <n v="3"/>
    <s v="Life Sciences"/>
    <n v="920"/>
    <n v="1"/>
    <x v="0"/>
    <n v="55"/>
    <n v="3"/>
    <n v="2"/>
    <x v="3"/>
    <n v="2"/>
    <x v="2"/>
    <n v="4765"/>
    <n v="4"/>
    <x v="1"/>
    <n v="21"/>
    <n v="4"/>
    <n v="3"/>
    <n v="1"/>
    <n v="4"/>
    <n v="2"/>
    <n v="4"/>
    <n v="1"/>
    <n v="0"/>
    <n v="0"/>
    <n v="0"/>
    <x v="1"/>
    <x v="1"/>
    <x v="3"/>
    <x v="3"/>
    <x v="0"/>
    <x v="0"/>
    <x v="1"/>
    <x v="3"/>
    <s v="Low"/>
    <x v="3"/>
    <x v="0"/>
    <x v="0"/>
    <x v="1"/>
  </r>
  <r>
    <n v="20"/>
    <x v="0"/>
    <s v="Travel_Rarely"/>
    <n v="500"/>
    <x v="0"/>
    <n v="2"/>
    <n v="3"/>
    <s v="Medical"/>
    <n v="922"/>
    <n v="3"/>
    <x v="0"/>
    <n v="49"/>
    <n v="2"/>
    <n v="1"/>
    <x v="6"/>
    <n v="3"/>
    <x v="0"/>
    <n v="2044"/>
    <n v="1"/>
    <x v="1"/>
    <n v="13"/>
    <n v="3"/>
    <n v="4"/>
    <n v="0"/>
    <n v="2"/>
    <n v="3"/>
    <n v="2"/>
    <n v="2"/>
    <n v="2"/>
    <n v="0"/>
    <n v="2"/>
    <x v="0"/>
    <x v="1"/>
    <x v="3"/>
    <x v="1"/>
    <x v="1"/>
    <x v="1"/>
    <x v="2"/>
    <x v="1"/>
    <s v="No Options"/>
    <x v="2"/>
    <x v="4"/>
    <x v="1"/>
    <x v="1"/>
  </r>
  <r>
    <n v="21"/>
    <x v="0"/>
    <s v="Travel_Rarely"/>
    <n v="1427"/>
    <x v="1"/>
    <n v="18"/>
    <n v="1"/>
    <s v="Other"/>
    <n v="923"/>
    <n v="4"/>
    <x v="0"/>
    <n v="65"/>
    <n v="3"/>
    <n v="1"/>
    <x v="1"/>
    <n v="4"/>
    <x v="0"/>
    <n v="2693"/>
    <n v="1"/>
    <x v="1"/>
    <n v="19"/>
    <n v="3"/>
    <n v="1"/>
    <n v="0"/>
    <n v="1"/>
    <n v="3"/>
    <n v="2"/>
    <n v="1"/>
    <n v="0"/>
    <n v="0"/>
    <n v="0"/>
    <x v="0"/>
    <x v="1"/>
    <x v="1"/>
    <x v="2"/>
    <x v="0"/>
    <x v="1"/>
    <x v="0"/>
    <x v="0"/>
    <s v="No Options"/>
    <x v="2"/>
    <x v="4"/>
    <x v="1"/>
    <x v="1"/>
  </r>
  <r>
    <n v="36"/>
    <x v="1"/>
    <s v="Travel_Rarely"/>
    <n v="1425"/>
    <x v="1"/>
    <n v="14"/>
    <n v="1"/>
    <s v="Life Sciences"/>
    <n v="924"/>
    <n v="3"/>
    <x v="1"/>
    <n v="68"/>
    <n v="3"/>
    <n v="2"/>
    <x v="4"/>
    <n v="4"/>
    <x v="1"/>
    <n v="6586"/>
    <n v="0"/>
    <x v="0"/>
    <n v="17"/>
    <n v="3"/>
    <n v="1"/>
    <n v="1"/>
    <n v="17"/>
    <n v="2"/>
    <n v="2"/>
    <n v="16"/>
    <n v="8"/>
    <n v="4"/>
    <n v="11"/>
    <x v="1"/>
    <x v="0"/>
    <x v="1"/>
    <x v="1"/>
    <x v="0"/>
    <x v="0"/>
    <x v="0"/>
    <x v="0"/>
    <s v="Low"/>
    <x v="2"/>
    <x v="0"/>
    <x v="0"/>
    <x v="4"/>
  </r>
  <r>
    <n v="47"/>
    <x v="1"/>
    <s v="Travel_Rarely"/>
    <n v="1454"/>
    <x v="0"/>
    <n v="2"/>
    <n v="4"/>
    <s v="Life Sciences"/>
    <n v="925"/>
    <n v="4"/>
    <x v="0"/>
    <n v="65"/>
    <n v="2"/>
    <n v="1"/>
    <x v="6"/>
    <n v="4"/>
    <x v="0"/>
    <n v="3294"/>
    <n v="1"/>
    <x v="0"/>
    <n v="18"/>
    <n v="3"/>
    <n v="1"/>
    <n v="0"/>
    <n v="3"/>
    <n v="3"/>
    <n v="2"/>
    <n v="3"/>
    <n v="2"/>
    <n v="1"/>
    <n v="2"/>
    <x v="1"/>
    <x v="0"/>
    <x v="2"/>
    <x v="2"/>
    <x v="1"/>
    <x v="1"/>
    <x v="0"/>
    <x v="0"/>
    <s v="No Options"/>
    <x v="2"/>
    <x v="1"/>
    <x v="0"/>
    <x v="2"/>
  </r>
  <r>
    <n v="22"/>
    <x v="0"/>
    <s v="Travel_Rarely"/>
    <n v="617"/>
    <x v="1"/>
    <n v="3"/>
    <n v="1"/>
    <s v="Life Sciences"/>
    <n v="926"/>
    <n v="2"/>
    <x v="0"/>
    <n v="34"/>
    <n v="3"/>
    <n v="2"/>
    <x v="3"/>
    <n v="3"/>
    <x v="1"/>
    <n v="4171"/>
    <n v="0"/>
    <x v="0"/>
    <n v="19"/>
    <n v="3"/>
    <n v="1"/>
    <n v="1"/>
    <n v="4"/>
    <n v="3"/>
    <n v="4"/>
    <n v="3"/>
    <n v="2"/>
    <n v="0"/>
    <n v="2"/>
    <x v="0"/>
    <x v="0"/>
    <x v="1"/>
    <x v="0"/>
    <x v="0"/>
    <x v="0"/>
    <x v="2"/>
    <x v="0"/>
    <s v="Low"/>
    <x v="3"/>
    <x v="4"/>
    <x v="0"/>
    <x v="2"/>
  </r>
  <r>
    <n v="41"/>
    <x v="0"/>
    <s v="Travel_Rarely"/>
    <n v="1085"/>
    <x v="1"/>
    <n v="2"/>
    <n v="4"/>
    <s v="Life Sciences"/>
    <n v="927"/>
    <n v="2"/>
    <x v="0"/>
    <n v="57"/>
    <n v="1"/>
    <n v="1"/>
    <x v="2"/>
    <n v="4"/>
    <x v="2"/>
    <n v="2778"/>
    <n v="4"/>
    <x v="0"/>
    <n v="13"/>
    <n v="3"/>
    <n v="3"/>
    <n v="1"/>
    <n v="10"/>
    <n v="1"/>
    <n v="2"/>
    <n v="7"/>
    <n v="7"/>
    <n v="1"/>
    <n v="0"/>
    <x v="0"/>
    <x v="0"/>
    <x v="2"/>
    <x v="0"/>
    <x v="3"/>
    <x v="1"/>
    <x v="0"/>
    <x v="3"/>
    <s v="Low"/>
    <x v="2"/>
    <x v="0"/>
    <x v="1"/>
    <x v="0"/>
  </r>
  <r>
    <n v="28"/>
    <x v="1"/>
    <s v="Travel_Rarely"/>
    <n v="995"/>
    <x v="1"/>
    <n v="9"/>
    <n v="3"/>
    <s v="Medical"/>
    <n v="930"/>
    <n v="3"/>
    <x v="0"/>
    <n v="77"/>
    <n v="3"/>
    <n v="1"/>
    <x v="1"/>
    <n v="3"/>
    <x v="2"/>
    <n v="2377"/>
    <n v="5"/>
    <x v="1"/>
    <n v="18"/>
    <n v="3"/>
    <n v="2"/>
    <n v="1"/>
    <n v="6"/>
    <n v="2"/>
    <n v="3"/>
    <n v="2"/>
    <n v="2"/>
    <n v="2"/>
    <n v="2"/>
    <x v="1"/>
    <x v="1"/>
    <x v="3"/>
    <x v="1"/>
    <x v="0"/>
    <x v="1"/>
    <x v="2"/>
    <x v="2"/>
    <s v="Low"/>
    <x v="1"/>
    <x v="2"/>
    <x v="1"/>
    <x v="1"/>
  </r>
  <r>
    <n v="39"/>
    <x v="0"/>
    <s v="Travel_Rarely"/>
    <n v="1122"/>
    <x v="1"/>
    <n v="6"/>
    <n v="3"/>
    <s v="Medical"/>
    <n v="932"/>
    <n v="4"/>
    <x v="1"/>
    <n v="70"/>
    <n v="3"/>
    <n v="1"/>
    <x v="2"/>
    <n v="1"/>
    <x v="1"/>
    <n v="2404"/>
    <n v="7"/>
    <x v="0"/>
    <n v="21"/>
    <n v="4"/>
    <n v="4"/>
    <n v="0"/>
    <n v="8"/>
    <n v="2"/>
    <n v="1"/>
    <n v="2"/>
    <n v="2"/>
    <n v="2"/>
    <n v="2"/>
    <x v="0"/>
    <x v="0"/>
    <x v="3"/>
    <x v="2"/>
    <x v="0"/>
    <x v="1"/>
    <x v="3"/>
    <x v="1"/>
    <s v="No Options"/>
    <x v="0"/>
    <x v="0"/>
    <x v="1"/>
    <x v="1"/>
  </r>
  <r>
    <n v="27"/>
    <x v="1"/>
    <s v="Travel_Rarely"/>
    <n v="618"/>
    <x v="1"/>
    <n v="4"/>
    <n v="3"/>
    <s v="Life Sciences"/>
    <n v="933"/>
    <n v="2"/>
    <x v="0"/>
    <n v="76"/>
    <n v="3"/>
    <n v="1"/>
    <x v="1"/>
    <n v="3"/>
    <x v="0"/>
    <n v="2318"/>
    <n v="1"/>
    <x v="1"/>
    <n v="19"/>
    <n v="3"/>
    <n v="3"/>
    <n v="0"/>
    <n v="1"/>
    <n v="2"/>
    <n v="3"/>
    <n v="1"/>
    <n v="1"/>
    <n v="0"/>
    <n v="0"/>
    <x v="1"/>
    <x v="1"/>
    <x v="3"/>
    <x v="0"/>
    <x v="0"/>
    <x v="1"/>
    <x v="2"/>
    <x v="3"/>
    <s v="No Options"/>
    <x v="1"/>
    <x v="2"/>
    <x v="1"/>
    <x v="1"/>
  </r>
  <r>
    <n v="34"/>
    <x v="1"/>
    <s v="Travel_Rarely"/>
    <n v="546"/>
    <x v="1"/>
    <n v="10"/>
    <n v="3"/>
    <s v="Life Sciences"/>
    <n v="934"/>
    <n v="2"/>
    <x v="1"/>
    <n v="83"/>
    <n v="3"/>
    <n v="1"/>
    <x v="2"/>
    <n v="2"/>
    <x v="2"/>
    <n v="2008"/>
    <n v="1"/>
    <x v="1"/>
    <n v="14"/>
    <n v="3"/>
    <n v="2"/>
    <n v="2"/>
    <n v="1"/>
    <n v="3"/>
    <n v="3"/>
    <n v="1"/>
    <n v="0"/>
    <n v="1"/>
    <n v="0"/>
    <x v="1"/>
    <x v="1"/>
    <x v="3"/>
    <x v="0"/>
    <x v="0"/>
    <x v="1"/>
    <x v="1"/>
    <x v="2"/>
    <s v="Medium"/>
    <x v="1"/>
    <x v="2"/>
    <x v="1"/>
    <x v="1"/>
  </r>
  <r>
    <n v="42"/>
    <x v="1"/>
    <s v="Travel_Rarely"/>
    <n v="462"/>
    <x v="0"/>
    <n v="14"/>
    <n v="2"/>
    <s v="Medical"/>
    <n v="936"/>
    <n v="3"/>
    <x v="0"/>
    <n v="68"/>
    <n v="2"/>
    <n v="2"/>
    <x v="0"/>
    <n v="3"/>
    <x v="0"/>
    <n v="6244"/>
    <n v="7"/>
    <x v="1"/>
    <n v="17"/>
    <n v="3"/>
    <n v="1"/>
    <n v="0"/>
    <n v="10"/>
    <n v="6"/>
    <n v="3"/>
    <n v="5"/>
    <n v="4"/>
    <n v="0"/>
    <n v="3"/>
    <x v="1"/>
    <x v="1"/>
    <x v="0"/>
    <x v="1"/>
    <x v="1"/>
    <x v="0"/>
    <x v="2"/>
    <x v="0"/>
    <s v="No Options"/>
    <x v="1"/>
    <x v="0"/>
    <x v="0"/>
    <x v="2"/>
  </r>
  <r>
    <n v="33"/>
    <x v="1"/>
    <s v="Travel_Rarely"/>
    <n v="1198"/>
    <x v="1"/>
    <n v="1"/>
    <n v="4"/>
    <s v="Other"/>
    <n v="939"/>
    <n v="3"/>
    <x v="1"/>
    <n v="100"/>
    <n v="2"/>
    <n v="1"/>
    <x v="1"/>
    <n v="1"/>
    <x v="0"/>
    <n v="2799"/>
    <n v="3"/>
    <x v="0"/>
    <n v="11"/>
    <n v="3"/>
    <n v="2"/>
    <n v="0"/>
    <n v="6"/>
    <n v="1"/>
    <n v="3"/>
    <n v="3"/>
    <n v="2"/>
    <n v="0"/>
    <n v="2"/>
    <x v="1"/>
    <x v="0"/>
    <x v="2"/>
    <x v="1"/>
    <x v="1"/>
    <x v="1"/>
    <x v="3"/>
    <x v="2"/>
    <s v="No Options"/>
    <x v="1"/>
    <x v="2"/>
    <x v="1"/>
    <x v="2"/>
  </r>
  <r>
    <n v="58"/>
    <x v="1"/>
    <s v="Travel_Rarely"/>
    <n v="1272"/>
    <x v="1"/>
    <n v="5"/>
    <n v="3"/>
    <s v="Technical Degree"/>
    <n v="940"/>
    <n v="3"/>
    <x v="0"/>
    <n v="37"/>
    <n v="2"/>
    <n v="3"/>
    <x v="4"/>
    <n v="2"/>
    <x v="2"/>
    <n v="10552"/>
    <n v="2"/>
    <x v="0"/>
    <n v="13"/>
    <n v="3"/>
    <n v="4"/>
    <n v="1"/>
    <n v="24"/>
    <n v="3"/>
    <n v="3"/>
    <n v="6"/>
    <n v="0"/>
    <n v="0"/>
    <n v="4"/>
    <x v="1"/>
    <x v="0"/>
    <x v="3"/>
    <x v="1"/>
    <x v="1"/>
    <x v="2"/>
    <x v="1"/>
    <x v="1"/>
    <s v="Low"/>
    <x v="1"/>
    <x v="3"/>
    <x v="2"/>
    <x v="0"/>
  </r>
  <r>
    <n v="31"/>
    <x v="1"/>
    <s v="Travel_Rarely"/>
    <n v="154"/>
    <x v="0"/>
    <n v="7"/>
    <n v="4"/>
    <s v="Life Sciences"/>
    <n v="941"/>
    <n v="2"/>
    <x v="1"/>
    <n v="41"/>
    <n v="2"/>
    <n v="1"/>
    <x v="6"/>
    <n v="3"/>
    <x v="1"/>
    <n v="2329"/>
    <n v="3"/>
    <x v="1"/>
    <n v="15"/>
    <n v="3"/>
    <n v="2"/>
    <n v="0"/>
    <n v="13"/>
    <n v="2"/>
    <n v="4"/>
    <n v="7"/>
    <n v="7"/>
    <n v="5"/>
    <n v="2"/>
    <x v="1"/>
    <x v="1"/>
    <x v="2"/>
    <x v="0"/>
    <x v="1"/>
    <x v="1"/>
    <x v="2"/>
    <x v="2"/>
    <s v="No Options"/>
    <x v="3"/>
    <x v="2"/>
    <x v="1"/>
    <x v="0"/>
  </r>
  <r>
    <n v="35"/>
    <x v="1"/>
    <s v="Travel_Rarely"/>
    <n v="1137"/>
    <x v="1"/>
    <n v="21"/>
    <n v="1"/>
    <s v="Life Sciences"/>
    <n v="942"/>
    <n v="4"/>
    <x v="0"/>
    <n v="51"/>
    <n v="3"/>
    <n v="2"/>
    <x v="4"/>
    <n v="4"/>
    <x v="1"/>
    <n v="4014"/>
    <n v="1"/>
    <x v="0"/>
    <n v="25"/>
    <n v="4"/>
    <n v="4"/>
    <n v="1"/>
    <n v="10"/>
    <n v="2"/>
    <n v="1"/>
    <n v="10"/>
    <n v="6"/>
    <n v="0"/>
    <n v="7"/>
    <x v="1"/>
    <x v="0"/>
    <x v="1"/>
    <x v="2"/>
    <x v="0"/>
    <x v="0"/>
    <x v="0"/>
    <x v="1"/>
    <s v="Low"/>
    <x v="0"/>
    <x v="0"/>
    <x v="0"/>
    <x v="0"/>
  </r>
  <r>
    <n v="49"/>
    <x v="1"/>
    <s v="Travel_Rarely"/>
    <n v="527"/>
    <x v="1"/>
    <n v="8"/>
    <n v="2"/>
    <s v="Other"/>
    <n v="944"/>
    <n v="1"/>
    <x v="0"/>
    <n v="51"/>
    <n v="3"/>
    <n v="3"/>
    <x v="2"/>
    <n v="2"/>
    <x v="1"/>
    <n v="7403"/>
    <n v="4"/>
    <x v="1"/>
    <n v="11"/>
    <n v="3"/>
    <n v="3"/>
    <n v="1"/>
    <n v="29"/>
    <n v="3"/>
    <n v="2"/>
    <n v="26"/>
    <n v="9"/>
    <n v="1"/>
    <n v="7"/>
    <x v="1"/>
    <x v="1"/>
    <x v="0"/>
    <x v="3"/>
    <x v="0"/>
    <x v="2"/>
    <x v="1"/>
    <x v="3"/>
    <s v="Low"/>
    <x v="2"/>
    <x v="1"/>
    <x v="2"/>
    <x v="3"/>
  </r>
  <r>
    <n v="48"/>
    <x v="1"/>
    <s v="Travel_Rarely"/>
    <n v="1469"/>
    <x v="1"/>
    <n v="20"/>
    <n v="4"/>
    <s v="Medical"/>
    <n v="945"/>
    <n v="4"/>
    <x v="1"/>
    <n v="51"/>
    <n v="3"/>
    <n v="1"/>
    <x v="1"/>
    <n v="3"/>
    <x v="1"/>
    <n v="2259"/>
    <n v="4"/>
    <x v="1"/>
    <n v="17"/>
    <n v="3"/>
    <n v="1"/>
    <n v="2"/>
    <n v="13"/>
    <n v="2"/>
    <n v="2"/>
    <n v="0"/>
    <n v="0"/>
    <n v="0"/>
    <n v="0"/>
    <x v="1"/>
    <x v="1"/>
    <x v="2"/>
    <x v="2"/>
    <x v="0"/>
    <x v="1"/>
    <x v="2"/>
    <x v="0"/>
    <s v="Medium"/>
    <x v="2"/>
    <x v="1"/>
    <x v="1"/>
    <x v="1"/>
  </r>
  <r>
    <n v="31"/>
    <x v="1"/>
    <s v="Non-Travel"/>
    <n v="1188"/>
    <x v="0"/>
    <n v="20"/>
    <n v="2"/>
    <s v="Marketing"/>
    <n v="947"/>
    <n v="4"/>
    <x v="0"/>
    <n v="45"/>
    <n v="3"/>
    <n v="2"/>
    <x v="0"/>
    <n v="3"/>
    <x v="1"/>
    <n v="6932"/>
    <n v="1"/>
    <x v="1"/>
    <n v="13"/>
    <n v="3"/>
    <n v="4"/>
    <n v="1"/>
    <n v="9"/>
    <n v="2"/>
    <n v="2"/>
    <n v="9"/>
    <n v="8"/>
    <n v="0"/>
    <n v="0"/>
    <x v="1"/>
    <x v="1"/>
    <x v="0"/>
    <x v="2"/>
    <x v="0"/>
    <x v="0"/>
    <x v="2"/>
    <x v="1"/>
    <s v="Low"/>
    <x v="2"/>
    <x v="2"/>
    <x v="0"/>
    <x v="0"/>
  </r>
  <r>
    <n v="36"/>
    <x v="1"/>
    <s v="Travel_Rarely"/>
    <n v="188"/>
    <x v="1"/>
    <n v="7"/>
    <n v="4"/>
    <s v="Other"/>
    <n v="949"/>
    <n v="2"/>
    <x v="1"/>
    <n v="65"/>
    <n v="3"/>
    <n v="1"/>
    <x v="1"/>
    <n v="4"/>
    <x v="0"/>
    <n v="4678"/>
    <n v="2"/>
    <x v="1"/>
    <n v="18"/>
    <n v="3"/>
    <n v="3"/>
    <n v="0"/>
    <n v="8"/>
    <n v="6"/>
    <n v="3"/>
    <n v="6"/>
    <n v="2"/>
    <n v="0"/>
    <n v="1"/>
    <x v="1"/>
    <x v="1"/>
    <x v="2"/>
    <x v="0"/>
    <x v="0"/>
    <x v="1"/>
    <x v="0"/>
    <x v="3"/>
    <s v="No Options"/>
    <x v="1"/>
    <x v="0"/>
    <x v="0"/>
    <x v="0"/>
  </r>
  <r>
    <n v="38"/>
    <x v="1"/>
    <s v="Travel_Rarely"/>
    <n v="1333"/>
    <x v="1"/>
    <n v="1"/>
    <n v="3"/>
    <s v="Technical Degree"/>
    <n v="950"/>
    <n v="4"/>
    <x v="0"/>
    <n v="80"/>
    <n v="3"/>
    <n v="3"/>
    <x v="7"/>
    <n v="1"/>
    <x v="1"/>
    <n v="13582"/>
    <n v="1"/>
    <x v="1"/>
    <n v="13"/>
    <n v="3"/>
    <n v="2"/>
    <n v="1"/>
    <n v="15"/>
    <n v="3"/>
    <n v="3"/>
    <n v="15"/>
    <n v="12"/>
    <n v="5"/>
    <n v="11"/>
    <x v="1"/>
    <x v="1"/>
    <x v="3"/>
    <x v="2"/>
    <x v="0"/>
    <x v="2"/>
    <x v="3"/>
    <x v="2"/>
    <s v="Low"/>
    <x v="1"/>
    <x v="0"/>
    <x v="3"/>
    <x v="4"/>
  </r>
  <r>
    <n v="32"/>
    <x v="1"/>
    <s v="Non-Travel"/>
    <n v="1184"/>
    <x v="1"/>
    <n v="1"/>
    <n v="3"/>
    <s v="Life Sciences"/>
    <n v="951"/>
    <n v="3"/>
    <x v="0"/>
    <n v="70"/>
    <n v="2"/>
    <n v="1"/>
    <x v="2"/>
    <n v="2"/>
    <x v="1"/>
    <n v="2332"/>
    <n v="6"/>
    <x v="1"/>
    <n v="20"/>
    <n v="4"/>
    <n v="3"/>
    <n v="0"/>
    <n v="5"/>
    <n v="3"/>
    <n v="3"/>
    <n v="3"/>
    <n v="0"/>
    <n v="0"/>
    <n v="2"/>
    <x v="1"/>
    <x v="1"/>
    <x v="3"/>
    <x v="1"/>
    <x v="1"/>
    <x v="1"/>
    <x v="1"/>
    <x v="3"/>
    <s v="No Options"/>
    <x v="1"/>
    <x v="2"/>
    <x v="1"/>
    <x v="2"/>
  </r>
  <r>
    <n v="25"/>
    <x v="0"/>
    <s v="Travel_Rarely"/>
    <n v="867"/>
    <x v="0"/>
    <n v="19"/>
    <n v="2"/>
    <s v="Marketing"/>
    <n v="952"/>
    <n v="3"/>
    <x v="1"/>
    <n v="36"/>
    <n v="2"/>
    <n v="1"/>
    <x v="6"/>
    <n v="2"/>
    <x v="1"/>
    <n v="2413"/>
    <n v="1"/>
    <x v="0"/>
    <n v="18"/>
    <n v="3"/>
    <n v="3"/>
    <n v="3"/>
    <n v="1"/>
    <n v="2"/>
    <n v="3"/>
    <n v="1"/>
    <n v="0"/>
    <n v="0"/>
    <n v="0"/>
    <x v="0"/>
    <x v="0"/>
    <x v="0"/>
    <x v="1"/>
    <x v="1"/>
    <x v="1"/>
    <x v="1"/>
    <x v="3"/>
    <s v="High"/>
    <x v="1"/>
    <x v="2"/>
    <x v="1"/>
    <x v="1"/>
  </r>
  <r>
    <n v="40"/>
    <x v="1"/>
    <s v="Travel_Rarely"/>
    <n v="658"/>
    <x v="0"/>
    <n v="10"/>
    <n v="4"/>
    <s v="Marketing"/>
    <n v="954"/>
    <n v="1"/>
    <x v="1"/>
    <n v="67"/>
    <n v="2"/>
    <n v="3"/>
    <x v="0"/>
    <n v="2"/>
    <x v="2"/>
    <n v="9705"/>
    <n v="2"/>
    <x v="1"/>
    <n v="12"/>
    <n v="3"/>
    <n v="2"/>
    <n v="1"/>
    <n v="11"/>
    <n v="2"/>
    <n v="2"/>
    <n v="1"/>
    <n v="0"/>
    <n v="0"/>
    <n v="0"/>
    <x v="1"/>
    <x v="1"/>
    <x v="2"/>
    <x v="3"/>
    <x v="1"/>
    <x v="2"/>
    <x v="1"/>
    <x v="2"/>
    <s v="Low"/>
    <x v="2"/>
    <x v="0"/>
    <x v="2"/>
    <x v="1"/>
  </r>
  <r>
    <n v="26"/>
    <x v="1"/>
    <s v="Travel_Frequently"/>
    <n v="1283"/>
    <x v="0"/>
    <n v="1"/>
    <n v="3"/>
    <s v="Medical"/>
    <n v="956"/>
    <n v="3"/>
    <x v="1"/>
    <n v="52"/>
    <n v="2"/>
    <n v="2"/>
    <x v="0"/>
    <n v="1"/>
    <x v="0"/>
    <n v="4294"/>
    <n v="1"/>
    <x v="1"/>
    <n v="12"/>
    <n v="3"/>
    <n v="2"/>
    <n v="0"/>
    <n v="7"/>
    <n v="2"/>
    <n v="3"/>
    <n v="7"/>
    <n v="7"/>
    <n v="0"/>
    <n v="7"/>
    <x v="1"/>
    <x v="1"/>
    <x v="3"/>
    <x v="1"/>
    <x v="1"/>
    <x v="0"/>
    <x v="3"/>
    <x v="2"/>
    <s v="No Options"/>
    <x v="1"/>
    <x v="2"/>
    <x v="0"/>
    <x v="0"/>
  </r>
  <r>
    <n v="41"/>
    <x v="1"/>
    <s v="Travel_Rarely"/>
    <n v="263"/>
    <x v="1"/>
    <n v="6"/>
    <n v="3"/>
    <s v="Medical"/>
    <n v="957"/>
    <n v="4"/>
    <x v="1"/>
    <n v="59"/>
    <n v="3"/>
    <n v="1"/>
    <x v="2"/>
    <n v="1"/>
    <x v="0"/>
    <n v="4721"/>
    <n v="2"/>
    <x v="0"/>
    <n v="13"/>
    <n v="3"/>
    <n v="3"/>
    <n v="0"/>
    <n v="20"/>
    <n v="3"/>
    <n v="3"/>
    <n v="18"/>
    <n v="13"/>
    <n v="2"/>
    <n v="17"/>
    <x v="1"/>
    <x v="0"/>
    <x v="3"/>
    <x v="2"/>
    <x v="0"/>
    <x v="1"/>
    <x v="3"/>
    <x v="3"/>
    <s v="No Options"/>
    <x v="1"/>
    <x v="0"/>
    <x v="0"/>
    <x v="4"/>
  </r>
  <r>
    <n v="36"/>
    <x v="1"/>
    <s v="Travel_Rarely"/>
    <n v="938"/>
    <x v="1"/>
    <n v="2"/>
    <n v="4"/>
    <s v="Medical"/>
    <n v="958"/>
    <n v="3"/>
    <x v="1"/>
    <n v="79"/>
    <n v="3"/>
    <n v="1"/>
    <x v="2"/>
    <n v="3"/>
    <x v="0"/>
    <n v="2519"/>
    <n v="4"/>
    <x v="1"/>
    <n v="21"/>
    <n v="4"/>
    <n v="3"/>
    <n v="0"/>
    <n v="16"/>
    <n v="6"/>
    <n v="3"/>
    <n v="11"/>
    <n v="8"/>
    <n v="3"/>
    <n v="9"/>
    <x v="1"/>
    <x v="1"/>
    <x v="2"/>
    <x v="1"/>
    <x v="0"/>
    <x v="1"/>
    <x v="2"/>
    <x v="3"/>
    <s v="No Options"/>
    <x v="1"/>
    <x v="0"/>
    <x v="1"/>
    <x v="4"/>
  </r>
  <r>
    <n v="19"/>
    <x v="0"/>
    <s v="Travel_Rarely"/>
    <n v="419"/>
    <x v="0"/>
    <n v="21"/>
    <n v="3"/>
    <s v="Other"/>
    <n v="959"/>
    <n v="4"/>
    <x v="1"/>
    <n v="37"/>
    <n v="2"/>
    <n v="1"/>
    <x v="6"/>
    <n v="2"/>
    <x v="0"/>
    <n v="2121"/>
    <n v="1"/>
    <x v="0"/>
    <n v="13"/>
    <n v="3"/>
    <n v="2"/>
    <n v="0"/>
    <n v="1"/>
    <n v="3"/>
    <n v="4"/>
    <n v="1"/>
    <n v="0"/>
    <n v="0"/>
    <n v="0"/>
    <x v="0"/>
    <x v="0"/>
    <x v="3"/>
    <x v="2"/>
    <x v="1"/>
    <x v="1"/>
    <x v="1"/>
    <x v="2"/>
    <s v="No Options"/>
    <x v="3"/>
    <x v="4"/>
    <x v="1"/>
    <x v="1"/>
  </r>
  <r>
    <n v="20"/>
    <x v="0"/>
    <s v="Travel_Rarely"/>
    <n v="129"/>
    <x v="1"/>
    <n v="4"/>
    <n v="3"/>
    <s v="Technical Degree"/>
    <n v="960"/>
    <n v="1"/>
    <x v="1"/>
    <n v="84"/>
    <n v="3"/>
    <n v="1"/>
    <x v="2"/>
    <n v="1"/>
    <x v="0"/>
    <n v="2973"/>
    <n v="1"/>
    <x v="1"/>
    <n v="19"/>
    <n v="3"/>
    <n v="2"/>
    <n v="0"/>
    <n v="1"/>
    <n v="2"/>
    <n v="3"/>
    <n v="1"/>
    <n v="0"/>
    <n v="0"/>
    <n v="0"/>
    <x v="0"/>
    <x v="1"/>
    <x v="3"/>
    <x v="3"/>
    <x v="0"/>
    <x v="1"/>
    <x v="3"/>
    <x v="2"/>
    <s v="No Options"/>
    <x v="1"/>
    <x v="4"/>
    <x v="1"/>
    <x v="1"/>
  </r>
  <r>
    <n v="31"/>
    <x v="1"/>
    <s v="Travel_Rarely"/>
    <n v="616"/>
    <x v="1"/>
    <n v="12"/>
    <n v="3"/>
    <s v="Medical"/>
    <n v="961"/>
    <n v="4"/>
    <x v="0"/>
    <n v="41"/>
    <n v="3"/>
    <n v="2"/>
    <x v="4"/>
    <n v="4"/>
    <x v="1"/>
    <n v="5855"/>
    <n v="0"/>
    <x v="0"/>
    <n v="11"/>
    <n v="3"/>
    <n v="3"/>
    <n v="2"/>
    <n v="10"/>
    <n v="2"/>
    <n v="1"/>
    <n v="9"/>
    <n v="7"/>
    <n v="8"/>
    <n v="5"/>
    <x v="1"/>
    <x v="0"/>
    <x v="3"/>
    <x v="2"/>
    <x v="0"/>
    <x v="0"/>
    <x v="0"/>
    <x v="3"/>
    <s v="Medium"/>
    <x v="0"/>
    <x v="2"/>
    <x v="0"/>
    <x v="0"/>
  </r>
  <r>
    <n v="40"/>
    <x v="1"/>
    <s v="Travel_Frequently"/>
    <n v="1469"/>
    <x v="1"/>
    <n v="9"/>
    <n v="4"/>
    <s v="Medical"/>
    <n v="964"/>
    <n v="4"/>
    <x v="1"/>
    <n v="35"/>
    <n v="3"/>
    <n v="1"/>
    <x v="1"/>
    <n v="2"/>
    <x v="2"/>
    <n v="3617"/>
    <n v="8"/>
    <x v="0"/>
    <n v="14"/>
    <n v="3"/>
    <n v="4"/>
    <n v="1"/>
    <n v="3"/>
    <n v="2"/>
    <n v="3"/>
    <n v="1"/>
    <n v="1"/>
    <n v="0"/>
    <n v="0"/>
    <x v="1"/>
    <x v="0"/>
    <x v="2"/>
    <x v="2"/>
    <x v="0"/>
    <x v="1"/>
    <x v="1"/>
    <x v="1"/>
    <s v="Low"/>
    <x v="1"/>
    <x v="0"/>
    <x v="0"/>
    <x v="1"/>
  </r>
  <r>
    <n v="32"/>
    <x v="1"/>
    <s v="Travel_Rarely"/>
    <n v="498"/>
    <x v="1"/>
    <n v="3"/>
    <n v="4"/>
    <s v="Medical"/>
    <n v="966"/>
    <n v="3"/>
    <x v="0"/>
    <n v="93"/>
    <n v="3"/>
    <n v="2"/>
    <x v="3"/>
    <n v="1"/>
    <x v="1"/>
    <n v="6725"/>
    <n v="1"/>
    <x v="1"/>
    <n v="12"/>
    <n v="3"/>
    <n v="3"/>
    <n v="1"/>
    <n v="8"/>
    <n v="2"/>
    <n v="4"/>
    <n v="8"/>
    <n v="7"/>
    <n v="6"/>
    <n v="3"/>
    <x v="1"/>
    <x v="1"/>
    <x v="2"/>
    <x v="1"/>
    <x v="0"/>
    <x v="0"/>
    <x v="3"/>
    <x v="3"/>
    <s v="Low"/>
    <x v="3"/>
    <x v="2"/>
    <x v="0"/>
    <x v="0"/>
  </r>
  <r>
    <n v="36"/>
    <x v="0"/>
    <s v="Travel_Rarely"/>
    <n v="530"/>
    <x v="0"/>
    <n v="3"/>
    <n v="1"/>
    <s v="Life Sciences"/>
    <n v="967"/>
    <n v="3"/>
    <x v="1"/>
    <n v="51"/>
    <n v="2"/>
    <n v="3"/>
    <x v="0"/>
    <n v="4"/>
    <x v="1"/>
    <n v="10325"/>
    <n v="1"/>
    <x v="0"/>
    <n v="11"/>
    <n v="3"/>
    <n v="1"/>
    <n v="1"/>
    <n v="16"/>
    <n v="6"/>
    <n v="3"/>
    <n v="16"/>
    <n v="7"/>
    <n v="3"/>
    <n v="7"/>
    <x v="0"/>
    <x v="0"/>
    <x v="1"/>
    <x v="1"/>
    <x v="1"/>
    <x v="2"/>
    <x v="0"/>
    <x v="0"/>
    <s v="Low"/>
    <x v="1"/>
    <x v="0"/>
    <x v="2"/>
    <x v="4"/>
  </r>
  <r>
    <n v="33"/>
    <x v="1"/>
    <s v="Travel_Rarely"/>
    <n v="1069"/>
    <x v="1"/>
    <n v="1"/>
    <n v="3"/>
    <s v="Life Sciences"/>
    <n v="969"/>
    <n v="2"/>
    <x v="0"/>
    <n v="42"/>
    <n v="2"/>
    <n v="2"/>
    <x v="4"/>
    <n v="4"/>
    <x v="0"/>
    <n v="6949"/>
    <n v="0"/>
    <x v="1"/>
    <n v="14"/>
    <n v="3"/>
    <n v="1"/>
    <n v="0"/>
    <n v="6"/>
    <n v="3"/>
    <n v="3"/>
    <n v="5"/>
    <n v="0"/>
    <n v="1"/>
    <n v="4"/>
    <x v="1"/>
    <x v="1"/>
    <x v="3"/>
    <x v="0"/>
    <x v="1"/>
    <x v="0"/>
    <x v="0"/>
    <x v="0"/>
    <s v="No Options"/>
    <x v="1"/>
    <x v="2"/>
    <x v="0"/>
    <x v="2"/>
  </r>
  <r>
    <n v="37"/>
    <x v="0"/>
    <s v="Travel_Rarely"/>
    <n v="625"/>
    <x v="0"/>
    <n v="1"/>
    <n v="4"/>
    <s v="Life Sciences"/>
    <n v="970"/>
    <n v="1"/>
    <x v="1"/>
    <n v="46"/>
    <n v="2"/>
    <n v="3"/>
    <x v="0"/>
    <n v="3"/>
    <x v="1"/>
    <n v="10609"/>
    <n v="5"/>
    <x v="1"/>
    <n v="11"/>
    <n v="3"/>
    <n v="3"/>
    <n v="0"/>
    <n v="17"/>
    <n v="2"/>
    <n v="1"/>
    <n v="14"/>
    <n v="1"/>
    <n v="11"/>
    <n v="7"/>
    <x v="0"/>
    <x v="1"/>
    <x v="2"/>
    <x v="3"/>
    <x v="1"/>
    <x v="2"/>
    <x v="2"/>
    <x v="3"/>
    <s v="No Options"/>
    <x v="0"/>
    <x v="0"/>
    <x v="2"/>
    <x v="4"/>
  </r>
  <r>
    <n v="45"/>
    <x v="1"/>
    <s v="Non-Travel"/>
    <n v="805"/>
    <x v="1"/>
    <n v="4"/>
    <n v="2"/>
    <s v="Life Sciences"/>
    <n v="972"/>
    <n v="3"/>
    <x v="1"/>
    <n v="57"/>
    <n v="3"/>
    <n v="2"/>
    <x v="2"/>
    <n v="2"/>
    <x v="1"/>
    <n v="4447"/>
    <n v="1"/>
    <x v="1"/>
    <n v="12"/>
    <n v="3"/>
    <n v="2"/>
    <n v="0"/>
    <n v="9"/>
    <n v="5"/>
    <n v="2"/>
    <n v="9"/>
    <n v="7"/>
    <n v="0"/>
    <n v="8"/>
    <x v="1"/>
    <x v="1"/>
    <x v="0"/>
    <x v="1"/>
    <x v="0"/>
    <x v="0"/>
    <x v="1"/>
    <x v="2"/>
    <s v="No Options"/>
    <x v="2"/>
    <x v="1"/>
    <x v="0"/>
    <x v="0"/>
  </r>
  <r>
    <n v="29"/>
    <x v="1"/>
    <s v="Travel_Frequently"/>
    <n v="1404"/>
    <x v="0"/>
    <n v="20"/>
    <n v="3"/>
    <s v="Technical Degree"/>
    <n v="974"/>
    <n v="3"/>
    <x v="0"/>
    <n v="84"/>
    <n v="3"/>
    <n v="1"/>
    <x v="6"/>
    <n v="4"/>
    <x v="1"/>
    <n v="2157"/>
    <n v="1"/>
    <x v="1"/>
    <n v="15"/>
    <n v="3"/>
    <n v="2"/>
    <n v="1"/>
    <n v="3"/>
    <n v="5"/>
    <n v="3"/>
    <n v="3"/>
    <n v="1"/>
    <n v="0"/>
    <n v="2"/>
    <x v="1"/>
    <x v="1"/>
    <x v="3"/>
    <x v="1"/>
    <x v="0"/>
    <x v="1"/>
    <x v="0"/>
    <x v="2"/>
    <s v="Low"/>
    <x v="1"/>
    <x v="2"/>
    <x v="1"/>
    <x v="2"/>
  </r>
  <r>
    <n v="35"/>
    <x v="1"/>
    <s v="Travel_Rarely"/>
    <n v="1219"/>
    <x v="0"/>
    <n v="18"/>
    <n v="3"/>
    <s v="Medical"/>
    <n v="975"/>
    <n v="3"/>
    <x v="0"/>
    <n v="86"/>
    <n v="3"/>
    <n v="2"/>
    <x v="0"/>
    <n v="3"/>
    <x v="1"/>
    <n v="4601"/>
    <n v="1"/>
    <x v="1"/>
    <n v="16"/>
    <n v="3"/>
    <n v="2"/>
    <n v="0"/>
    <n v="5"/>
    <n v="3"/>
    <n v="3"/>
    <n v="5"/>
    <n v="2"/>
    <n v="1"/>
    <n v="0"/>
    <x v="1"/>
    <x v="1"/>
    <x v="3"/>
    <x v="1"/>
    <x v="0"/>
    <x v="0"/>
    <x v="2"/>
    <x v="2"/>
    <s v="No Options"/>
    <x v="1"/>
    <x v="0"/>
    <x v="0"/>
    <x v="2"/>
  </r>
  <r>
    <n v="52"/>
    <x v="1"/>
    <s v="Travel_Rarely"/>
    <n v="1053"/>
    <x v="1"/>
    <n v="1"/>
    <n v="2"/>
    <s v="Life Sciences"/>
    <n v="976"/>
    <n v="4"/>
    <x v="1"/>
    <n v="70"/>
    <n v="3"/>
    <n v="4"/>
    <x v="5"/>
    <n v="4"/>
    <x v="1"/>
    <n v="17099"/>
    <n v="2"/>
    <x v="1"/>
    <n v="15"/>
    <n v="3"/>
    <n v="2"/>
    <n v="1"/>
    <n v="26"/>
    <n v="2"/>
    <n v="2"/>
    <n v="9"/>
    <n v="8"/>
    <n v="7"/>
    <n v="8"/>
    <x v="1"/>
    <x v="1"/>
    <x v="0"/>
    <x v="2"/>
    <x v="0"/>
    <x v="3"/>
    <x v="0"/>
    <x v="2"/>
    <s v="Low"/>
    <x v="2"/>
    <x v="1"/>
    <x v="3"/>
    <x v="0"/>
  </r>
  <r>
    <n v="58"/>
    <x v="0"/>
    <s v="Travel_Rarely"/>
    <n v="289"/>
    <x v="1"/>
    <n v="2"/>
    <n v="3"/>
    <s v="Technical Degree"/>
    <n v="977"/>
    <n v="4"/>
    <x v="1"/>
    <n v="51"/>
    <n v="3"/>
    <n v="1"/>
    <x v="1"/>
    <n v="3"/>
    <x v="0"/>
    <n v="2479"/>
    <n v="4"/>
    <x v="1"/>
    <n v="24"/>
    <n v="4"/>
    <n v="1"/>
    <n v="0"/>
    <n v="7"/>
    <n v="4"/>
    <n v="3"/>
    <n v="1"/>
    <n v="0"/>
    <n v="0"/>
    <n v="0"/>
    <x v="0"/>
    <x v="1"/>
    <x v="3"/>
    <x v="2"/>
    <x v="0"/>
    <x v="1"/>
    <x v="2"/>
    <x v="0"/>
    <s v="No Options"/>
    <x v="1"/>
    <x v="3"/>
    <x v="1"/>
    <x v="1"/>
  </r>
  <r>
    <n v="53"/>
    <x v="1"/>
    <s v="Travel_Rarely"/>
    <n v="1376"/>
    <x v="0"/>
    <n v="2"/>
    <n v="2"/>
    <s v="Medical"/>
    <n v="981"/>
    <n v="3"/>
    <x v="1"/>
    <n v="45"/>
    <n v="3"/>
    <n v="4"/>
    <x v="5"/>
    <n v="3"/>
    <x v="2"/>
    <n v="14852"/>
    <n v="6"/>
    <x v="1"/>
    <n v="13"/>
    <n v="3"/>
    <n v="3"/>
    <n v="1"/>
    <n v="22"/>
    <n v="3"/>
    <n v="4"/>
    <n v="17"/>
    <n v="13"/>
    <n v="15"/>
    <n v="2"/>
    <x v="1"/>
    <x v="1"/>
    <x v="0"/>
    <x v="1"/>
    <x v="0"/>
    <x v="3"/>
    <x v="2"/>
    <x v="3"/>
    <s v="Low"/>
    <x v="3"/>
    <x v="1"/>
    <x v="3"/>
    <x v="4"/>
  </r>
  <r>
    <n v="30"/>
    <x v="1"/>
    <s v="Travel_Rarely"/>
    <n v="231"/>
    <x v="0"/>
    <n v="8"/>
    <n v="2"/>
    <s v="Other"/>
    <n v="982"/>
    <n v="3"/>
    <x v="1"/>
    <n v="62"/>
    <n v="3"/>
    <n v="3"/>
    <x v="0"/>
    <n v="3"/>
    <x v="2"/>
    <n v="7264"/>
    <n v="5"/>
    <x v="1"/>
    <n v="11"/>
    <n v="3"/>
    <n v="1"/>
    <n v="1"/>
    <n v="10"/>
    <n v="2"/>
    <n v="4"/>
    <n v="8"/>
    <n v="4"/>
    <n v="7"/>
    <n v="7"/>
    <x v="1"/>
    <x v="1"/>
    <x v="0"/>
    <x v="1"/>
    <x v="0"/>
    <x v="2"/>
    <x v="2"/>
    <x v="0"/>
    <s v="Low"/>
    <x v="3"/>
    <x v="2"/>
    <x v="2"/>
    <x v="0"/>
  </r>
  <r>
    <n v="38"/>
    <x v="1"/>
    <s v="Non-Travel"/>
    <n v="152"/>
    <x v="0"/>
    <n v="10"/>
    <n v="3"/>
    <s v="Technical Degree"/>
    <n v="983"/>
    <n v="3"/>
    <x v="0"/>
    <n v="85"/>
    <n v="3"/>
    <n v="2"/>
    <x v="0"/>
    <n v="4"/>
    <x v="0"/>
    <n v="5666"/>
    <n v="1"/>
    <x v="0"/>
    <n v="13"/>
    <n v="3"/>
    <n v="2"/>
    <n v="0"/>
    <n v="6"/>
    <n v="1"/>
    <n v="3"/>
    <n v="5"/>
    <n v="3"/>
    <n v="1"/>
    <n v="3"/>
    <x v="1"/>
    <x v="0"/>
    <x v="3"/>
    <x v="1"/>
    <x v="0"/>
    <x v="0"/>
    <x v="0"/>
    <x v="2"/>
    <s v="No Options"/>
    <x v="1"/>
    <x v="0"/>
    <x v="0"/>
    <x v="2"/>
  </r>
  <r>
    <n v="35"/>
    <x v="1"/>
    <s v="Travel_Rarely"/>
    <n v="882"/>
    <x v="0"/>
    <n v="3"/>
    <n v="4"/>
    <s v="Life Sciences"/>
    <n v="984"/>
    <n v="4"/>
    <x v="1"/>
    <n v="92"/>
    <n v="3"/>
    <n v="3"/>
    <x v="0"/>
    <n v="4"/>
    <x v="2"/>
    <n v="7823"/>
    <n v="6"/>
    <x v="1"/>
    <n v="13"/>
    <n v="3"/>
    <n v="2"/>
    <n v="1"/>
    <n v="12"/>
    <n v="2"/>
    <n v="3"/>
    <n v="10"/>
    <n v="9"/>
    <n v="0"/>
    <n v="8"/>
    <x v="1"/>
    <x v="1"/>
    <x v="2"/>
    <x v="2"/>
    <x v="0"/>
    <x v="2"/>
    <x v="0"/>
    <x v="2"/>
    <s v="Low"/>
    <x v="1"/>
    <x v="0"/>
    <x v="2"/>
    <x v="0"/>
  </r>
  <r>
    <n v="39"/>
    <x v="1"/>
    <s v="Travel_Rarely"/>
    <n v="903"/>
    <x v="0"/>
    <n v="2"/>
    <n v="5"/>
    <s v="Life Sciences"/>
    <n v="985"/>
    <n v="1"/>
    <x v="1"/>
    <n v="41"/>
    <n v="4"/>
    <n v="3"/>
    <x v="0"/>
    <n v="3"/>
    <x v="0"/>
    <n v="7880"/>
    <n v="0"/>
    <x v="1"/>
    <n v="18"/>
    <n v="3"/>
    <n v="4"/>
    <n v="0"/>
    <n v="9"/>
    <n v="3"/>
    <n v="3"/>
    <n v="8"/>
    <n v="7"/>
    <n v="0"/>
    <n v="7"/>
    <x v="1"/>
    <x v="1"/>
    <x v="4"/>
    <x v="3"/>
    <x v="2"/>
    <x v="2"/>
    <x v="2"/>
    <x v="1"/>
    <s v="No Options"/>
    <x v="1"/>
    <x v="0"/>
    <x v="2"/>
    <x v="0"/>
  </r>
  <r>
    <n v="40"/>
    <x v="0"/>
    <s v="Non-Travel"/>
    <n v="1479"/>
    <x v="0"/>
    <n v="24"/>
    <n v="3"/>
    <s v="Life Sciences"/>
    <n v="986"/>
    <n v="2"/>
    <x v="0"/>
    <n v="100"/>
    <n v="4"/>
    <n v="4"/>
    <x v="0"/>
    <n v="2"/>
    <x v="0"/>
    <n v="13194"/>
    <n v="4"/>
    <x v="0"/>
    <n v="16"/>
    <n v="3"/>
    <n v="4"/>
    <n v="0"/>
    <n v="22"/>
    <n v="2"/>
    <n v="2"/>
    <n v="1"/>
    <n v="0"/>
    <n v="0"/>
    <n v="0"/>
    <x v="0"/>
    <x v="0"/>
    <x v="3"/>
    <x v="0"/>
    <x v="2"/>
    <x v="3"/>
    <x v="1"/>
    <x v="1"/>
    <s v="No Options"/>
    <x v="2"/>
    <x v="0"/>
    <x v="3"/>
    <x v="1"/>
  </r>
  <r>
    <n v="47"/>
    <x v="1"/>
    <s v="Travel_Frequently"/>
    <n v="1379"/>
    <x v="1"/>
    <n v="16"/>
    <n v="4"/>
    <s v="Medical"/>
    <n v="987"/>
    <n v="3"/>
    <x v="1"/>
    <n v="64"/>
    <n v="4"/>
    <n v="2"/>
    <x v="3"/>
    <n v="3"/>
    <x v="2"/>
    <n v="5067"/>
    <n v="1"/>
    <x v="0"/>
    <n v="19"/>
    <n v="3"/>
    <n v="3"/>
    <n v="0"/>
    <n v="20"/>
    <n v="3"/>
    <n v="4"/>
    <n v="19"/>
    <n v="10"/>
    <n v="2"/>
    <n v="7"/>
    <x v="1"/>
    <x v="0"/>
    <x v="2"/>
    <x v="1"/>
    <x v="2"/>
    <x v="0"/>
    <x v="2"/>
    <x v="3"/>
    <s v="No Options"/>
    <x v="3"/>
    <x v="1"/>
    <x v="0"/>
    <x v="4"/>
  </r>
  <r>
    <n v="36"/>
    <x v="1"/>
    <s v="Non-Travel"/>
    <n v="1229"/>
    <x v="0"/>
    <n v="8"/>
    <n v="4"/>
    <s v="Technical Degree"/>
    <n v="990"/>
    <n v="1"/>
    <x v="1"/>
    <n v="84"/>
    <n v="3"/>
    <n v="2"/>
    <x v="0"/>
    <n v="4"/>
    <x v="2"/>
    <n v="5079"/>
    <n v="4"/>
    <x v="1"/>
    <n v="13"/>
    <n v="3"/>
    <n v="4"/>
    <n v="2"/>
    <n v="12"/>
    <n v="3"/>
    <n v="3"/>
    <n v="7"/>
    <n v="7"/>
    <n v="0"/>
    <n v="7"/>
    <x v="1"/>
    <x v="1"/>
    <x v="2"/>
    <x v="3"/>
    <x v="0"/>
    <x v="0"/>
    <x v="0"/>
    <x v="1"/>
    <s v="Medium"/>
    <x v="1"/>
    <x v="0"/>
    <x v="0"/>
    <x v="0"/>
  </r>
  <r>
    <n v="31"/>
    <x v="0"/>
    <s v="Non-Travel"/>
    <n v="335"/>
    <x v="1"/>
    <n v="9"/>
    <n v="2"/>
    <s v="Medical"/>
    <n v="991"/>
    <n v="3"/>
    <x v="1"/>
    <n v="46"/>
    <n v="2"/>
    <n v="1"/>
    <x v="1"/>
    <n v="1"/>
    <x v="0"/>
    <n v="2321"/>
    <n v="0"/>
    <x v="0"/>
    <n v="22"/>
    <n v="4"/>
    <n v="1"/>
    <n v="0"/>
    <n v="4"/>
    <n v="0"/>
    <n v="3"/>
    <n v="3"/>
    <n v="2"/>
    <n v="1"/>
    <n v="2"/>
    <x v="0"/>
    <x v="0"/>
    <x v="0"/>
    <x v="1"/>
    <x v="1"/>
    <x v="1"/>
    <x v="3"/>
    <x v="0"/>
    <s v="No Options"/>
    <x v="1"/>
    <x v="2"/>
    <x v="1"/>
    <x v="2"/>
  </r>
  <r>
    <n v="33"/>
    <x v="1"/>
    <s v="Non-Travel"/>
    <n v="722"/>
    <x v="0"/>
    <n v="17"/>
    <n v="3"/>
    <s v="Life Sciences"/>
    <n v="992"/>
    <n v="4"/>
    <x v="1"/>
    <n v="38"/>
    <n v="3"/>
    <n v="4"/>
    <x v="5"/>
    <n v="3"/>
    <x v="0"/>
    <n v="17444"/>
    <n v="1"/>
    <x v="1"/>
    <n v="11"/>
    <n v="3"/>
    <n v="4"/>
    <n v="0"/>
    <n v="10"/>
    <n v="2"/>
    <n v="3"/>
    <n v="10"/>
    <n v="8"/>
    <n v="6"/>
    <n v="0"/>
    <x v="1"/>
    <x v="1"/>
    <x v="3"/>
    <x v="2"/>
    <x v="0"/>
    <x v="3"/>
    <x v="2"/>
    <x v="1"/>
    <s v="No Options"/>
    <x v="1"/>
    <x v="2"/>
    <x v="3"/>
    <x v="0"/>
  </r>
  <r>
    <n v="29"/>
    <x v="0"/>
    <s v="Travel_Rarely"/>
    <n v="906"/>
    <x v="1"/>
    <n v="10"/>
    <n v="3"/>
    <s v="Life Sciences"/>
    <n v="994"/>
    <n v="4"/>
    <x v="0"/>
    <n v="92"/>
    <n v="2"/>
    <n v="1"/>
    <x v="1"/>
    <n v="1"/>
    <x v="0"/>
    <n v="2404"/>
    <n v="6"/>
    <x v="0"/>
    <n v="20"/>
    <n v="4"/>
    <n v="3"/>
    <n v="0"/>
    <n v="3"/>
    <n v="5"/>
    <n v="3"/>
    <n v="0"/>
    <n v="0"/>
    <n v="0"/>
    <n v="0"/>
    <x v="0"/>
    <x v="0"/>
    <x v="3"/>
    <x v="2"/>
    <x v="1"/>
    <x v="1"/>
    <x v="3"/>
    <x v="3"/>
    <s v="No Options"/>
    <x v="1"/>
    <x v="2"/>
    <x v="1"/>
    <x v="1"/>
  </r>
  <r>
    <n v="33"/>
    <x v="1"/>
    <s v="Travel_Rarely"/>
    <n v="461"/>
    <x v="1"/>
    <n v="13"/>
    <n v="1"/>
    <s v="Life Sciences"/>
    <n v="995"/>
    <n v="2"/>
    <x v="0"/>
    <n v="53"/>
    <n v="3"/>
    <n v="1"/>
    <x v="1"/>
    <n v="4"/>
    <x v="0"/>
    <n v="3452"/>
    <n v="3"/>
    <x v="1"/>
    <n v="18"/>
    <n v="3"/>
    <n v="1"/>
    <n v="0"/>
    <n v="5"/>
    <n v="4"/>
    <n v="3"/>
    <n v="3"/>
    <n v="2"/>
    <n v="0"/>
    <n v="2"/>
    <x v="1"/>
    <x v="1"/>
    <x v="1"/>
    <x v="0"/>
    <x v="0"/>
    <x v="1"/>
    <x v="0"/>
    <x v="0"/>
    <s v="No Options"/>
    <x v="1"/>
    <x v="2"/>
    <x v="0"/>
    <x v="2"/>
  </r>
  <r>
    <n v="45"/>
    <x v="1"/>
    <s v="Travel_Rarely"/>
    <n v="974"/>
    <x v="1"/>
    <n v="1"/>
    <n v="4"/>
    <s v="Medical"/>
    <n v="996"/>
    <n v="4"/>
    <x v="0"/>
    <n v="91"/>
    <n v="3"/>
    <n v="1"/>
    <x v="2"/>
    <n v="4"/>
    <x v="2"/>
    <n v="2270"/>
    <n v="3"/>
    <x v="1"/>
    <n v="14"/>
    <n v="3"/>
    <n v="4"/>
    <n v="2"/>
    <n v="8"/>
    <n v="2"/>
    <n v="3"/>
    <n v="5"/>
    <n v="3"/>
    <n v="0"/>
    <n v="2"/>
    <x v="1"/>
    <x v="1"/>
    <x v="2"/>
    <x v="2"/>
    <x v="0"/>
    <x v="1"/>
    <x v="0"/>
    <x v="1"/>
    <s v="Medium"/>
    <x v="1"/>
    <x v="1"/>
    <x v="1"/>
    <x v="2"/>
  </r>
  <r>
    <n v="50"/>
    <x v="1"/>
    <s v="Travel_Rarely"/>
    <n v="1126"/>
    <x v="1"/>
    <n v="1"/>
    <n v="2"/>
    <s v="Medical"/>
    <n v="997"/>
    <n v="4"/>
    <x v="1"/>
    <n v="66"/>
    <n v="3"/>
    <n v="4"/>
    <x v="7"/>
    <n v="4"/>
    <x v="2"/>
    <n v="17399"/>
    <n v="9"/>
    <x v="1"/>
    <n v="22"/>
    <n v="4"/>
    <n v="3"/>
    <n v="1"/>
    <n v="32"/>
    <n v="1"/>
    <n v="2"/>
    <n v="5"/>
    <n v="4"/>
    <n v="1"/>
    <n v="3"/>
    <x v="1"/>
    <x v="1"/>
    <x v="0"/>
    <x v="2"/>
    <x v="0"/>
    <x v="3"/>
    <x v="0"/>
    <x v="3"/>
    <s v="Low"/>
    <x v="2"/>
    <x v="1"/>
    <x v="3"/>
    <x v="2"/>
  </r>
  <r>
    <n v="33"/>
    <x v="1"/>
    <s v="Travel_Frequently"/>
    <n v="827"/>
    <x v="1"/>
    <n v="1"/>
    <n v="4"/>
    <s v="Other"/>
    <n v="998"/>
    <n v="3"/>
    <x v="0"/>
    <n v="84"/>
    <n v="4"/>
    <n v="2"/>
    <x v="4"/>
    <n v="2"/>
    <x v="1"/>
    <n v="5488"/>
    <n v="1"/>
    <x v="0"/>
    <n v="13"/>
    <n v="3"/>
    <n v="1"/>
    <n v="1"/>
    <n v="6"/>
    <n v="2"/>
    <n v="3"/>
    <n v="6"/>
    <n v="5"/>
    <n v="1"/>
    <n v="2"/>
    <x v="1"/>
    <x v="0"/>
    <x v="2"/>
    <x v="1"/>
    <x v="2"/>
    <x v="0"/>
    <x v="1"/>
    <x v="0"/>
    <s v="Low"/>
    <x v="1"/>
    <x v="2"/>
    <x v="0"/>
    <x v="0"/>
  </r>
  <r>
    <n v="41"/>
    <x v="1"/>
    <s v="Travel_Frequently"/>
    <n v="840"/>
    <x v="1"/>
    <n v="9"/>
    <n v="3"/>
    <s v="Medical"/>
    <n v="999"/>
    <n v="1"/>
    <x v="1"/>
    <n v="64"/>
    <n v="3"/>
    <n v="5"/>
    <x v="7"/>
    <n v="3"/>
    <x v="2"/>
    <n v="19419"/>
    <n v="2"/>
    <x v="1"/>
    <n v="17"/>
    <n v="3"/>
    <n v="2"/>
    <n v="1"/>
    <n v="21"/>
    <n v="2"/>
    <n v="4"/>
    <n v="18"/>
    <n v="16"/>
    <n v="0"/>
    <n v="11"/>
    <x v="1"/>
    <x v="1"/>
    <x v="3"/>
    <x v="3"/>
    <x v="0"/>
    <x v="4"/>
    <x v="2"/>
    <x v="2"/>
    <s v="Low"/>
    <x v="3"/>
    <x v="0"/>
    <x v="3"/>
    <x v="4"/>
  </r>
  <r>
    <n v="27"/>
    <x v="1"/>
    <s v="Travel_Rarely"/>
    <n v="1134"/>
    <x v="1"/>
    <n v="16"/>
    <n v="4"/>
    <s v="Technical Degree"/>
    <n v="1001"/>
    <n v="3"/>
    <x v="0"/>
    <n v="37"/>
    <n v="3"/>
    <n v="1"/>
    <x v="2"/>
    <n v="2"/>
    <x v="1"/>
    <n v="2811"/>
    <n v="9"/>
    <x v="1"/>
    <n v="14"/>
    <n v="3"/>
    <n v="2"/>
    <n v="1"/>
    <n v="4"/>
    <n v="2"/>
    <n v="3"/>
    <n v="2"/>
    <n v="2"/>
    <n v="2"/>
    <n v="2"/>
    <x v="1"/>
    <x v="1"/>
    <x v="2"/>
    <x v="1"/>
    <x v="0"/>
    <x v="1"/>
    <x v="1"/>
    <x v="2"/>
    <s v="Low"/>
    <x v="1"/>
    <x v="2"/>
    <x v="1"/>
    <x v="1"/>
  </r>
  <r>
    <n v="45"/>
    <x v="1"/>
    <s v="Non-Travel"/>
    <n v="248"/>
    <x v="1"/>
    <n v="23"/>
    <n v="2"/>
    <s v="Life Sciences"/>
    <n v="1002"/>
    <n v="4"/>
    <x v="1"/>
    <n v="42"/>
    <n v="3"/>
    <n v="2"/>
    <x v="2"/>
    <n v="1"/>
    <x v="1"/>
    <n v="3633"/>
    <n v="1"/>
    <x v="0"/>
    <n v="15"/>
    <n v="3"/>
    <n v="3"/>
    <n v="1"/>
    <n v="9"/>
    <n v="2"/>
    <n v="3"/>
    <n v="9"/>
    <n v="8"/>
    <n v="0"/>
    <n v="8"/>
    <x v="1"/>
    <x v="0"/>
    <x v="0"/>
    <x v="2"/>
    <x v="0"/>
    <x v="0"/>
    <x v="3"/>
    <x v="3"/>
    <s v="Low"/>
    <x v="1"/>
    <x v="1"/>
    <x v="0"/>
    <x v="0"/>
  </r>
  <r>
    <n v="47"/>
    <x v="1"/>
    <s v="Travel_Rarely"/>
    <n v="955"/>
    <x v="0"/>
    <n v="4"/>
    <n v="2"/>
    <s v="Life Sciences"/>
    <n v="1003"/>
    <n v="4"/>
    <x v="0"/>
    <n v="83"/>
    <n v="3"/>
    <n v="2"/>
    <x v="0"/>
    <n v="4"/>
    <x v="0"/>
    <n v="4163"/>
    <n v="1"/>
    <x v="0"/>
    <n v="17"/>
    <n v="3"/>
    <n v="3"/>
    <n v="0"/>
    <n v="9"/>
    <n v="0"/>
    <n v="3"/>
    <n v="9"/>
    <n v="0"/>
    <n v="0"/>
    <n v="7"/>
    <x v="1"/>
    <x v="0"/>
    <x v="0"/>
    <x v="2"/>
    <x v="0"/>
    <x v="0"/>
    <x v="0"/>
    <x v="3"/>
    <s v="No Options"/>
    <x v="1"/>
    <x v="1"/>
    <x v="0"/>
    <x v="0"/>
  </r>
  <r>
    <n v="30"/>
    <x v="0"/>
    <s v="Travel_Rarely"/>
    <n v="138"/>
    <x v="1"/>
    <n v="22"/>
    <n v="3"/>
    <s v="Life Sciences"/>
    <n v="1004"/>
    <n v="1"/>
    <x v="0"/>
    <n v="48"/>
    <n v="3"/>
    <n v="1"/>
    <x v="1"/>
    <n v="3"/>
    <x v="1"/>
    <n v="2132"/>
    <n v="4"/>
    <x v="0"/>
    <n v="11"/>
    <n v="3"/>
    <n v="2"/>
    <n v="0"/>
    <n v="7"/>
    <n v="2"/>
    <n v="3"/>
    <n v="5"/>
    <n v="2"/>
    <n v="0"/>
    <n v="1"/>
    <x v="0"/>
    <x v="0"/>
    <x v="3"/>
    <x v="3"/>
    <x v="0"/>
    <x v="1"/>
    <x v="2"/>
    <x v="2"/>
    <s v="No Options"/>
    <x v="1"/>
    <x v="2"/>
    <x v="1"/>
    <x v="2"/>
  </r>
  <r>
    <n v="50"/>
    <x v="1"/>
    <s v="Travel_Rarely"/>
    <n v="939"/>
    <x v="1"/>
    <n v="24"/>
    <n v="3"/>
    <s v="Life Sciences"/>
    <n v="1005"/>
    <n v="4"/>
    <x v="1"/>
    <n v="95"/>
    <n v="3"/>
    <n v="4"/>
    <x v="3"/>
    <n v="3"/>
    <x v="1"/>
    <n v="13973"/>
    <n v="3"/>
    <x v="0"/>
    <n v="18"/>
    <n v="3"/>
    <n v="4"/>
    <n v="1"/>
    <n v="22"/>
    <n v="2"/>
    <n v="3"/>
    <n v="12"/>
    <n v="11"/>
    <n v="1"/>
    <n v="5"/>
    <x v="1"/>
    <x v="0"/>
    <x v="3"/>
    <x v="2"/>
    <x v="0"/>
    <x v="3"/>
    <x v="2"/>
    <x v="1"/>
    <s v="Low"/>
    <x v="1"/>
    <x v="1"/>
    <x v="3"/>
    <x v="4"/>
  </r>
  <r>
    <n v="38"/>
    <x v="1"/>
    <s v="Travel_Frequently"/>
    <n v="1391"/>
    <x v="1"/>
    <n v="10"/>
    <n v="1"/>
    <s v="Medical"/>
    <n v="1006"/>
    <n v="3"/>
    <x v="1"/>
    <n v="66"/>
    <n v="3"/>
    <n v="1"/>
    <x v="1"/>
    <n v="3"/>
    <x v="1"/>
    <n v="2684"/>
    <n v="0"/>
    <x v="1"/>
    <n v="17"/>
    <n v="3"/>
    <n v="2"/>
    <n v="1"/>
    <n v="3"/>
    <n v="0"/>
    <n v="2"/>
    <n v="2"/>
    <n v="1"/>
    <n v="0"/>
    <n v="2"/>
    <x v="1"/>
    <x v="1"/>
    <x v="1"/>
    <x v="1"/>
    <x v="0"/>
    <x v="1"/>
    <x v="2"/>
    <x v="2"/>
    <s v="Low"/>
    <x v="2"/>
    <x v="0"/>
    <x v="1"/>
    <x v="1"/>
  </r>
  <r>
    <n v="46"/>
    <x v="1"/>
    <s v="Travel_Rarely"/>
    <n v="566"/>
    <x v="1"/>
    <n v="7"/>
    <n v="2"/>
    <s v="Medical"/>
    <n v="1007"/>
    <n v="4"/>
    <x v="1"/>
    <n v="75"/>
    <n v="3"/>
    <n v="3"/>
    <x v="3"/>
    <n v="3"/>
    <x v="2"/>
    <n v="10845"/>
    <n v="6"/>
    <x v="1"/>
    <n v="13"/>
    <n v="3"/>
    <n v="2"/>
    <n v="1"/>
    <n v="13"/>
    <n v="3"/>
    <n v="3"/>
    <n v="8"/>
    <n v="7"/>
    <n v="0"/>
    <n v="7"/>
    <x v="1"/>
    <x v="1"/>
    <x v="0"/>
    <x v="2"/>
    <x v="0"/>
    <x v="2"/>
    <x v="2"/>
    <x v="2"/>
    <s v="Low"/>
    <x v="1"/>
    <x v="1"/>
    <x v="2"/>
    <x v="0"/>
  </r>
  <r>
    <n v="24"/>
    <x v="1"/>
    <s v="Travel_Rarely"/>
    <n v="1206"/>
    <x v="1"/>
    <n v="17"/>
    <n v="1"/>
    <s v="Medical"/>
    <n v="1009"/>
    <n v="4"/>
    <x v="0"/>
    <n v="41"/>
    <n v="2"/>
    <n v="2"/>
    <x v="3"/>
    <n v="3"/>
    <x v="2"/>
    <n v="4377"/>
    <n v="1"/>
    <x v="1"/>
    <n v="15"/>
    <n v="3"/>
    <n v="2"/>
    <n v="2"/>
    <n v="5"/>
    <n v="6"/>
    <n v="3"/>
    <n v="4"/>
    <n v="2"/>
    <n v="3"/>
    <n v="2"/>
    <x v="1"/>
    <x v="1"/>
    <x v="1"/>
    <x v="2"/>
    <x v="1"/>
    <x v="0"/>
    <x v="2"/>
    <x v="2"/>
    <s v="Medium"/>
    <x v="1"/>
    <x v="4"/>
    <x v="0"/>
    <x v="2"/>
  </r>
  <r>
    <n v="35"/>
    <x v="0"/>
    <s v="Travel_Rarely"/>
    <n v="622"/>
    <x v="1"/>
    <n v="14"/>
    <n v="4"/>
    <s v="Other"/>
    <n v="1010"/>
    <n v="3"/>
    <x v="1"/>
    <n v="39"/>
    <n v="2"/>
    <n v="1"/>
    <x v="2"/>
    <n v="2"/>
    <x v="2"/>
    <n v="3743"/>
    <n v="1"/>
    <x v="0"/>
    <n v="24"/>
    <n v="4"/>
    <n v="4"/>
    <n v="1"/>
    <n v="5"/>
    <n v="2"/>
    <n v="1"/>
    <n v="4"/>
    <n v="2"/>
    <n v="0"/>
    <n v="2"/>
    <x v="0"/>
    <x v="0"/>
    <x v="2"/>
    <x v="1"/>
    <x v="1"/>
    <x v="1"/>
    <x v="1"/>
    <x v="1"/>
    <s v="Low"/>
    <x v="0"/>
    <x v="0"/>
    <x v="0"/>
    <x v="2"/>
  </r>
  <r>
    <n v="31"/>
    <x v="1"/>
    <s v="Travel_Frequently"/>
    <n v="853"/>
    <x v="1"/>
    <n v="1"/>
    <n v="1"/>
    <s v="Life Sciences"/>
    <n v="1011"/>
    <n v="3"/>
    <x v="0"/>
    <n v="96"/>
    <n v="3"/>
    <n v="2"/>
    <x v="3"/>
    <n v="1"/>
    <x v="1"/>
    <n v="4148"/>
    <n v="1"/>
    <x v="1"/>
    <n v="12"/>
    <n v="3"/>
    <n v="3"/>
    <n v="1"/>
    <n v="4"/>
    <n v="1"/>
    <n v="3"/>
    <n v="4"/>
    <n v="3"/>
    <n v="0"/>
    <n v="3"/>
    <x v="1"/>
    <x v="1"/>
    <x v="1"/>
    <x v="1"/>
    <x v="0"/>
    <x v="0"/>
    <x v="3"/>
    <x v="3"/>
    <s v="Low"/>
    <x v="1"/>
    <x v="2"/>
    <x v="0"/>
    <x v="2"/>
  </r>
  <r>
    <n v="18"/>
    <x v="1"/>
    <s v="Non-Travel"/>
    <n v="287"/>
    <x v="1"/>
    <n v="5"/>
    <n v="2"/>
    <s v="Life Sciences"/>
    <n v="1012"/>
    <n v="2"/>
    <x v="1"/>
    <n v="73"/>
    <n v="3"/>
    <n v="1"/>
    <x v="1"/>
    <n v="4"/>
    <x v="0"/>
    <n v="1051"/>
    <n v="1"/>
    <x v="1"/>
    <n v="15"/>
    <n v="3"/>
    <n v="4"/>
    <n v="0"/>
    <n v="0"/>
    <n v="2"/>
    <n v="3"/>
    <n v="0"/>
    <n v="0"/>
    <n v="0"/>
    <n v="0"/>
    <x v="1"/>
    <x v="1"/>
    <x v="0"/>
    <x v="0"/>
    <x v="0"/>
    <x v="1"/>
    <x v="0"/>
    <x v="1"/>
    <s v="No Options"/>
    <x v="1"/>
    <x v="4"/>
    <x v="1"/>
    <x v="1"/>
  </r>
  <r>
    <n v="54"/>
    <x v="1"/>
    <s v="Travel_Rarely"/>
    <n v="1441"/>
    <x v="1"/>
    <n v="17"/>
    <n v="3"/>
    <s v="Technical Degree"/>
    <n v="1013"/>
    <n v="3"/>
    <x v="0"/>
    <n v="56"/>
    <n v="3"/>
    <n v="3"/>
    <x v="3"/>
    <n v="3"/>
    <x v="1"/>
    <n v="10739"/>
    <n v="8"/>
    <x v="1"/>
    <n v="11"/>
    <n v="3"/>
    <n v="3"/>
    <n v="1"/>
    <n v="22"/>
    <n v="2"/>
    <n v="3"/>
    <n v="10"/>
    <n v="7"/>
    <n v="0"/>
    <n v="8"/>
    <x v="1"/>
    <x v="1"/>
    <x v="3"/>
    <x v="1"/>
    <x v="0"/>
    <x v="2"/>
    <x v="2"/>
    <x v="3"/>
    <s v="Low"/>
    <x v="1"/>
    <x v="1"/>
    <x v="2"/>
    <x v="0"/>
  </r>
  <r>
    <n v="35"/>
    <x v="1"/>
    <s v="Travel_Rarely"/>
    <n v="583"/>
    <x v="1"/>
    <n v="25"/>
    <n v="4"/>
    <s v="Medical"/>
    <n v="1014"/>
    <n v="3"/>
    <x v="0"/>
    <n v="57"/>
    <n v="3"/>
    <n v="3"/>
    <x v="4"/>
    <n v="3"/>
    <x v="2"/>
    <n v="10388"/>
    <n v="1"/>
    <x v="0"/>
    <n v="11"/>
    <n v="3"/>
    <n v="3"/>
    <n v="1"/>
    <n v="16"/>
    <n v="3"/>
    <n v="2"/>
    <n v="16"/>
    <n v="10"/>
    <n v="10"/>
    <n v="1"/>
    <x v="1"/>
    <x v="0"/>
    <x v="2"/>
    <x v="1"/>
    <x v="0"/>
    <x v="2"/>
    <x v="2"/>
    <x v="3"/>
    <s v="Low"/>
    <x v="2"/>
    <x v="0"/>
    <x v="2"/>
    <x v="4"/>
  </r>
  <r>
    <n v="30"/>
    <x v="1"/>
    <s v="Travel_Rarely"/>
    <n v="153"/>
    <x v="1"/>
    <n v="8"/>
    <n v="2"/>
    <s v="Life Sciences"/>
    <n v="1015"/>
    <n v="2"/>
    <x v="0"/>
    <n v="73"/>
    <n v="4"/>
    <n v="3"/>
    <x v="7"/>
    <n v="1"/>
    <x v="1"/>
    <n v="11416"/>
    <n v="0"/>
    <x v="0"/>
    <n v="12"/>
    <n v="3"/>
    <n v="3"/>
    <n v="3"/>
    <n v="9"/>
    <n v="4"/>
    <n v="2"/>
    <n v="8"/>
    <n v="7"/>
    <n v="1"/>
    <n v="7"/>
    <x v="1"/>
    <x v="0"/>
    <x v="0"/>
    <x v="0"/>
    <x v="2"/>
    <x v="2"/>
    <x v="3"/>
    <x v="3"/>
    <s v="High"/>
    <x v="2"/>
    <x v="2"/>
    <x v="2"/>
    <x v="0"/>
  </r>
  <r>
    <n v="20"/>
    <x v="0"/>
    <s v="Travel_Rarely"/>
    <n v="1097"/>
    <x v="1"/>
    <n v="11"/>
    <n v="3"/>
    <s v="Medical"/>
    <n v="1016"/>
    <n v="4"/>
    <x v="0"/>
    <n v="98"/>
    <n v="2"/>
    <n v="1"/>
    <x v="1"/>
    <n v="1"/>
    <x v="0"/>
    <n v="2600"/>
    <n v="1"/>
    <x v="0"/>
    <n v="15"/>
    <n v="3"/>
    <n v="1"/>
    <n v="0"/>
    <n v="1"/>
    <n v="2"/>
    <n v="3"/>
    <n v="1"/>
    <n v="0"/>
    <n v="0"/>
    <n v="0"/>
    <x v="0"/>
    <x v="0"/>
    <x v="3"/>
    <x v="2"/>
    <x v="1"/>
    <x v="1"/>
    <x v="3"/>
    <x v="0"/>
    <s v="No Options"/>
    <x v="1"/>
    <x v="4"/>
    <x v="1"/>
    <x v="1"/>
  </r>
  <r>
    <n v="30"/>
    <x v="0"/>
    <s v="Travel_Frequently"/>
    <n v="109"/>
    <x v="1"/>
    <n v="5"/>
    <n v="3"/>
    <s v="Medical"/>
    <n v="1017"/>
    <n v="2"/>
    <x v="0"/>
    <n v="60"/>
    <n v="3"/>
    <n v="1"/>
    <x v="2"/>
    <n v="2"/>
    <x v="0"/>
    <n v="2422"/>
    <n v="0"/>
    <x v="1"/>
    <n v="17"/>
    <n v="3"/>
    <n v="1"/>
    <n v="0"/>
    <n v="4"/>
    <n v="3"/>
    <n v="3"/>
    <n v="3"/>
    <n v="2"/>
    <n v="1"/>
    <n v="2"/>
    <x v="0"/>
    <x v="1"/>
    <x v="3"/>
    <x v="0"/>
    <x v="0"/>
    <x v="1"/>
    <x v="1"/>
    <x v="0"/>
    <s v="No Options"/>
    <x v="1"/>
    <x v="2"/>
    <x v="1"/>
    <x v="2"/>
  </r>
  <r>
    <n v="26"/>
    <x v="1"/>
    <s v="Travel_Rarely"/>
    <n v="1066"/>
    <x v="1"/>
    <n v="2"/>
    <n v="2"/>
    <s v="Medical"/>
    <n v="1018"/>
    <n v="4"/>
    <x v="1"/>
    <n v="32"/>
    <n v="4"/>
    <n v="2"/>
    <x v="3"/>
    <n v="4"/>
    <x v="1"/>
    <n v="5472"/>
    <n v="1"/>
    <x v="1"/>
    <n v="12"/>
    <n v="3"/>
    <n v="2"/>
    <n v="0"/>
    <n v="8"/>
    <n v="2"/>
    <n v="3"/>
    <n v="8"/>
    <n v="7"/>
    <n v="1"/>
    <n v="3"/>
    <x v="1"/>
    <x v="1"/>
    <x v="0"/>
    <x v="2"/>
    <x v="2"/>
    <x v="0"/>
    <x v="0"/>
    <x v="2"/>
    <s v="No Options"/>
    <x v="1"/>
    <x v="2"/>
    <x v="0"/>
    <x v="0"/>
  </r>
  <r>
    <n v="22"/>
    <x v="1"/>
    <s v="Travel_Rarely"/>
    <n v="217"/>
    <x v="1"/>
    <n v="8"/>
    <n v="1"/>
    <s v="Life Sciences"/>
    <n v="1019"/>
    <n v="2"/>
    <x v="1"/>
    <n v="94"/>
    <n v="1"/>
    <n v="1"/>
    <x v="2"/>
    <n v="1"/>
    <x v="1"/>
    <n v="2451"/>
    <n v="1"/>
    <x v="1"/>
    <n v="15"/>
    <n v="3"/>
    <n v="1"/>
    <n v="1"/>
    <n v="4"/>
    <n v="3"/>
    <n v="2"/>
    <n v="4"/>
    <n v="3"/>
    <n v="1"/>
    <n v="1"/>
    <x v="1"/>
    <x v="1"/>
    <x v="1"/>
    <x v="0"/>
    <x v="3"/>
    <x v="1"/>
    <x v="3"/>
    <x v="0"/>
    <s v="Low"/>
    <x v="2"/>
    <x v="4"/>
    <x v="1"/>
    <x v="2"/>
  </r>
  <r>
    <n v="48"/>
    <x v="1"/>
    <s v="Travel_Rarely"/>
    <n v="277"/>
    <x v="1"/>
    <n v="6"/>
    <n v="3"/>
    <s v="Life Sciences"/>
    <n v="1022"/>
    <n v="1"/>
    <x v="1"/>
    <n v="97"/>
    <n v="2"/>
    <n v="2"/>
    <x v="4"/>
    <n v="3"/>
    <x v="0"/>
    <n v="4240"/>
    <n v="2"/>
    <x v="1"/>
    <n v="13"/>
    <n v="3"/>
    <n v="4"/>
    <n v="0"/>
    <n v="19"/>
    <n v="0"/>
    <n v="3"/>
    <n v="2"/>
    <n v="2"/>
    <n v="2"/>
    <n v="2"/>
    <x v="1"/>
    <x v="1"/>
    <x v="3"/>
    <x v="3"/>
    <x v="1"/>
    <x v="0"/>
    <x v="2"/>
    <x v="1"/>
    <s v="No Options"/>
    <x v="1"/>
    <x v="1"/>
    <x v="0"/>
    <x v="1"/>
  </r>
  <r>
    <n v="48"/>
    <x v="1"/>
    <s v="Travel_Rarely"/>
    <n v="1355"/>
    <x v="1"/>
    <n v="4"/>
    <n v="4"/>
    <s v="Life Sciences"/>
    <n v="1024"/>
    <n v="3"/>
    <x v="1"/>
    <n v="78"/>
    <n v="2"/>
    <n v="3"/>
    <x v="4"/>
    <n v="3"/>
    <x v="0"/>
    <n v="10999"/>
    <n v="7"/>
    <x v="1"/>
    <n v="14"/>
    <n v="3"/>
    <n v="2"/>
    <n v="0"/>
    <n v="27"/>
    <n v="3"/>
    <n v="3"/>
    <n v="15"/>
    <n v="11"/>
    <n v="4"/>
    <n v="8"/>
    <x v="1"/>
    <x v="1"/>
    <x v="2"/>
    <x v="1"/>
    <x v="1"/>
    <x v="2"/>
    <x v="2"/>
    <x v="2"/>
    <s v="No Options"/>
    <x v="1"/>
    <x v="1"/>
    <x v="2"/>
    <x v="4"/>
  </r>
  <r>
    <n v="41"/>
    <x v="1"/>
    <s v="Travel_Rarely"/>
    <n v="549"/>
    <x v="1"/>
    <n v="7"/>
    <n v="2"/>
    <s v="Medical"/>
    <n v="1025"/>
    <n v="4"/>
    <x v="0"/>
    <n v="42"/>
    <n v="3"/>
    <n v="2"/>
    <x v="3"/>
    <n v="3"/>
    <x v="0"/>
    <n v="5003"/>
    <n v="6"/>
    <x v="1"/>
    <n v="14"/>
    <n v="3"/>
    <n v="2"/>
    <n v="0"/>
    <n v="8"/>
    <n v="6"/>
    <n v="3"/>
    <n v="2"/>
    <n v="2"/>
    <n v="2"/>
    <n v="1"/>
    <x v="1"/>
    <x v="1"/>
    <x v="0"/>
    <x v="2"/>
    <x v="0"/>
    <x v="0"/>
    <x v="2"/>
    <x v="2"/>
    <s v="No Options"/>
    <x v="1"/>
    <x v="0"/>
    <x v="0"/>
    <x v="1"/>
  </r>
  <r>
    <n v="39"/>
    <x v="1"/>
    <s v="Travel_Rarely"/>
    <n v="466"/>
    <x v="1"/>
    <n v="1"/>
    <n v="1"/>
    <s v="Life Sciences"/>
    <n v="1026"/>
    <n v="4"/>
    <x v="0"/>
    <n v="65"/>
    <n v="2"/>
    <n v="4"/>
    <x v="3"/>
    <n v="4"/>
    <x v="1"/>
    <n v="12742"/>
    <n v="1"/>
    <x v="1"/>
    <n v="16"/>
    <n v="3"/>
    <n v="3"/>
    <n v="1"/>
    <n v="21"/>
    <n v="3"/>
    <n v="3"/>
    <n v="21"/>
    <n v="6"/>
    <n v="11"/>
    <n v="8"/>
    <x v="1"/>
    <x v="1"/>
    <x v="1"/>
    <x v="2"/>
    <x v="1"/>
    <x v="3"/>
    <x v="0"/>
    <x v="3"/>
    <s v="Low"/>
    <x v="1"/>
    <x v="0"/>
    <x v="2"/>
    <x v="3"/>
  </r>
  <r>
    <n v="27"/>
    <x v="1"/>
    <s v="Travel_Rarely"/>
    <n v="1055"/>
    <x v="1"/>
    <n v="2"/>
    <n v="4"/>
    <s v="Life Sciences"/>
    <n v="1027"/>
    <n v="1"/>
    <x v="0"/>
    <n v="47"/>
    <n v="3"/>
    <n v="2"/>
    <x v="3"/>
    <n v="4"/>
    <x v="1"/>
    <n v="4227"/>
    <n v="0"/>
    <x v="1"/>
    <n v="18"/>
    <n v="3"/>
    <n v="2"/>
    <n v="1"/>
    <n v="4"/>
    <n v="2"/>
    <n v="3"/>
    <n v="3"/>
    <n v="2"/>
    <n v="2"/>
    <n v="2"/>
    <x v="1"/>
    <x v="1"/>
    <x v="2"/>
    <x v="3"/>
    <x v="0"/>
    <x v="0"/>
    <x v="0"/>
    <x v="2"/>
    <s v="Low"/>
    <x v="1"/>
    <x v="2"/>
    <x v="0"/>
    <x v="2"/>
  </r>
  <r>
    <n v="35"/>
    <x v="1"/>
    <s v="Travel_Rarely"/>
    <n v="802"/>
    <x v="1"/>
    <n v="10"/>
    <n v="3"/>
    <s v="Other"/>
    <n v="1028"/>
    <n v="2"/>
    <x v="1"/>
    <n v="45"/>
    <n v="3"/>
    <n v="1"/>
    <x v="2"/>
    <n v="4"/>
    <x v="2"/>
    <n v="3917"/>
    <n v="1"/>
    <x v="1"/>
    <n v="20"/>
    <n v="4"/>
    <n v="1"/>
    <n v="1"/>
    <n v="3"/>
    <n v="4"/>
    <n v="2"/>
    <n v="3"/>
    <n v="2"/>
    <n v="1"/>
    <n v="2"/>
    <x v="1"/>
    <x v="1"/>
    <x v="3"/>
    <x v="0"/>
    <x v="0"/>
    <x v="1"/>
    <x v="0"/>
    <x v="0"/>
    <s v="Low"/>
    <x v="2"/>
    <x v="0"/>
    <x v="0"/>
    <x v="2"/>
  </r>
  <r>
    <n v="42"/>
    <x v="1"/>
    <s v="Travel_Rarely"/>
    <n v="265"/>
    <x v="0"/>
    <n v="5"/>
    <n v="2"/>
    <s v="Marketing"/>
    <n v="1029"/>
    <n v="4"/>
    <x v="1"/>
    <n v="90"/>
    <n v="3"/>
    <n v="5"/>
    <x v="5"/>
    <n v="3"/>
    <x v="1"/>
    <n v="18303"/>
    <n v="6"/>
    <x v="1"/>
    <n v="13"/>
    <n v="3"/>
    <n v="2"/>
    <n v="0"/>
    <n v="21"/>
    <n v="3"/>
    <n v="4"/>
    <n v="1"/>
    <n v="0"/>
    <n v="0"/>
    <n v="0"/>
    <x v="1"/>
    <x v="1"/>
    <x v="0"/>
    <x v="2"/>
    <x v="0"/>
    <x v="4"/>
    <x v="2"/>
    <x v="2"/>
    <s v="No Options"/>
    <x v="3"/>
    <x v="0"/>
    <x v="3"/>
    <x v="1"/>
  </r>
  <r>
    <n v="50"/>
    <x v="1"/>
    <s v="Travel_Rarely"/>
    <n v="804"/>
    <x v="1"/>
    <n v="9"/>
    <n v="3"/>
    <s v="Life Sciences"/>
    <n v="1030"/>
    <n v="1"/>
    <x v="1"/>
    <n v="64"/>
    <n v="3"/>
    <n v="1"/>
    <x v="2"/>
    <n v="4"/>
    <x v="1"/>
    <n v="2380"/>
    <n v="4"/>
    <x v="1"/>
    <n v="18"/>
    <n v="3"/>
    <n v="2"/>
    <n v="0"/>
    <n v="8"/>
    <n v="5"/>
    <n v="3"/>
    <n v="1"/>
    <n v="0"/>
    <n v="0"/>
    <n v="0"/>
    <x v="1"/>
    <x v="1"/>
    <x v="3"/>
    <x v="3"/>
    <x v="0"/>
    <x v="1"/>
    <x v="0"/>
    <x v="2"/>
    <s v="No Options"/>
    <x v="1"/>
    <x v="1"/>
    <x v="1"/>
    <x v="1"/>
  </r>
  <r>
    <n v="59"/>
    <x v="1"/>
    <s v="Travel_Rarely"/>
    <n v="715"/>
    <x v="1"/>
    <n v="2"/>
    <n v="3"/>
    <s v="Life Sciences"/>
    <n v="1032"/>
    <n v="3"/>
    <x v="0"/>
    <n v="69"/>
    <n v="2"/>
    <n v="4"/>
    <x v="3"/>
    <n v="4"/>
    <x v="0"/>
    <n v="13726"/>
    <n v="3"/>
    <x v="0"/>
    <n v="13"/>
    <n v="3"/>
    <n v="1"/>
    <n v="0"/>
    <n v="30"/>
    <n v="4"/>
    <n v="3"/>
    <n v="5"/>
    <n v="3"/>
    <n v="4"/>
    <n v="3"/>
    <x v="1"/>
    <x v="0"/>
    <x v="3"/>
    <x v="1"/>
    <x v="1"/>
    <x v="3"/>
    <x v="0"/>
    <x v="0"/>
    <s v="No Options"/>
    <x v="1"/>
    <x v="3"/>
    <x v="3"/>
    <x v="2"/>
  </r>
  <r>
    <n v="37"/>
    <x v="0"/>
    <s v="Travel_Rarely"/>
    <n v="1141"/>
    <x v="1"/>
    <n v="11"/>
    <n v="2"/>
    <s v="Medical"/>
    <n v="1033"/>
    <n v="1"/>
    <x v="0"/>
    <n v="61"/>
    <n v="1"/>
    <n v="2"/>
    <x v="4"/>
    <n v="2"/>
    <x v="1"/>
    <n v="4777"/>
    <n v="5"/>
    <x v="1"/>
    <n v="15"/>
    <n v="3"/>
    <n v="1"/>
    <n v="0"/>
    <n v="15"/>
    <n v="2"/>
    <n v="1"/>
    <n v="1"/>
    <n v="0"/>
    <n v="0"/>
    <n v="0"/>
    <x v="0"/>
    <x v="1"/>
    <x v="0"/>
    <x v="3"/>
    <x v="3"/>
    <x v="0"/>
    <x v="1"/>
    <x v="0"/>
    <s v="No Options"/>
    <x v="0"/>
    <x v="0"/>
    <x v="0"/>
    <x v="1"/>
  </r>
  <r>
    <n v="55"/>
    <x v="1"/>
    <s v="Travel_Frequently"/>
    <n v="135"/>
    <x v="1"/>
    <n v="18"/>
    <n v="4"/>
    <s v="Medical"/>
    <n v="1034"/>
    <n v="3"/>
    <x v="1"/>
    <n v="62"/>
    <n v="3"/>
    <n v="2"/>
    <x v="4"/>
    <n v="2"/>
    <x v="1"/>
    <n v="6385"/>
    <n v="3"/>
    <x v="0"/>
    <n v="14"/>
    <n v="3"/>
    <n v="4"/>
    <n v="2"/>
    <n v="17"/>
    <n v="3"/>
    <n v="3"/>
    <n v="8"/>
    <n v="7"/>
    <n v="6"/>
    <n v="7"/>
    <x v="1"/>
    <x v="0"/>
    <x v="2"/>
    <x v="1"/>
    <x v="0"/>
    <x v="0"/>
    <x v="1"/>
    <x v="1"/>
    <s v="Medium"/>
    <x v="1"/>
    <x v="3"/>
    <x v="0"/>
    <x v="0"/>
  </r>
  <r>
    <n v="41"/>
    <x v="1"/>
    <s v="Non-Travel"/>
    <n v="247"/>
    <x v="1"/>
    <n v="7"/>
    <n v="1"/>
    <s v="Life Sciences"/>
    <n v="1035"/>
    <n v="2"/>
    <x v="0"/>
    <n v="55"/>
    <n v="1"/>
    <n v="5"/>
    <x v="7"/>
    <n v="3"/>
    <x v="2"/>
    <n v="19973"/>
    <n v="1"/>
    <x v="1"/>
    <n v="22"/>
    <n v="4"/>
    <n v="2"/>
    <n v="2"/>
    <n v="21"/>
    <n v="3"/>
    <n v="3"/>
    <n v="21"/>
    <n v="16"/>
    <n v="5"/>
    <n v="10"/>
    <x v="1"/>
    <x v="1"/>
    <x v="1"/>
    <x v="0"/>
    <x v="3"/>
    <x v="4"/>
    <x v="2"/>
    <x v="2"/>
    <s v="Medium"/>
    <x v="1"/>
    <x v="0"/>
    <x v="3"/>
    <x v="3"/>
  </r>
  <r>
    <n v="38"/>
    <x v="1"/>
    <s v="Travel_Rarely"/>
    <n v="1035"/>
    <x v="0"/>
    <n v="3"/>
    <n v="4"/>
    <s v="Life Sciences"/>
    <n v="1036"/>
    <n v="2"/>
    <x v="1"/>
    <n v="42"/>
    <n v="3"/>
    <n v="2"/>
    <x v="0"/>
    <n v="4"/>
    <x v="0"/>
    <n v="6861"/>
    <n v="8"/>
    <x v="0"/>
    <n v="12"/>
    <n v="3"/>
    <n v="3"/>
    <n v="0"/>
    <n v="19"/>
    <n v="1"/>
    <n v="3"/>
    <n v="1"/>
    <n v="0"/>
    <n v="0"/>
    <n v="0"/>
    <x v="1"/>
    <x v="0"/>
    <x v="2"/>
    <x v="0"/>
    <x v="0"/>
    <x v="0"/>
    <x v="0"/>
    <x v="3"/>
    <s v="No Options"/>
    <x v="1"/>
    <x v="0"/>
    <x v="0"/>
    <x v="1"/>
  </r>
  <r>
    <n v="26"/>
    <x v="0"/>
    <s v="Non-Travel"/>
    <n v="265"/>
    <x v="0"/>
    <n v="29"/>
    <n v="2"/>
    <s v="Medical"/>
    <n v="1037"/>
    <n v="2"/>
    <x v="1"/>
    <n v="79"/>
    <n v="1"/>
    <n v="2"/>
    <x v="0"/>
    <n v="1"/>
    <x v="0"/>
    <n v="4969"/>
    <n v="8"/>
    <x v="1"/>
    <n v="18"/>
    <n v="3"/>
    <n v="4"/>
    <n v="0"/>
    <n v="7"/>
    <n v="6"/>
    <n v="3"/>
    <n v="2"/>
    <n v="2"/>
    <n v="2"/>
    <n v="2"/>
    <x v="0"/>
    <x v="1"/>
    <x v="0"/>
    <x v="0"/>
    <x v="3"/>
    <x v="0"/>
    <x v="3"/>
    <x v="1"/>
    <s v="No Options"/>
    <x v="1"/>
    <x v="2"/>
    <x v="0"/>
    <x v="1"/>
  </r>
  <r>
    <n v="52"/>
    <x v="0"/>
    <s v="Travel_Rarely"/>
    <n v="266"/>
    <x v="0"/>
    <n v="2"/>
    <n v="1"/>
    <s v="Marketing"/>
    <n v="1038"/>
    <n v="1"/>
    <x v="0"/>
    <n v="57"/>
    <n v="1"/>
    <n v="5"/>
    <x v="5"/>
    <n v="4"/>
    <x v="1"/>
    <n v="19845"/>
    <n v="1"/>
    <x v="1"/>
    <n v="15"/>
    <n v="3"/>
    <n v="4"/>
    <n v="1"/>
    <n v="33"/>
    <n v="3"/>
    <n v="3"/>
    <n v="32"/>
    <n v="14"/>
    <n v="6"/>
    <n v="9"/>
    <x v="0"/>
    <x v="1"/>
    <x v="1"/>
    <x v="3"/>
    <x v="3"/>
    <x v="4"/>
    <x v="0"/>
    <x v="1"/>
    <s v="Low"/>
    <x v="1"/>
    <x v="1"/>
    <x v="3"/>
    <x v="3"/>
  </r>
  <r>
    <n v="44"/>
    <x v="1"/>
    <s v="Travel_Rarely"/>
    <n v="1448"/>
    <x v="0"/>
    <n v="28"/>
    <n v="3"/>
    <s v="Medical"/>
    <n v="1039"/>
    <n v="4"/>
    <x v="0"/>
    <n v="53"/>
    <n v="4"/>
    <n v="4"/>
    <x v="0"/>
    <n v="4"/>
    <x v="1"/>
    <n v="13320"/>
    <n v="3"/>
    <x v="0"/>
    <n v="18"/>
    <n v="3"/>
    <n v="3"/>
    <n v="1"/>
    <n v="23"/>
    <n v="2"/>
    <n v="3"/>
    <n v="12"/>
    <n v="11"/>
    <n v="11"/>
    <n v="11"/>
    <x v="1"/>
    <x v="0"/>
    <x v="3"/>
    <x v="2"/>
    <x v="2"/>
    <x v="3"/>
    <x v="0"/>
    <x v="3"/>
    <s v="Low"/>
    <x v="1"/>
    <x v="0"/>
    <x v="3"/>
    <x v="4"/>
  </r>
  <r>
    <n v="50"/>
    <x v="1"/>
    <s v="Non-Travel"/>
    <n v="145"/>
    <x v="0"/>
    <n v="1"/>
    <n v="3"/>
    <s v="Life Sciences"/>
    <n v="1040"/>
    <n v="4"/>
    <x v="0"/>
    <n v="95"/>
    <n v="3"/>
    <n v="2"/>
    <x v="0"/>
    <n v="3"/>
    <x v="1"/>
    <n v="6347"/>
    <n v="0"/>
    <x v="1"/>
    <n v="12"/>
    <n v="3"/>
    <n v="1"/>
    <n v="1"/>
    <n v="19"/>
    <n v="3"/>
    <n v="3"/>
    <n v="18"/>
    <n v="7"/>
    <n v="0"/>
    <n v="13"/>
    <x v="1"/>
    <x v="1"/>
    <x v="3"/>
    <x v="2"/>
    <x v="0"/>
    <x v="0"/>
    <x v="2"/>
    <x v="0"/>
    <s v="Low"/>
    <x v="1"/>
    <x v="1"/>
    <x v="0"/>
    <x v="4"/>
  </r>
  <r>
    <n v="36"/>
    <x v="0"/>
    <s v="Travel_Rarely"/>
    <n v="885"/>
    <x v="1"/>
    <n v="16"/>
    <n v="4"/>
    <s v="Life Sciences"/>
    <n v="1042"/>
    <n v="3"/>
    <x v="0"/>
    <n v="43"/>
    <n v="4"/>
    <n v="1"/>
    <x v="2"/>
    <n v="1"/>
    <x v="0"/>
    <n v="2743"/>
    <n v="1"/>
    <x v="1"/>
    <n v="16"/>
    <n v="3"/>
    <n v="3"/>
    <n v="0"/>
    <n v="18"/>
    <n v="1"/>
    <n v="3"/>
    <n v="17"/>
    <n v="13"/>
    <n v="15"/>
    <n v="14"/>
    <x v="0"/>
    <x v="1"/>
    <x v="2"/>
    <x v="1"/>
    <x v="2"/>
    <x v="1"/>
    <x v="3"/>
    <x v="3"/>
    <s v="No Options"/>
    <x v="1"/>
    <x v="0"/>
    <x v="1"/>
    <x v="4"/>
  </r>
  <r>
    <n v="39"/>
    <x v="1"/>
    <s v="Travel_Frequently"/>
    <n v="945"/>
    <x v="1"/>
    <n v="22"/>
    <n v="3"/>
    <s v="Medical"/>
    <n v="1043"/>
    <n v="4"/>
    <x v="0"/>
    <n v="82"/>
    <n v="3"/>
    <n v="3"/>
    <x v="3"/>
    <n v="1"/>
    <x v="0"/>
    <n v="10880"/>
    <n v="1"/>
    <x v="0"/>
    <n v="13"/>
    <n v="3"/>
    <n v="3"/>
    <n v="0"/>
    <n v="21"/>
    <n v="2"/>
    <n v="3"/>
    <n v="21"/>
    <n v="6"/>
    <n v="2"/>
    <n v="8"/>
    <x v="1"/>
    <x v="0"/>
    <x v="3"/>
    <x v="2"/>
    <x v="0"/>
    <x v="2"/>
    <x v="3"/>
    <x v="3"/>
    <s v="No Options"/>
    <x v="1"/>
    <x v="0"/>
    <x v="2"/>
    <x v="3"/>
  </r>
  <r>
    <n v="33"/>
    <x v="1"/>
    <s v="Non-Travel"/>
    <n v="1038"/>
    <x v="0"/>
    <n v="8"/>
    <n v="1"/>
    <s v="Life Sciences"/>
    <n v="1044"/>
    <n v="2"/>
    <x v="0"/>
    <n v="88"/>
    <n v="2"/>
    <n v="1"/>
    <x v="6"/>
    <n v="4"/>
    <x v="0"/>
    <n v="2342"/>
    <n v="0"/>
    <x v="1"/>
    <n v="19"/>
    <n v="3"/>
    <n v="4"/>
    <n v="0"/>
    <n v="3"/>
    <n v="2"/>
    <n v="2"/>
    <n v="2"/>
    <n v="2"/>
    <n v="2"/>
    <n v="2"/>
    <x v="1"/>
    <x v="1"/>
    <x v="1"/>
    <x v="0"/>
    <x v="1"/>
    <x v="1"/>
    <x v="0"/>
    <x v="1"/>
    <s v="No Options"/>
    <x v="2"/>
    <x v="2"/>
    <x v="1"/>
    <x v="1"/>
  </r>
  <r>
    <n v="45"/>
    <x v="1"/>
    <s v="Travel_Rarely"/>
    <n v="1234"/>
    <x v="0"/>
    <n v="11"/>
    <n v="2"/>
    <s v="Life Sciences"/>
    <n v="1045"/>
    <n v="4"/>
    <x v="0"/>
    <n v="90"/>
    <n v="3"/>
    <n v="4"/>
    <x v="5"/>
    <n v="4"/>
    <x v="1"/>
    <n v="17650"/>
    <n v="3"/>
    <x v="1"/>
    <n v="13"/>
    <n v="3"/>
    <n v="2"/>
    <n v="1"/>
    <n v="26"/>
    <n v="4"/>
    <n v="4"/>
    <n v="9"/>
    <n v="3"/>
    <n v="1"/>
    <n v="1"/>
    <x v="1"/>
    <x v="1"/>
    <x v="0"/>
    <x v="2"/>
    <x v="0"/>
    <x v="3"/>
    <x v="0"/>
    <x v="2"/>
    <s v="Low"/>
    <x v="3"/>
    <x v="1"/>
    <x v="3"/>
    <x v="0"/>
  </r>
  <r>
    <n v="32"/>
    <x v="1"/>
    <s v="Non-Travel"/>
    <n v="1109"/>
    <x v="1"/>
    <n v="29"/>
    <n v="4"/>
    <s v="Medical"/>
    <n v="1046"/>
    <n v="4"/>
    <x v="0"/>
    <n v="69"/>
    <n v="3"/>
    <n v="1"/>
    <x v="2"/>
    <n v="3"/>
    <x v="0"/>
    <n v="4025"/>
    <n v="9"/>
    <x v="1"/>
    <n v="12"/>
    <n v="3"/>
    <n v="2"/>
    <n v="0"/>
    <n v="10"/>
    <n v="2"/>
    <n v="3"/>
    <n v="8"/>
    <n v="7"/>
    <n v="7"/>
    <n v="7"/>
    <x v="1"/>
    <x v="1"/>
    <x v="2"/>
    <x v="2"/>
    <x v="0"/>
    <x v="1"/>
    <x v="2"/>
    <x v="2"/>
    <s v="No Options"/>
    <x v="1"/>
    <x v="2"/>
    <x v="0"/>
    <x v="0"/>
  </r>
  <r>
    <n v="34"/>
    <x v="1"/>
    <s v="Travel_Rarely"/>
    <n v="216"/>
    <x v="0"/>
    <n v="1"/>
    <n v="4"/>
    <s v="Marketing"/>
    <n v="1047"/>
    <n v="2"/>
    <x v="1"/>
    <n v="75"/>
    <n v="4"/>
    <n v="2"/>
    <x v="0"/>
    <n v="4"/>
    <x v="2"/>
    <n v="9725"/>
    <n v="0"/>
    <x v="1"/>
    <n v="11"/>
    <n v="3"/>
    <n v="4"/>
    <n v="1"/>
    <n v="16"/>
    <n v="2"/>
    <n v="2"/>
    <n v="15"/>
    <n v="1"/>
    <n v="0"/>
    <n v="9"/>
    <x v="1"/>
    <x v="1"/>
    <x v="2"/>
    <x v="0"/>
    <x v="2"/>
    <x v="0"/>
    <x v="0"/>
    <x v="1"/>
    <s v="Low"/>
    <x v="2"/>
    <x v="2"/>
    <x v="2"/>
    <x v="4"/>
  </r>
  <r>
    <n v="59"/>
    <x v="1"/>
    <s v="Travel_Rarely"/>
    <n v="1089"/>
    <x v="0"/>
    <n v="1"/>
    <n v="2"/>
    <s v="Technical Degree"/>
    <n v="1048"/>
    <n v="2"/>
    <x v="1"/>
    <n v="66"/>
    <n v="3"/>
    <n v="3"/>
    <x v="5"/>
    <n v="4"/>
    <x v="1"/>
    <n v="11904"/>
    <n v="3"/>
    <x v="0"/>
    <n v="14"/>
    <n v="3"/>
    <n v="3"/>
    <n v="1"/>
    <n v="14"/>
    <n v="1"/>
    <n v="1"/>
    <n v="6"/>
    <n v="4"/>
    <n v="0"/>
    <n v="4"/>
    <x v="1"/>
    <x v="0"/>
    <x v="0"/>
    <x v="0"/>
    <x v="0"/>
    <x v="2"/>
    <x v="0"/>
    <x v="3"/>
    <s v="Low"/>
    <x v="0"/>
    <x v="3"/>
    <x v="2"/>
    <x v="0"/>
  </r>
  <r>
    <n v="45"/>
    <x v="1"/>
    <s v="Travel_Rarely"/>
    <n v="788"/>
    <x v="2"/>
    <n v="24"/>
    <n v="4"/>
    <s v="Medical"/>
    <n v="1049"/>
    <n v="2"/>
    <x v="1"/>
    <n v="36"/>
    <n v="3"/>
    <n v="1"/>
    <x v="8"/>
    <n v="2"/>
    <x v="0"/>
    <n v="2177"/>
    <n v="1"/>
    <x v="1"/>
    <n v="16"/>
    <n v="3"/>
    <n v="1"/>
    <n v="0"/>
    <n v="6"/>
    <n v="3"/>
    <n v="3"/>
    <n v="6"/>
    <n v="3"/>
    <n v="0"/>
    <n v="4"/>
    <x v="1"/>
    <x v="1"/>
    <x v="2"/>
    <x v="0"/>
    <x v="0"/>
    <x v="1"/>
    <x v="1"/>
    <x v="0"/>
    <s v="No Options"/>
    <x v="1"/>
    <x v="1"/>
    <x v="1"/>
    <x v="0"/>
  </r>
  <r>
    <n v="53"/>
    <x v="1"/>
    <s v="Travel_Frequently"/>
    <n v="124"/>
    <x v="0"/>
    <n v="2"/>
    <n v="3"/>
    <s v="Marketing"/>
    <n v="1050"/>
    <n v="3"/>
    <x v="0"/>
    <n v="38"/>
    <n v="2"/>
    <n v="3"/>
    <x v="0"/>
    <n v="2"/>
    <x v="1"/>
    <n v="7525"/>
    <n v="2"/>
    <x v="1"/>
    <n v="12"/>
    <n v="3"/>
    <n v="1"/>
    <n v="1"/>
    <n v="30"/>
    <n v="2"/>
    <n v="3"/>
    <n v="15"/>
    <n v="7"/>
    <n v="6"/>
    <n v="12"/>
    <x v="1"/>
    <x v="1"/>
    <x v="3"/>
    <x v="1"/>
    <x v="1"/>
    <x v="2"/>
    <x v="1"/>
    <x v="0"/>
    <s v="Low"/>
    <x v="1"/>
    <x v="1"/>
    <x v="2"/>
    <x v="4"/>
  </r>
  <r>
    <n v="36"/>
    <x v="0"/>
    <s v="Travel_Rarely"/>
    <n v="660"/>
    <x v="1"/>
    <n v="15"/>
    <n v="3"/>
    <s v="Other"/>
    <n v="1052"/>
    <n v="1"/>
    <x v="1"/>
    <n v="81"/>
    <n v="3"/>
    <n v="2"/>
    <x v="2"/>
    <n v="3"/>
    <x v="2"/>
    <n v="4834"/>
    <n v="7"/>
    <x v="1"/>
    <n v="14"/>
    <n v="3"/>
    <n v="2"/>
    <n v="1"/>
    <n v="9"/>
    <n v="3"/>
    <n v="2"/>
    <n v="1"/>
    <n v="0"/>
    <n v="0"/>
    <n v="0"/>
    <x v="0"/>
    <x v="1"/>
    <x v="3"/>
    <x v="3"/>
    <x v="0"/>
    <x v="0"/>
    <x v="2"/>
    <x v="2"/>
    <s v="Low"/>
    <x v="2"/>
    <x v="0"/>
    <x v="0"/>
    <x v="1"/>
  </r>
  <r>
    <n v="26"/>
    <x v="0"/>
    <s v="Travel_Frequently"/>
    <n v="342"/>
    <x v="1"/>
    <n v="2"/>
    <n v="3"/>
    <s v="Life Sciences"/>
    <n v="1053"/>
    <n v="1"/>
    <x v="1"/>
    <n v="57"/>
    <n v="3"/>
    <n v="1"/>
    <x v="1"/>
    <n v="1"/>
    <x v="1"/>
    <n v="2042"/>
    <n v="6"/>
    <x v="0"/>
    <n v="14"/>
    <n v="3"/>
    <n v="2"/>
    <n v="1"/>
    <n v="6"/>
    <n v="2"/>
    <n v="3"/>
    <n v="3"/>
    <n v="2"/>
    <n v="1"/>
    <n v="2"/>
    <x v="0"/>
    <x v="0"/>
    <x v="3"/>
    <x v="3"/>
    <x v="0"/>
    <x v="1"/>
    <x v="3"/>
    <x v="2"/>
    <s v="Low"/>
    <x v="1"/>
    <x v="2"/>
    <x v="1"/>
    <x v="2"/>
  </r>
  <r>
    <n v="34"/>
    <x v="1"/>
    <s v="Travel_Rarely"/>
    <n v="1333"/>
    <x v="0"/>
    <n v="10"/>
    <n v="4"/>
    <s v="Life Sciences"/>
    <n v="1055"/>
    <n v="3"/>
    <x v="0"/>
    <n v="87"/>
    <n v="3"/>
    <n v="1"/>
    <x v="6"/>
    <n v="3"/>
    <x v="1"/>
    <n v="2220"/>
    <n v="1"/>
    <x v="0"/>
    <n v="19"/>
    <n v="3"/>
    <n v="4"/>
    <n v="1"/>
    <n v="1"/>
    <n v="2"/>
    <n v="3"/>
    <n v="1"/>
    <n v="1"/>
    <n v="0"/>
    <n v="0"/>
    <x v="1"/>
    <x v="0"/>
    <x v="2"/>
    <x v="1"/>
    <x v="0"/>
    <x v="1"/>
    <x v="2"/>
    <x v="1"/>
    <s v="Low"/>
    <x v="1"/>
    <x v="2"/>
    <x v="1"/>
    <x v="1"/>
  </r>
  <r>
    <n v="28"/>
    <x v="1"/>
    <s v="Travel_Rarely"/>
    <n v="1144"/>
    <x v="0"/>
    <n v="10"/>
    <n v="1"/>
    <s v="Medical"/>
    <n v="1056"/>
    <n v="4"/>
    <x v="1"/>
    <n v="74"/>
    <n v="3"/>
    <n v="1"/>
    <x v="6"/>
    <n v="2"/>
    <x v="1"/>
    <n v="1052"/>
    <n v="1"/>
    <x v="1"/>
    <n v="22"/>
    <n v="4"/>
    <n v="2"/>
    <n v="0"/>
    <n v="1"/>
    <n v="5"/>
    <n v="3"/>
    <n v="1"/>
    <n v="0"/>
    <n v="0"/>
    <n v="0"/>
    <x v="1"/>
    <x v="1"/>
    <x v="1"/>
    <x v="2"/>
    <x v="0"/>
    <x v="1"/>
    <x v="1"/>
    <x v="2"/>
    <s v="No Options"/>
    <x v="1"/>
    <x v="2"/>
    <x v="1"/>
    <x v="1"/>
  </r>
  <r>
    <n v="38"/>
    <x v="1"/>
    <s v="Travel_Frequently"/>
    <n v="1186"/>
    <x v="1"/>
    <n v="3"/>
    <n v="4"/>
    <s v="Other"/>
    <n v="1060"/>
    <n v="3"/>
    <x v="1"/>
    <n v="44"/>
    <n v="3"/>
    <n v="1"/>
    <x v="1"/>
    <n v="3"/>
    <x v="1"/>
    <n v="2821"/>
    <n v="3"/>
    <x v="1"/>
    <n v="16"/>
    <n v="3"/>
    <n v="1"/>
    <n v="1"/>
    <n v="8"/>
    <n v="2"/>
    <n v="3"/>
    <n v="2"/>
    <n v="2"/>
    <n v="2"/>
    <n v="2"/>
    <x v="1"/>
    <x v="1"/>
    <x v="2"/>
    <x v="1"/>
    <x v="0"/>
    <x v="1"/>
    <x v="2"/>
    <x v="0"/>
    <s v="Low"/>
    <x v="1"/>
    <x v="0"/>
    <x v="1"/>
    <x v="1"/>
  </r>
  <r>
    <n v="50"/>
    <x v="1"/>
    <s v="Travel_Rarely"/>
    <n v="1464"/>
    <x v="1"/>
    <n v="2"/>
    <n v="4"/>
    <s v="Medical"/>
    <n v="1061"/>
    <n v="2"/>
    <x v="1"/>
    <n v="62"/>
    <n v="3"/>
    <n v="5"/>
    <x v="7"/>
    <n v="3"/>
    <x v="1"/>
    <n v="19237"/>
    <n v="2"/>
    <x v="0"/>
    <n v="11"/>
    <n v="3"/>
    <n v="4"/>
    <n v="1"/>
    <n v="29"/>
    <n v="2"/>
    <n v="2"/>
    <n v="8"/>
    <n v="1"/>
    <n v="7"/>
    <n v="7"/>
    <x v="1"/>
    <x v="0"/>
    <x v="2"/>
    <x v="0"/>
    <x v="0"/>
    <x v="4"/>
    <x v="2"/>
    <x v="1"/>
    <s v="Low"/>
    <x v="2"/>
    <x v="1"/>
    <x v="3"/>
    <x v="0"/>
  </r>
  <r>
    <n v="37"/>
    <x v="1"/>
    <s v="Travel_Rarely"/>
    <n v="124"/>
    <x v="1"/>
    <n v="3"/>
    <n v="3"/>
    <s v="Other"/>
    <n v="1062"/>
    <n v="4"/>
    <x v="0"/>
    <n v="35"/>
    <n v="3"/>
    <n v="2"/>
    <x v="4"/>
    <n v="2"/>
    <x v="0"/>
    <n v="4107"/>
    <n v="3"/>
    <x v="1"/>
    <n v="15"/>
    <n v="3"/>
    <n v="1"/>
    <n v="0"/>
    <n v="8"/>
    <n v="3"/>
    <n v="2"/>
    <n v="4"/>
    <n v="3"/>
    <n v="0"/>
    <n v="1"/>
    <x v="1"/>
    <x v="1"/>
    <x v="3"/>
    <x v="2"/>
    <x v="0"/>
    <x v="0"/>
    <x v="1"/>
    <x v="0"/>
    <s v="No Options"/>
    <x v="2"/>
    <x v="0"/>
    <x v="0"/>
    <x v="2"/>
  </r>
  <r>
    <n v="40"/>
    <x v="1"/>
    <s v="Travel_Rarely"/>
    <n v="300"/>
    <x v="0"/>
    <n v="26"/>
    <n v="3"/>
    <s v="Marketing"/>
    <n v="1066"/>
    <n v="3"/>
    <x v="1"/>
    <n v="74"/>
    <n v="3"/>
    <n v="2"/>
    <x v="0"/>
    <n v="1"/>
    <x v="1"/>
    <n v="8396"/>
    <n v="1"/>
    <x v="1"/>
    <n v="14"/>
    <n v="3"/>
    <n v="2"/>
    <n v="1"/>
    <n v="8"/>
    <n v="3"/>
    <n v="2"/>
    <n v="7"/>
    <n v="7"/>
    <n v="7"/>
    <n v="5"/>
    <x v="1"/>
    <x v="1"/>
    <x v="3"/>
    <x v="1"/>
    <x v="0"/>
    <x v="0"/>
    <x v="3"/>
    <x v="2"/>
    <s v="Low"/>
    <x v="2"/>
    <x v="0"/>
    <x v="2"/>
    <x v="0"/>
  </r>
  <r>
    <n v="26"/>
    <x v="1"/>
    <s v="Travel_Frequently"/>
    <n v="921"/>
    <x v="1"/>
    <n v="1"/>
    <n v="1"/>
    <s v="Medical"/>
    <n v="1068"/>
    <n v="1"/>
    <x v="0"/>
    <n v="66"/>
    <n v="2"/>
    <n v="1"/>
    <x v="1"/>
    <n v="3"/>
    <x v="2"/>
    <n v="2007"/>
    <n v="1"/>
    <x v="1"/>
    <n v="13"/>
    <n v="3"/>
    <n v="3"/>
    <n v="2"/>
    <n v="5"/>
    <n v="5"/>
    <n v="3"/>
    <n v="5"/>
    <n v="3"/>
    <n v="1"/>
    <n v="3"/>
    <x v="1"/>
    <x v="1"/>
    <x v="1"/>
    <x v="3"/>
    <x v="1"/>
    <x v="1"/>
    <x v="2"/>
    <x v="3"/>
    <s v="Medium"/>
    <x v="1"/>
    <x v="2"/>
    <x v="1"/>
    <x v="2"/>
  </r>
  <r>
    <n v="46"/>
    <x v="1"/>
    <s v="Travel_Rarely"/>
    <n v="430"/>
    <x v="1"/>
    <n v="1"/>
    <n v="4"/>
    <s v="Medical"/>
    <n v="1069"/>
    <n v="4"/>
    <x v="1"/>
    <n v="40"/>
    <n v="3"/>
    <n v="5"/>
    <x v="7"/>
    <n v="4"/>
    <x v="2"/>
    <n v="19627"/>
    <n v="9"/>
    <x v="1"/>
    <n v="17"/>
    <n v="3"/>
    <n v="4"/>
    <n v="2"/>
    <n v="23"/>
    <n v="0"/>
    <n v="3"/>
    <n v="2"/>
    <n v="2"/>
    <n v="2"/>
    <n v="2"/>
    <x v="1"/>
    <x v="1"/>
    <x v="2"/>
    <x v="2"/>
    <x v="0"/>
    <x v="4"/>
    <x v="0"/>
    <x v="1"/>
    <s v="Medium"/>
    <x v="1"/>
    <x v="1"/>
    <x v="3"/>
    <x v="1"/>
  </r>
  <r>
    <n v="54"/>
    <x v="1"/>
    <s v="Travel_Rarely"/>
    <n v="1082"/>
    <x v="0"/>
    <n v="2"/>
    <n v="4"/>
    <s v="Life Sciences"/>
    <n v="1070"/>
    <n v="3"/>
    <x v="0"/>
    <n v="41"/>
    <n v="2"/>
    <n v="3"/>
    <x v="0"/>
    <n v="3"/>
    <x v="1"/>
    <n v="10686"/>
    <n v="6"/>
    <x v="1"/>
    <n v="11"/>
    <n v="3"/>
    <n v="2"/>
    <n v="1"/>
    <n v="13"/>
    <n v="4"/>
    <n v="3"/>
    <n v="9"/>
    <n v="4"/>
    <n v="7"/>
    <n v="0"/>
    <x v="1"/>
    <x v="1"/>
    <x v="2"/>
    <x v="1"/>
    <x v="1"/>
    <x v="2"/>
    <x v="2"/>
    <x v="2"/>
    <s v="Low"/>
    <x v="1"/>
    <x v="1"/>
    <x v="2"/>
    <x v="0"/>
  </r>
  <r>
    <n v="56"/>
    <x v="1"/>
    <s v="Travel_Frequently"/>
    <n v="1240"/>
    <x v="1"/>
    <n v="9"/>
    <n v="3"/>
    <s v="Medical"/>
    <n v="1071"/>
    <n v="1"/>
    <x v="0"/>
    <n v="63"/>
    <n v="3"/>
    <n v="1"/>
    <x v="1"/>
    <n v="3"/>
    <x v="1"/>
    <n v="2942"/>
    <n v="2"/>
    <x v="1"/>
    <n v="19"/>
    <n v="3"/>
    <n v="2"/>
    <n v="1"/>
    <n v="18"/>
    <n v="4"/>
    <n v="3"/>
    <n v="5"/>
    <n v="4"/>
    <n v="0"/>
    <n v="3"/>
    <x v="1"/>
    <x v="1"/>
    <x v="3"/>
    <x v="3"/>
    <x v="0"/>
    <x v="1"/>
    <x v="2"/>
    <x v="2"/>
    <s v="Low"/>
    <x v="1"/>
    <x v="3"/>
    <x v="1"/>
    <x v="2"/>
  </r>
  <r>
    <n v="36"/>
    <x v="1"/>
    <s v="Travel_Rarely"/>
    <n v="796"/>
    <x v="1"/>
    <n v="12"/>
    <n v="5"/>
    <s v="Medical"/>
    <n v="1073"/>
    <n v="4"/>
    <x v="0"/>
    <n v="51"/>
    <n v="2"/>
    <n v="3"/>
    <x v="3"/>
    <n v="4"/>
    <x v="0"/>
    <n v="8858"/>
    <n v="0"/>
    <x v="1"/>
    <n v="11"/>
    <n v="3"/>
    <n v="2"/>
    <n v="0"/>
    <n v="15"/>
    <n v="2"/>
    <n v="2"/>
    <n v="14"/>
    <n v="8"/>
    <n v="7"/>
    <n v="8"/>
    <x v="1"/>
    <x v="1"/>
    <x v="4"/>
    <x v="2"/>
    <x v="1"/>
    <x v="2"/>
    <x v="0"/>
    <x v="2"/>
    <s v="No Options"/>
    <x v="2"/>
    <x v="0"/>
    <x v="2"/>
    <x v="4"/>
  </r>
  <r>
    <n v="55"/>
    <x v="1"/>
    <s v="Non-Travel"/>
    <n v="444"/>
    <x v="1"/>
    <n v="2"/>
    <n v="1"/>
    <s v="Medical"/>
    <n v="1074"/>
    <n v="3"/>
    <x v="1"/>
    <n v="40"/>
    <n v="2"/>
    <n v="4"/>
    <x v="5"/>
    <n v="1"/>
    <x v="0"/>
    <n v="16756"/>
    <n v="7"/>
    <x v="1"/>
    <n v="15"/>
    <n v="3"/>
    <n v="2"/>
    <n v="0"/>
    <n v="31"/>
    <n v="3"/>
    <n v="4"/>
    <n v="9"/>
    <n v="7"/>
    <n v="6"/>
    <n v="2"/>
    <x v="1"/>
    <x v="1"/>
    <x v="1"/>
    <x v="1"/>
    <x v="1"/>
    <x v="3"/>
    <x v="3"/>
    <x v="2"/>
    <s v="No Options"/>
    <x v="3"/>
    <x v="3"/>
    <x v="3"/>
    <x v="0"/>
  </r>
  <r>
    <n v="43"/>
    <x v="1"/>
    <s v="Travel_Rarely"/>
    <n v="415"/>
    <x v="0"/>
    <n v="25"/>
    <n v="3"/>
    <s v="Medical"/>
    <n v="1076"/>
    <n v="3"/>
    <x v="1"/>
    <n v="79"/>
    <n v="2"/>
    <n v="3"/>
    <x v="0"/>
    <n v="4"/>
    <x v="2"/>
    <n v="10798"/>
    <n v="5"/>
    <x v="1"/>
    <n v="13"/>
    <n v="3"/>
    <n v="3"/>
    <n v="1"/>
    <n v="18"/>
    <n v="5"/>
    <n v="3"/>
    <n v="1"/>
    <n v="0"/>
    <n v="0"/>
    <n v="0"/>
    <x v="1"/>
    <x v="1"/>
    <x v="3"/>
    <x v="1"/>
    <x v="1"/>
    <x v="2"/>
    <x v="0"/>
    <x v="3"/>
    <s v="Low"/>
    <x v="1"/>
    <x v="0"/>
    <x v="2"/>
    <x v="1"/>
  </r>
  <r>
    <n v="20"/>
    <x v="0"/>
    <s v="Travel_Frequently"/>
    <n v="769"/>
    <x v="0"/>
    <n v="9"/>
    <n v="3"/>
    <s v="Marketing"/>
    <n v="1077"/>
    <n v="4"/>
    <x v="0"/>
    <n v="54"/>
    <n v="3"/>
    <n v="1"/>
    <x v="6"/>
    <n v="4"/>
    <x v="0"/>
    <n v="2323"/>
    <n v="1"/>
    <x v="0"/>
    <n v="14"/>
    <n v="3"/>
    <n v="2"/>
    <n v="0"/>
    <n v="2"/>
    <n v="3"/>
    <n v="3"/>
    <n v="2"/>
    <n v="2"/>
    <n v="0"/>
    <n v="2"/>
    <x v="0"/>
    <x v="0"/>
    <x v="3"/>
    <x v="2"/>
    <x v="0"/>
    <x v="1"/>
    <x v="0"/>
    <x v="2"/>
    <s v="No Options"/>
    <x v="1"/>
    <x v="4"/>
    <x v="1"/>
    <x v="1"/>
  </r>
  <r>
    <n v="21"/>
    <x v="0"/>
    <s v="Travel_Rarely"/>
    <n v="1334"/>
    <x v="1"/>
    <n v="10"/>
    <n v="3"/>
    <s v="Life Sciences"/>
    <n v="1079"/>
    <n v="3"/>
    <x v="0"/>
    <n v="36"/>
    <n v="2"/>
    <n v="1"/>
    <x v="2"/>
    <n v="1"/>
    <x v="0"/>
    <n v="1416"/>
    <n v="1"/>
    <x v="1"/>
    <n v="13"/>
    <n v="3"/>
    <n v="1"/>
    <n v="0"/>
    <n v="1"/>
    <n v="6"/>
    <n v="2"/>
    <n v="1"/>
    <n v="0"/>
    <n v="1"/>
    <n v="0"/>
    <x v="0"/>
    <x v="1"/>
    <x v="3"/>
    <x v="1"/>
    <x v="1"/>
    <x v="1"/>
    <x v="3"/>
    <x v="0"/>
    <s v="No Options"/>
    <x v="2"/>
    <x v="4"/>
    <x v="1"/>
    <x v="1"/>
  </r>
  <r>
    <n v="46"/>
    <x v="1"/>
    <s v="Travel_Rarely"/>
    <n v="1003"/>
    <x v="1"/>
    <n v="8"/>
    <n v="4"/>
    <s v="Life Sciences"/>
    <n v="1080"/>
    <n v="4"/>
    <x v="0"/>
    <n v="74"/>
    <n v="2"/>
    <n v="2"/>
    <x v="1"/>
    <n v="1"/>
    <x v="2"/>
    <n v="4615"/>
    <n v="8"/>
    <x v="0"/>
    <n v="23"/>
    <n v="4"/>
    <n v="1"/>
    <n v="3"/>
    <n v="19"/>
    <n v="2"/>
    <n v="3"/>
    <n v="16"/>
    <n v="13"/>
    <n v="1"/>
    <n v="7"/>
    <x v="1"/>
    <x v="0"/>
    <x v="2"/>
    <x v="2"/>
    <x v="1"/>
    <x v="0"/>
    <x v="3"/>
    <x v="0"/>
    <s v="High"/>
    <x v="1"/>
    <x v="1"/>
    <x v="0"/>
    <x v="4"/>
  </r>
  <r>
    <n v="51"/>
    <x v="0"/>
    <s v="Travel_Rarely"/>
    <n v="1323"/>
    <x v="1"/>
    <n v="4"/>
    <n v="4"/>
    <s v="Life Sciences"/>
    <n v="1081"/>
    <n v="1"/>
    <x v="1"/>
    <n v="34"/>
    <n v="3"/>
    <n v="1"/>
    <x v="1"/>
    <n v="3"/>
    <x v="1"/>
    <n v="2461"/>
    <n v="9"/>
    <x v="0"/>
    <n v="12"/>
    <n v="3"/>
    <n v="3"/>
    <n v="3"/>
    <n v="18"/>
    <n v="2"/>
    <n v="4"/>
    <n v="10"/>
    <n v="0"/>
    <n v="2"/>
    <n v="7"/>
    <x v="0"/>
    <x v="0"/>
    <x v="2"/>
    <x v="3"/>
    <x v="0"/>
    <x v="1"/>
    <x v="2"/>
    <x v="3"/>
    <s v="High"/>
    <x v="3"/>
    <x v="1"/>
    <x v="1"/>
    <x v="0"/>
  </r>
  <r>
    <n v="28"/>
    <x v="0"/>
    <s v="Non-Travel"/>
    <n v="1366"/>
    <x v="1"/>
    <n v="24"/>
    <n v="2"/>
    <s v="Technical Degree"/>
    <n v="1082"/>
    <n v="2"/>
    <x v="1"/>
    <n v="72"/>
    <n v="2"/>
    <n v="3"/>
    <x v="4"/>
    <n v="1"/>
    <x v="0"/>
    <n v="8722"/>
    <n v="1"/>
    <x v="1"/>
    <n v="12"/>
    <n v="3"/>
    <n v="1"/>
    <n v="0"/>
    <n v="10"/>
    <n v="2"/>
    <n v="2"/>
    <n v="10"/>
    <n v="7"/>
    <n v="1"/>
    <n v="9"/>
    <x v="0"/>
    <x v="1"/>
    <x v="0"/>
    <x v="0"/>
    <x v="1"/>
    <x v="2"/>
    <x v="3"/>
    <x v="0"/>
    <s v="No Options"/>
    <x v="2"/>
    <x v="2"/>
    <x v="2"/>
    <x v="0"/>
  </r>
  <r>
    <n v="26"/>
    <x v="1"/>
    <s v="Travel_Rarely"/>
    <n v="192"/>
    <x v="1"/>
    <n v="1"/>
    <n v="2"/>
    <s v="Medical"/>
    <n v="1083"/>
    <n v="1"/>
    <x v="1"/>
    <n v="59"/>
    <n v="2"/>
    <n v="1"/>
    <x v="2"/>
    <n v="1"/>
    <x v="1"/>
    <n v="3955"/>
    <n v="1"/>
    <x v="1"/>
    <n v="16"/>
    <n v="3"/>
    <n v="1"/>
    <n v="2"/>
    <n v="6"/>
    <n v="2"/>
    <n v="3"/>
    <n v="5"/>
    <n v="3"/>
    <n v="1"/>
    <n v="3"/>
    <x v="1"/>
    <x v="1"/>
    <x v="0"/>
    <x v="3"/>
    <x v="1"/>
    <x v="1"/>
    <x v="3"/>
    <x v="0"/>
    <s v="Medium"/>
    <x v="1"/>
    <x v="2"/>
    <x v="0"/>
    <x v="2"/>
  </r>
  <r>
    <n v="30"/>
    <x v="1"/>
    <s v="Travel_Rarely"/>
    <n v="1176"/>
    <x v="1"/>
    <n v="20"/>
    <n v="3"/>
    <s v="Other"/>
    <n v="1084"/>
    <n v="3"/>
    <x v="1"/>
    <n v="85"/>
    <n v="3"/>
    <n v="2"/>
    <x v="3"/>
    <n v="1"/>
    <x v="1"/>
    <n v="9957"/>
    <n v="0"/>
    <x v="1"/>
    <n v="15"/>
    <n v="3"/>
    <n v="3"/>
    <n v="1"/>
    <n v="7"/>
    <n v="1"/>
    <n v="2"/>
    <n v="6"/>
    <n v="2"/>
    <n v="0"/>
    <n v="2"/>
    <x v="1"/>
    <x v="1"/>
    <x v="3"/>
    <x v="1"/>
    <x v="0"/>
    <x v="0"/>
    <x v="3"/>
    <x v="3"/>
    <s v="Low"/>
    <x v="2"/>
    <x v="2"/>
    <x v="2"/>
    <x v="0"/>
  </r>
  <r>
    <n v="41"/>
    <x v="1"/>
    <s v="Travel_Rarely"/>
    <n v="509"/>
    <x v="1"/>
    <n v="7"/>
    <n v="2"/>
    <s v="Technical Degree"/>
    <n v="1085"/>
    <n v="2"/>
    <x v="0"/>
    <n v="43"/>
    <n v="4"/>
    <n v="1"/>
    <x v="1"/>
    <n v="3"/>
    <x v="1"/>
    <n v="3376"/>
    <n v="1"/>
    <x v="1"/>
    <n v="13"/>
    <n v="3"/>
    <n v="3"/>
    <n v="0"/>
    <n v="10"/>
    <n v="3"/>
    <n v="3"/>
    <n v="10"/>
    <n v="6"/>
    <n v="0"/>
    <n v="8"/>
    <x v="1"/>
    <x v="1"/>
    <x v="0"/>
    <x v="0"/>
    <x v="2"/>
    <x v="1"/>
    <x v="2"/>
    <x v="3"/>
    <s v="No Options"/>
    <x v="1"/>
    <x v="0"/>
    <x v="0"/>
    <x v="0"/>
  </r>
  <r>
    <n v="38"/>
    <x v="1"/>
    <s v="Travel_Rarely"/>
    <n v="330"/>
    <x v="1"/>
    <n v="17"/>
    <n v="1"/>
    <s v="Life Sciences"/>
    <n v="1088"/>
    <n v="3"/>
    <x v="0"/>
    <n v="65"/>
    <n v="2"/>
    <n v="3"/>
    <x v="4"/>
    <n v="3"/>
    <x v="1"/>
    <n v="8823"/>
    <n v="0"/>
    <x v="1"/>
    <n v="18"/>
    <n v="3"/>
    <n v="1"/>
    <n v="1"/>
    <n v="20"/>
    <n v="4"/>
    <n v="2"/>
    <n v="19"/>
    <n v="9"/>
    <n v="1"/>
    <n v="9"/>
    <x v="1"/>
    <x v="1"/>
    <x v="1"/>
    <x v="1"/>
    <x v="1"/>
    <x v="2"/>
    <x v="2"/>
    <x v="0"/>
    <s v="Low"/>
    <x v="2"/>
    <x v="0"/>
    <x v="2"/>
    <x v="4"/>
  </r>
  <r>
    <n v="40"/>
    <x v="1"/>
    <s v="Travel_Rarely"/>
    <n v="1492"/>
    <x v="1"/>
    <n v="20"/>
    <n v="4"/>
    <s v="Technical Degree"/>
    <n v="1092"/>
    <n v="1"/>
    <x v="1"/>
    <n v="61"/>
    <n v="3"/>
    <n v="3"/>
    <x v="4"/>
    <n v="4"/>
    <x v="1"/>
    <n v="10322"/>
    <n v="4"/>
    <x v="1"/>
    <n v="20"/>
    <n v="4"/>
    <n v="4"/>
    <n v="1"/>
    <n v="14"/>
    <n v="6"/>
    <n v="3"/>
    <n v="11"/>
    <n v="10"/>
    <n v="11"/>
    <n v="1"/>
    <x v="1"/>
    <x v="1"/>
    <x v="2"/>
    <x v="3"/>
    <x v="0"/>
    <x v="2"/>
    <x v="0"/>
    <x v="1"/>
    <s v="Low"/>
    <x v="1"/>
    <x v="0"/>
    <x v="2"/>
    <x v="4"/>
  </r>
  <r>
    <n v="27"/>
    <x v="1"/>
    <s v="Non-Travel"/>
    <n v="1277"/>
    <x v="1"/>
    <n v="8"/>
    <n v="5"/>
    <s v="Life Sciences"/>
    <n v="1094"/>
    <n v="1"/>
    <x v="1"/>
    <n v="87"/>
    <n v="1"/>
    <n v="1"/>
    <x v="2"/>
    <n v="3"/>
    <x v="1"/>
    <n v="4621"/>
    <n v="1"/>
    <x v="1"/>
    <n v="19"/>
    <n v="3"/>
    <n v="4"/>
    <n v="3"/>
    <n v="3"/>
    <n v="4"/>
    <n v="3"/>
    <n v="3"/>
    <n v="2"/>
    <n v="1"/>
    <n v="2"/>
    <x v="1"/>
    <x v="1"/>
    <x v="4"/>
    <x v="3"/>
    <x v="3"/>
    <x v="1"/>
    <x v="2"/>
    <x v="1"/>
    <s v="High"/>
    <x v="1"/>
    <x v="2"/>
    <x v="0"/>
    <x v="2"/>
  </r>
  <r>
    <n v="55"/>
    <x v="1"/>
    <s v="Travel_Frequently"/>
    <n v="1091"/>
    <x v="1"/>
    <n v="2"/>
    <n v="1"/>
    <s v="Life Sciences"/>
    <n v="1096"/>
    <n v="4"/>
    <x v="1"/>
    <n v="65"/>
    <n v="3"/>
    <n v="3"/>
    <x v="3"/>
    <n v="2"/>
    <x v="1"/>
    <n v="10976"/>
    <n v="3"/>
    <x v="1"/>
    <n v="18"/>
    <n v="3"/>
    <n v="2"/>
    <n v="1"/>
    <n v="23"/>
    <n v="4"/>
    <n v="3"/>
    <n v="3"/>
    <n v="2"/>
    <n v="1"/>
    <n v="2"/>
    <x v="1"/>
    <x v="1"/>
    <x v="1"/>
    <x v="2"/>
    <x v="0"/>
    <x v="2"/>
    <x v="1"/>
    <x v="2"/>
    <s v="Low"/>
    <x v="1"/>
    <x v="3"/>
    <x v="2"/>
    <x v="2"/>
  </r>
  <r>
    <n v="28"/>
    <x v="1"/>
    <s v="Travel_Rarely"/>
    <n v="857"/>
    <x v="1"/>
    <n v="10"/>
    <n v="3"/>
    <s v="Other"/>
    <n v="1097"/>
    <n v="3"/>
    <x v="0"/>
    <n v="59"/>
    <n v="3"/>
    <n v="2"/>
    <x v="1"/>
    <n v="3"/>
    <x v="0"/>
    <n v="3660"/>
    <n v="3"/>
    <x v="1"/>
    <n v="13"/>
    <n v="3"/>
    <n v="4"/>
    <n v="0"/>
    <n v="10"/>
    <n v="4"/>
    <n v="4"/>
    <n v="8"/>
    <n v="7"/>
    <n v="1"/>
    <n v="7"/>
    <x v="1"/>
    <x v="1"/>
    <x v="3"/>
    <x v="1"/>
    <x v="0"/>
    <x v="0"/>
    <x v="2"/>
    <x v="1"/>
    <s v="No Options"/>
    <x v="3"/>
    <x v="2"/>
    <x v="0"/>
    <x v="0"/>
  </r>
  <r>
    <n v="44"/>
    <x v="0"/>
    <s v="Travel_Rarely"/>
    <n v="1376"/>
    <x v="2"/>
    <n v="1"/>
    <n v="2"/>
    <s v="Medical"/>
    <n v="1098"/>
    <n v="2"/>
    <x v="1"/>
    <n v="91"/>
    <n v="2"/>
    <n v="3"/>
    <x v="8"/>
    <n v="1"/>
    <x v="1"/>
    <n v="10482"/>
    <n v="9"/>
    <x v="1"/>
    <n v="14"/>
    <n v="3"/>
    <n v="4"/>
    <n v="1"/>
    <n v="24"/>
    <n v="1"/>
    <n v="3"/>
    <n v="20"/>
    <n v="6"/>
    <n v="3"/>
    <n v="6"/>
    <x v="0"/>
    <x v="1"/>
    <x v="0"/>
    <x v="0"/>
    <x v="1"/>
    <x v="2"/>
    <x v="3"/>
    <x v="1"/>
    <s v="Low"/>
    <x v="1"/>
    <x v="0"/>
    <x v="2"/>
    <x v="4"/>
  </r>
  <r>
    <n v="33"/>
    <x v="1"/>
    <s v="Travel_Rarely"/>
    <n v="654"/>
    <x v="1"/>
    <n v="5"/>
    <n v="3"/>
    <s v="Life Sciences"/>
    <n v="1099"/>
    <n v="4"/>
    <x v="1"/>
    <n v="34"/>
    <n v="2"/>
    <n v="3"/>
    <x v="4"/>
    <n v="4"/>
    <x v="2"/>
    <n v="7119"/>
    <n v="4"/>
    <x v="1"/>
    <n v="15"/>
    <n v="3"/>
    <n v="3"/>
    <n v="1"/>
    <n v="9"/>
    <n v="2"/>
    <n v="3"/>
    <n v="3"/>
    <n v="2"/>
    <n v="1"/>
    <n v="2"/>
    <x v="1"/>
    <x v="1"/>
    <x v="3"/>
    <x v="2"/>
    <x v="1"/>
    <x v="2"/>
    <x v="0"/>
    <x v="3"/>
    <s v="Low"/>
    <x v="1"/>
    <x v="2"/>
    <x v="2"/>
    <x v="2"/>
  </r>
  <r>
    <n v="35"/>
    <x v="0"/>
    <s v="Travel_Rarely"/>
    <n v="1204"/>
    <x v="0"/>
    <n v="4"/>
    <n v="3"/>
    <s v="Technical Degree"/>
    <n v="1100"/>
    <n v="4"/>
    <x v="1"/>
    <n v="86"/>
    <n v="3"/>
    <n v="3"/>
    <x v="0"/>
    <n v="1"/>
    <x v="0"/>
    <n v="9582"/>
    <n v="0"/>
    <x v="0"/>
    <n v="22"/>
    <n v="4"/>
    <n v="1"/>
    <n v="0"/>
    <n v="9"/>
    <n v="2"/>
    <n v="3"/>
    <n v="8"/>
    <n v="7"/>
    <n v="4"/>
    <n v="7"/>
    <x v="0"/>
    <x v="0"/>
    <x v="3"/>
    <x v="2"/>
    <x v="0"/>
    <x v="2"/>
    <x v="3"/>
    <x v="0"/>
    <s v="No Options"/>
    <x v="1"/>
    <x v="0"/>
    <x v="2"/>
    <x v="0"/>
  </r>
  <r>
    <n v="33"/>
    <x v="0"/>
    <s v="Travel_Frequently"/>
    <n v="827"/>
    <x v="1"/>
    <n v="29"/>
    <n v="4"/>
    <s v="Medical"/>
    <n v="1101"/>
    <n v="1"/>
    <x v="0"/>
    <n v="54"/>
    <n v="2"/>
    <n v="2"/>
    <x v="1"/>
    <n v="3"/>
    <x v="0"/>
    <n v="4508"/>
    <n v="1"/>
    <x v="1"/>
    <n v="22"/>
    <n v="4"/>
    <n v="2"/>
    <n v="0"/>
    <n v="14"/>
    <n v="4"/>
    <n v="3"/>
    <n v="13"/>
    <n v="7"/>
    <n v="3"/>
    <n v="8"/>
    <x v="0"/>
    <x v="1"/>
    <x v="2"/>
    <x v="3"/>
    <x v="1"/>
    <x v="0"/>
    <x v="2"/>
    <x v="2"/>
    <s v="No Options"/>
    <x v="1"/>
    <x v="2"/>
    <x v="0"/>
    <x v="4"/>
  </r>
  <r>
    <n v="28"/>
    <x v="1"/>
    <s v="Travel_Rarely"/>
    <n v="895"/>
    <x v="1"/>
    <n v="15"/>
    <n v="2"/>
    <s v="Life Sciences"/>
    <n v="1102"/>
    <n v="1"/>
    <x v="1"/>
    <n v="50"/>
    <n v="3"/>
    <n v="1"/>
    <x v="2"/>
    <n v="3"/>
    <x v="2"/>
    <n v="2207"/>
    <n v="1"/>
    <x v="1"/>
    <n v="16"/>
    <n v="3"/>
    <n v="4"/>
    <n v="1"/>
    <n v="4"/>
    <n v="5"/>
    <n v="2"/>
    <n v="4"/>
    <n v="2"/>
    <n v="2"/>
    <n v="2"/>
    <x v="1"/>
    <x v="1"/>
    <x v="0"/>
    <x v="3"/>
    <x v="0"/>
    <x v="1"/>
    <x v="2"/>
    <x v="1"/>
    <s v="Low"/>
    <x v="2"/>
    <x v="2"/>
    <x v="1"/>
    <x v="2"/>
  </r>
  <r>
    <n v="34"/>
    <x v="1"/>
    <s v="Travel_Frequently"/>
    <n v="618"/>
    <x v="1"/>
    <n v="3"/>
    <n v="1"/>
    <s v="Life Sciences"/>
    <n v="1103"/>
    <n v="1"/>
    <x v="1"/>
    <n v="45"/>
    <n v="3"/>
    <n v="2"/>
    <x v="4"/>
    <n v="4"/>
    <x v="0"/>
    <n v="7756"/>
    <n v="0"/>
    <x v="1"/>
    <n v="17"/>
    <n v="3"/>
    <n v="3"/>
    <n v="0"/>
    <n v="7"/>
    <n v="1"/>
    <n v="2"/>
    <n v="6"/>
    <n v="2"/>
    <n v="0"/>
    <n v="4"/>
    <x v="1"/>
    <x v="1"/>
    <x v="1"/>
    <x v="3"/>
    <x v="0"/>
    <x v="0"/>
    <x v="0"/>
    <x v="3"/>
    <s v="No Options"/>
    <x v="2"/>
    <x v="2"/>
    <x v="2"/>
    <x v="0"/>
  </r>
  <r>
    <n v="37"/>
    <x v="1"/>
    <s v="Travel_Rarely"/>
    <n v="309"/>
    <x v="0"/>
    <n v="10"/>
    <n v="4"/>
    <s v="Life Sciences"/>
    <n v="1105"/>
    <n v="4"/>
    <x v="0"/>
    <n v="88"/>
    <n v="2"/>
    <n v="2"/>
    <x v="0"/>
    <n v="4"/>
    <x v="2"/>
    <n v="6694"/>
    <n v="2"/>
    <x v="0"/>
    <n v="14"/>
    <n v="3"/>
    <n v="3"/>
    <n v="3"/>
    <n v="8"/>
    <n v="5"/>
    <n v="3"/>
    <n v="1"/>
    <n v="0"/>
    <n v="0"/>
    <n v="0"/>
    <x v="1"/>
    <x v="0"/>
    <x v="2"/>
    <x v="2"/>
    <x v="1"/>
    <x v="0"/>
    <x v="0"/>
    <x v="3"/>
    <s v="High"/>
    <x v="1"/>
    <x v="0"/>
    <x v="0"/>
    <x v="1"/>
  </r>
  <r>
    <n v="25"/>
    <x v="0"/>
    <s v="Travel_Rarely"/>
    <n v="1219"/>
    <x v="1"/>
    <n v="4"/>
    <n v="1"/>
    <s v="Technical Degree"/>
    <n v="1106"/>
    <n v="4"/>
    <x v="1"/>
    <n v="32"/>
    <n v="3"/>
    <n v="1"/>
    <x v="2"/>
    <n v="4"/>
    <x v="1"/>
    <n v="3691"/>
    <n v="1"/>
    <x v="0"/>
    <n v="15"/>
    <n v="3"/>
    <n v="2"/>
    <n v="1"/>
    <n v="7"/>
    <n v="3"/>
    <n v="4"/>
    <n v="7"/>
    <n v="7"/>
    <n v="5"/>
    <n v="6"/>
    <x v="0"/>
    <x v="0"/>
    <x v="1"/>
    <x v="2"/>
    <x v="0"/>
    <x v="1"/>
    <x v="0"/>
    <x v="2"/>
    <s v="Low"/>
    <x v="3"/>
    <x v="2"/>
    <x v="0"/>
    <x v="0"/>
  </r>
  <r>
    <n v="26"/>
    <x v="0"/>
    <s v="Travel_Rarely"/>
    <n v="1330"/>
    <x v="1"/>
    <n v="21"/>
    <n v="3"/>
    <s v="Medical"/>
    <n v="1107"/>
    <n v="1"/>
    <x v="1"/>
    <n v="37"/>
    <n v="3"/>
    <n v="1"/>
    <x v="2"/>
    <n v="3"/>
    <x v="2"/>
    <n v="2377"/>
    <n v="1"/>
    <x v="1"/>
    <n v="20"/>
    <n v="4"/>
    <n v="3"/>
    <n v="1"/>
    <n v="1"/>
    <n v="0"/>
    <n v="2"/>
    <n v="1"/>
    <n v="1"/>
    <n v="0"/>
    <n v="0"/>
    <x v="0"/>
    <x v="1"/>
    <x v="3"/>
    <x v="3"/>
    <x v="0"/>
    <x v="1"/>
    <x v="2"/>
    <x v="3"/>
    <s v="Low"/>
    <x v="2"/>
    <x v="2"/>
    <x v="1"/>
    <x v="1"/>
  </r>
  <r>
    <n v="33"/>
    <x v="0"/>
    <s v="Travel_Rarely"/>
    <n v="1017"/>
    <x v="1"/>
    <n v="25"/>
    <n v="3"/>
    <s v="Medical"/>
    <n v="1108"/>
    <n v="1"/>
    <x v="1"/>
    <n v="55"/>
    <n v="2"/>
    <n v="1"/>
    <x v="1"/>
    <n v="2"/>
    <x v="0"/>
    <n v="2313"/>
    <n v="4"/>
    <x v="0"/>
    <n v="20"/>
    <n v="4"/>
    <n v="2"/>
    <n v="0"/>
    <n v="5"/>
    <n v="0"/>
    <n v="3"/>
    <n v="2"/>
    <n v="2"/>
    <n v="2"/>
    <n v="2"/>
    <x v="0"/>
    <x v="0"/>
    <x v="3"/>
    <x v="3"/>
    <x v="1"/>
    <x v="1"/>
    <x v="1"/>
    <x v="2"/>
    <s v="No Options"/>
    <x v="1"/>
    <x v="2"/>
    <x v="1"/>
    <x v="1"/>
  </r>
  <r>
    <n v="42"/>
    <x v="1"/>
    <s v="Travel_Rarely"/>
    <n v="469"/>
    <x v="1"/>
    <n v="2"/>
    <n v="2"/>
    <s v="Medical"/>
    <n v="1109"/>
    <n v="4"/>
    <x v="1"/>
    <n v="35"/>
    <n v="3"/>
    <n v="4"/>
    <x v="5"/>
    <n v="1"/>
    <x v="1"/>
    <n v="17665"/>
    <n v="0"/>
    <x v="1"/>
    <n v="17"/>
    <n v="3"/>
    <n v="4"/>
    <n v="1"/>
    <n v="23"/>
    <n v="3"/>
    <n v="3"/>
    <n v="22"/>
    <n v="6"/>
    <n v="13"/>
    <n v="7"/>
    <x v="1"/>
    <x v="1"/>
    <x v="0"/>
    <x v="2"/>
    <x v="0"/>
    <x v="3"/>
    <x v="3"/>
    <x v="1"/>
    <s v="Low"/>
    <x v="1"/>
    <x v="0"/>
    <x v="3"/>
    <x v="3"/>
  </r>
  <r>
    <n v="28"/>
    <x v="0"/>
    <s v="Travel_Frequently"/>
    <n v="1009"/>
    <x v="1"/>
    <n v="1"/>
    <n v="3"/>
    <s v="Medical"/>
    <n v="1111"/>
    <n v="1"/>
    <x v="1"/>
    <n v="45"/>
    <n v="2"/>
    <n v="1"/>
    <x v="2"/>
    <n v="2"/>
    <x v="2"/>
    <n v="2596"/>
    <n v="1"/>
    <x v="1"/>
    <n v="15"/>
    <n v="3"/>
    <n v="1"/>
    <n v="2"/>
    <n v="1"/>
    <n v="2"/>
    <n v="3"/>
    <n v="1"/>
    <n v="0"/>
    <n v="0"/>
    <n v="0"/>
    <x v="0"/>
    <x v="1"/>
    <x v="3"/>
    <x v="3"/>
    <x v="1"/>
    <x v="1"/>
    <x v="1"/>
    <x v="0"/>
    <s v="Medium"/>
    <x v="1"/>
    <x v="2"/>
    <x v="1"/>
    <x v="1"/>
  </r>
  <r>
    <n v="50"/>
    <x v="0"/>
    <s v="Travel_Frequently"/>
    <n v="959"/>
    <x v="0"/>
    <n v="1"/>
    <n v="4"/>
    <s v="Other"/>
    <n v="1113"/>
    <n v="4"/>
    <x v="1"/>
    <n v="81"/>
    <n v="3"/>
    <n v="2"/>
    <x v="0"/>
    <n v="3"/>
    <x v="0"/>
    <n v="4728"/>
    <n v="3"/>
    <x v="0"/>
    <n v="14"/>
    <n v="3"/>
    <n v="4"/>
    <n v="0"/>
    <n v="5"/>
    <n v="4"/>
    <n v="3"/>
    <n v="0"/>
    <n v="0"/>
    <n v="0"/>
    <n v="0"/>
    <x v="0"/>
    <x v="0"/>
    <x v="2"/>
    <x v="2"/>
    <x v="0"/>
    <x v="0"/>
    <x v="2"/>
    <x v="1"/>
    <s v="No Options"/>
    <x v="1"/>
    <x v="1"/>
    <x v="0"/>
    <x v="1"/>
  </r>
  <r>
    <n v="33"/>
    <x v="1"/>
    <s v="Travel_Frequently"/>
    <n v="970"/>
    <x v="0"/>
    <n v="7"/>
    <n v="3"/>
    <s v="Life Sciences"/>
    <n v="1114"/>
    <n v="4"/>
    <x v="0"/>
    <n v="30"/>
    <n v="3"/>
    <n v="2"/>
    <x v="0"/>
    <n v="2"/>
    <x v="1"/>
    <n v="4302"/>
    <n v="0"/>
    <x v="1"/>
    <n v="17"/>
    <n v="3"/>
    <n v="3"/>
    <n v="1"/>
    <n v="4"/>
    <n v="3"/>
    <n v="3"/>
    <n v="3"/>
    <n v="2"/>
    <n v="0"/>
    <n v="2"/>
    <x v="1"/>
    <x v="1"/>
    <x v="3"/>
    <x v="2"/>
    <x v="0"/>
    <x v="0"/>
    <x v="1"/>
    <x v="3"/>
    <s v="Low"/>
    <x v="1"/>
    <x v="2"/>
    <x v="0"/>
    <x v="2"/>
  </r>
  <r>
    <n v="34"/>
    <x v="1"/>
    <s v="Non-Travel"/>
    <n v="697"/>
    <x v="1"/>
    <n v="3"/>
    <n v="4"/>
    <s v="Life Sciences"/>
    <n v="1115"/>
    <n v="3"/>
    <x v="1"/>
    <n v="40"/>
    <n v="2"/>
    <n v="1"/>
    <x v="1"/>
    <n v="4"/>
    <x v="1"/>
    <n v="2979"/>
    <n v="3"/>
    <x v="1"/>
    <n v="17"/>
    <n v="3"/>
    <n v="4"/>
    <n v="3"/>
    <n v="6"/>
    <n v="2"/>
    <n v="3"/>
    <n v="0"/>
    <n v="0"/>
    <n v="0"/>
    <n v="0"/>
    <x v="1"/>
    <x v="1"/>
    <x v="2"/>
    <x v="1"/>
    <x v="1"/>
    <x v="1"/>
    <x v="0"/>
    <x v="1"/>
    <s v="High"/>
    <x v="1"/>
    <x v="2"/>
    <x v="1"/>
    <x v="1"/>
  </r>
  <r>
    <n v="48"/>
    <x v="1"/>
    <s v="Non-Travel"/>
    <n v="1262"/>
    <x v="1"/>
    <n v="1"/>
    <n v="4"/>
    <s v="Medical"/>
    <n v="1116"/>
    <n v="1"/>
    <x v="1"/>
    <n v="35"/>
    <n v="4"/>
    <n v="4"/>
    <x v="5"/>
    <n v="4"/>
    <x v="0"/>
    <n v="16885"/>
    <n v="2"/>
    <x v="1"/>
    <n v="22"/>
    <n v="4"/>
    <n v="3"/>
    <n v="0"/>
    <n v="27"/>
    <n v="3"/>
    <n v="2"/>
    <n v="5"/>
    <n v="4"/>
    <n v="2"/>
    <n v="1"/>
    <x v="1"/>
    <x v="1"/>
    <x v="2"/>
    <x v="3"/>
    <x v="2"/>
    <x v="3"/>
    <x v="0"/>
    <x v="3"/>
    <s v="No Options"/>
    <x v="2"/>
    <x v="1"/>
    <x v="3"/>
    <x v="2"/>
  </r>
  <r>
    <n v="45"/>
    <x v="1"/>
    <s v="Non-Travel"/>
    <n v="1050"/>
    <x v="0"/>
    <n v="9"/>
    <n v="4"/>
    <s v="Life Sciences"/>
    <n v="1117"/>
    <n v="2"/>
    <x v="0"/>
    <n v="65"/>
    <n v="2"/>
    <n v="2"/>
    <x v="0"/>
    <n v="3"/>
    <x v="1"/>
    <n v="5593"/>
    <n v="1"/>
    <x v="1"/>
    <n v="13"/>
    <n v="3"/>
    <n v="4"/>
    <n v="1"/>
    <n v="15"/>
    <n v="2"/>
    <n v="3"/>
    <n v="15"/>
    <n v="10"/>
    <n v="4"/>
    <n v="12"/>
    <x v="1"/>
    <x v="1"/>
    <x v="2"/>
    <x v="0"/>
    <x v="1"/>
    <x v="0"/>
    <x v="2"/>
    <x v="1"/>
    <s v="Low"/>
    <x v="1"/>
    <x v="1"/>
    <x v="0"/>
    <x v="4"/>
  </r>
  <r>
    <n v="52"/>
    <x v="1"/>
    <s v="Travel_Rarely"/>
    <n v="994"/>
    <x v="1"/>
    <n v="7"/>
    <n v="4"/>
    <s v="Life Sciences"/>
    <n v="1118"/>
    <n v="2"/>
    <x v="1"/>
    <n v="87"/>
    <n v="3"/>
    <n v="3"/>
    <x v="4"/>
    <n v="2"/>
    <x v="0"/>
    <n v="10445"/>
    <n v="7"/>
    <x v="1"/>
    <n v="19"/>
    <n v="3"/>
    <n v="4"/>
    <n v="0"/>
    <n v="18"/>
    <n v="4"/>
    <n v="3"/>
    <n v="8"/>
    <n v="6"/>
    <n v="4"/>
    <n v="0"/>
    <x v="1"/>
    <x v="1"/>
    <x v="2"/>
    <x v="0"/>
    <x v="0"/>
    <x v="2"/>
    <x v="1"/>
    <x v="1"/>
    <s v="No Options"/>
    <x v="1"/>
    <x v="1"/>
    <x v="2"/>
    <x v="0"/>
  </r>
  <r>
    <n v="38"/>
    <x v="1"/>
    <s v="Travel_Rarely"/>
    <n v="770"/>
    <x v="0"/>
    <n v="10"/>
    <n v="4"/>
    <s v="Marketing"/>
    <n v="1119"/>
    <n v="3"/>
    <x v="1"/>
    <n v="73"/>
    <n v="2"/>
    <n v="3"/>
    <x v="0"/>
    <n v="3"/>
    <x v="2"/>
    <n v="8740"/>
    <n v="0"/>
    <x v="0"/>
    <n v="14"/>
    <n v="3"/>
    <n v="2"/>
    <n v="2"/>
    <n v="9"/>
    <n v="2"/>
    <n v="3"/>
    <n v="8"/>
    <n v="7"/>
    <n v="2"/>
    <n v="7"/>
    <x v="1"/>
    <x v="0"/>
    <x v="2"/>
    <x v="1"/>
    <x v="1"/>
    <x v="2"/>
    <x v="2"/>
    <x v="2"/>
    <s v="Medium"/>
    <x v="1"/>
    <x v="0"/>
    <x v="2"/>
    <x v="0"/>
  </r>
  <r>
    <n v="29"/>
    <x v="1"/>
    <s v="Travel_Rarely"/>
    <n v="1107"/>
    <x v="1"/>
    <n v="28"/>
    <n v="4"/>
    <s v="Life Sciences"/>
    <n v="1120"/>
    <n v="3"/>
    <x v="0"/>
    <n v="93"/>
    <n v="3"/>
    <n v="1"/>
    <x v="1"/>
    <n v="4"/>
    <x v="2"/>
    <n v="2514"/>
    <n v="4"/>
    <x v="1"/>
    <n v="22"/>
    <n v="4"/>
    <n v="1"/>
    <n v="1"/>
    <n v="11"/>
    <n v="1"/>
    <n v="3"/>
    <n v="7"/>
    <n v="5"/>
    <n v="1"/>
    <n v="7"/>
    <x v="1"/>
    <x v="1"/>
    <x v="2"/>
    <x v="1"/>
    <x v="0"/>
    <x v="1"/>
    <x v="0"/>
    <x v="0"/>
    <s v="Low"/>
    <x v="1"/>
    <x v="2"/>
    <x v="1"/>
    <x v="0"/>
  </r>
  <r>
    <n v="28"/>
    <x v="1"/>
    <s v="Travel_Rarely"/>
    <n v="950"/>
    <x v="1"/>
    <n v="3"/>
    <n v="3"/>
    <s v="Medical"/>
    <n v="1121"/>
    <n v="4"/>
    <x v="0"/>
    <n v="93"/>
    <n v="3"/>
    <n v="3"/>
    <x v="3"/>
    <n v="2"/>
    <x v="2"/>
    <n v="7655"/>
    <n v="0"/>
    <x v="1"/>
    <n v="17"/>
    <n v="3"/>
    <n v="2"/>
    <n v="3"/>
    <n v="10"/>
    <n v="3"/>
    <n v="2"/>
    <n v="9"/>
    <n v="7"/>
    <n v="1"/>
    <n v="7"/>
    <x v="1"/>
    <x v="1"/>
    <x v="3"/>
    <x v="2"/>
    <x v="0"/>
    <x v="2"/>
    <x v="1"/>
    <x v="2"/>
    <s v="High"/>
    <x v="2"/>
    <x v="2"/>
    <x v="2"/>
    <x v="0"/>
  </r>
  <r>
    <n v="46"/>
    <x v="1"/>
    <s v="Travel_Rarely"/>
    <n v="406"/>
    <x v="0"/>
    <n v="3"/>
    <n v="1"/>
    <s v="Marketing"/>
    <n v="1124"/>
    <n v="1"/>
    <x v="1"/>
    <n v="52"/>
    <n v="3"/>
    <n v="4"/>
    <x v="5"/>
    <n v="3"/>
    <x v="1"/>
    <n v="17465"/>
    <n v="3"/>
    <x v="1"/>
    <n v="12"/>
    <n v="3"/>
    <n v="4"/>
    <n v="1"/>
    <n v="23"/>
    <n v="3"/>
    <n v="3"/>
    <n v="12"/>
    <n v="9"/>
    <n v="4"/>
    <n v="9"/>
    <x v="1"/>
    <x v="1"/>
    <x v="1"/>
    <x v="3"/>
    <x v="0"/>
    <x v="3"/>
    <x v="2"/>
    <x v="1"/>
    <s v="Low"/>
    <x v="1"/>
    <x v="1"/>
    <x v="3"/>
    <x v="4"/>
  </r>
  <r>
    <n v="38"/>
    <x v="1"/>
    <s v="Travel_Rarely"/>
    <n v="130"/>
    <x v="0"/>
    <n v="2"/>
    <n v="2"/>
    <s v="Marketing"/>
    <n v="1125"/>
    <n v="4"/>
    <x v="1"/>
    <n v="32"/>
    <n v="3"/>
    <n v="3"/>
    <x v="0"/>
    <n v="2"/>
    <x v="0"/>
    <n v="7351"/>
    <n v="7"/>
    <x v="1"/>
    <n v="16"/>
    <n v="3"/>
    <n v="3"/>
    <n v="0"/>
    <n v="10"/>
    <n v="2"/>
    <n v="3"/>
    <n v="1"/>
    <n v="0"/>
    <n v="0"/>
    <n v="0"/>
    <x v="1"/>
    <x v="1"/>
    <x v="0"/>
    <x v="2"/>
    <x v="0"/>
    <x v="2"/>
    <x v="1"/>
    <x v="3"/>
    <s v="No Options"/>
    <x v="1"/>
    <x v="0"/>
    <x v="2"/>
    <x v="1"/>
  </r>
  <r>
    <n v="43"/>
    <x v="1"/>
    <s v="Travel_Frequently"/>
    <n v="1082"/>
    <x v="1"/>
    <n v="27"/>
    <n v="3"/>
    <s v="Life Sciences"/>
    <n v="1126"/>
    <n v="3"/>
    <x v="0"/>
    <n v="83"/>
    <n v="3"/>
    <n v="3"/>
    <x v="3"/>
    <n v="1"/>
    <x v="1"/>
    <n v="10820"/>
    <n v="8"/>
    <x v="1"/>
    <n v="11"/>
    <n v="3"/>
    <n v="3"/>
    <n v="1"/>
    <n v="18"/>
    <n v="1"/>
    <n v="3"/>
    <n v="8"/>
    <n v="7"/>
    <n v="0"/>
    <n v="1"/>
    <x v="1"/>
    <x v="1"/>
    <x v="3"/>
    <x v="1"/>
    <x v="0"/>
    <x v="2"/>
    <x v="3"/>
    <x v="3"/>
    <s v="Low"/>
    <x v="1"/>
    <x v="0"/>
    <x v="2"/>
    <x v="0"/>
  </r>
  <r>
    <n v="39"/>
    <x v="0"/>
    <s v="Travel_Frequently"/>
    <n v="203"/>
    <x v="1"/>
    <n v="2"/>
    <n v="3"/>
    <s v="Life Sciences"/>
    <n v="1127"/>
    <n v="1"/>
    <x v="1"/>
    <n v="84"/>
    <n v="3"/>
    <n v="4"/>
    <x v="4"/>
    <n v="4"/>
    <x v="2"/>
    <n v="12169"/>
    <n v="7"/>
    <x v="1"/>
    <n v="11"/>
    <n v="3"/>
    <n v="4"/>
    <n v="3"/>
    <n v="21"/>
    <n v="4"/>
    <n v="3"/>
    <n v="18"/>
    <n v="7"/>
    <n v="11"/>
    <n v="5"/>
    <x v="0"/>
    <x v="1"/>
    <x v="3"/>
    <x v="3"/>
    <x v="0"/>
    <x v="3"/>
    <x v="0"/>
    <x v="1"/>
    <s v="High"/>
    <x v="1"/>
    <x v="0"/>
    <x v="2"/>
    <x v="4"/>
  </r>
  <r>
    <n v="40"/>
    <x v="1"/>
    <s v="Travel_Rarely"/>
    <n v="1308"/>
    <x v="1"/>
    <n v="14"/>
    <n v="3"/>
    <s v="Medical"/>
    <n v="1128"/>
    <n v="3"/>
    <x v="1"/>
    <n v="44"/>
    <n v="2"/>
    <n v="5"/>
    <x v="7"/>
    <n v="3"/>
    <x v="0"/>
    <n v="19626"/>
    <n v="1"/>
    <x v="1"/>
    <n v="14"/>
    <n v="3"/>
    <n v="1"/>
    <n v="0"/>
    <n v="21"/>
    <n v="2"/>
    <n v="4"/>
    <n v="20"/>
    <n v="7"/>
    <n v="4"/>
    <n v="9"/>
    <x v="1"/>
    <x v="1"/>
    <x v="3"/>
    <x v="1"/>
    <x v="1"/>
    <x v="4"/>
    <x v="2"/>
    <x v="0"/>
    <s v="No Options"/>
    <x v="3"/>
    <x v="0"/>
    <x v="3"/>
    <x v="4"/>
  </r>
  <r>
    <n v="21"/>
    <x v="1"/>
    <s v="Travel_Rarely"/>
    <n v="984"/>
    <x v="1"/>
    <n v="1"/>
    <n v="1"/>
    <s v="Technical Degree"/>
    <n v="1131"/>
    <n v="4"/>
    <x v="0"/>
    <n v="70"/>
    <n v="2"/>
    <n v="1"/>
    <x v="1"/>
    <n v="2"/>
    <x v="0"/>
    <n v="2070"/>
    <n v="1"/>
    <x v="0"/>
    <n v="11"/>
    <n v="3"/>
    <n v="3"/>
    <n v="0"/>
    <n v="2"/>
    <n v="6"/>
    <n v="4"/>
    <n v="2"/>
    <n v="2"/>
    <n v="2"/>
    <n v="2"/>
    <x v="1"/>
    <x v="0"/>
    <x v="1"/>
    <x v="2"/>
    <x v="1"/>
    <x v="1"/>
    <x v="1"/>
    <x v="3"/>
    <s v="No Options"/>
    <x v="3"/>
    <x v="4"/>
    <x v="1"/>
    <x v="1"/>
  </r>
  <r>
    <n v="39"/>
    <x v="1"/>
    <s v="Non-Travel"/>
    <n v="439"/>
    <x v="1"/>
    <n v="9"/>
    <n v="3"/>
    <s v="Life Sciences"/>
    <n v="1132"/>
    <n v="3"/>
    <x v="1"/>
    <n v="70"/>
    <n v="3"/>
    <n v="2"/>
    <x v="2"/>
    <n v="2"/>
    <x v="0"/>
    <n v="6782"/>
    <n v="9"/>
    <x v="1"/>
    <n v="15"/>
    <n v="3"/>
    <n v="3"/>
    <n v="0"/>
    <n v="9"/>
    <n v="2"/>
    <n v="2"/>
    <n v="5"/>
    <n v="4"/>
    <n v="0"/>
    <n v="3"/>
    <x v="1"/>
    <x v="1"/>
    <x v="3"/>
    <x v="1"/>
    <x v="0"/>
    <x v="0"/>
    <x v="1"/>
    <x v="3"/>
    <s v="No Options"/>
    <x v="2"/>
    <x v="0"/>
    <x v="0"/>
    <x v="2"/>
  </r>
  <r>
    <n v="36"/>
    <x v="1"/>
    <s v="Non-Travel"/>
    <n v="217"/>
    <x v="1"/>
    <n v="18"/>
    <n v="4"/>
    <s v="Life Sciences"/>
    <n v="1133"/>
    <n v="1"/>
    <x v="1"/>
    <n v="78"/>
    <n v="3"/>
    <n v="2"/>
    <x v="3"/>
    <n v="4"/>
    <x v="0"/>
    <n v="7779"/>
    <n v="2"/>
    <x v="1"/>
    <n v="20"/>
    <n v="4"/>
    <n v="1"/>
    <n v="0"/>
    <n v="18"/>
    <n v="0"/>
    <n v="3"/>
    <n v="11"/>
    <n v="9"/>
    <n v="0"/>
    <n v="9"/>
    <x v="1"/>
    <x v="1"/>
    <x v="2"/>
    <x v="3"/>
    <x v="0"/>
    <x v="0"/>
    <x v="0"/>
    <x v="0"/>
    <s v="No Options"/>
    <x v="1"/>
    <x v="0"/>
    <x v="2"/>
    <x v="4"/>
  </r>
  <r>
    <n v="31"/>
    <x v="1"/>
    <s v="Travel_Frequently"/>
    <n v="793"/>
    <x v="0"/>
    <n v="20"/>
    <n v="3"/>
    <s v="Life Sciences"/>
    <n v="1135"/>
    <n v="3"/>
    <x v="1"/>
    <n v="67"/>
    <n v="4"/>
    <n v="1"/>
    <x v="6"/>
    <n v="4"/>
    <x v="1"/>
    <n v="2791"/>
    <n v="0"/>
    <x v="1"/>
    <n v="12"/>
    <n v="3"/>
    <n v="1"/>
    <n v="1"/>
    <n v="3"/>
    <n v="4"/>
    <n v="3"/>
    <n v="2"/>
    <n v="2"/>
    <n v="2"/>
    <n v="2"/>
    <x v="1"/>
    <x v="1"/>
    <x v="3"/>
    <x v="1"/>
    <x v="2"/>
    <x v="1"/>
    <x v="0"/>
    <x v="0"/>
    <s v="Low"/>
    <x v="1"/>
    <x v="2"/>
    <x v="1"/>
    <x v="1"/>
  </r>
  <r>
    <n v="28"/>
    <x v="1"/>
    <s v="Travel_Rarely"/>
    <n v="1451"/>
    <x v="1"/>
    <n v="2"/>
    <n v="1"/>
    <s v="Life Sciences"/>
    <n v="1136"/>
    <n v="1"/>
    <x v="1"/>
    <n v="67"/>
    <n v="2"/>
    <n v="1"/>
    <x v="1"/>
    <n v="2"/>
    <x v="1"/>
    <n v="3201"/>
    <n v="0"/>
    <x v="1"/>
    <n v="17"/>
    <n v="3"/>
    <n v="1"/>
    <n v="0"/>
    <n v="6"/>
    <n v="2"/>
    <n v="1"/>
    <n v="5"/>
    <n v="3"/>
    <n v="0"/>
    <n v="4"/>
    <x v="1"/>
    <x v="1"/>
    <x v="1"/>
    <x v="3"/>
    <x v="1"/>
    <x v="1"/>
    <x v="1"/>
    <x v="0"/>
    <s v="No Options"/>
    <x v="0"/>
    <x v="2"/>
    <x v="0"/>
    <x v="2"/>
  </r>
  <r>
    <n v="35"/>
    <x v="1"/>
    <s v="Travel_Frequently"/>
    <n v="1182"/>
    <x v="0"/>
    <n v="11"/>
    <n v="2"/>
    <s v="Marketing"/>
    <n v="1137"/>
    <n v="4"/>
    <x v="1"/>
    <n v="54"/>
    <n v="3"/>
    <n v="2"/>
    <x v="0"/>
    <n v="4"/>
    <x v="2"/>
    <n v="4968"/>
    <n v="1"/>
    <x v="1"/>
    <n v="11"/>
    <n v="3"/>
    <n v="4"/>
    <n v="1"/>
    <n v="5"/>
    <n v="3"/>
    <n v="3"/>
    <n v="5"/>
    <n v="2"/>
    <n v="0"/>
    <n v="2"/>
    <x v="1"/>
    <x v="1"/>
    <x v="0"/>
    <x v="2"/>
    <x v="0"/>
    <x v="0"/>
    <x v="0"/>
    <x v="1"/>
    <s v="Low"/>
    <x v="1"/>
    <x v="0"/>
    <x v="0"/>
    <x v="2"/>
  </r>
  <r>
    <n v="49"/>
    <x v="1"/>
    <s v="Travel_Rarely"/>
    <n v="174"/>
    <x v="0"/>
    <n v="8"/>
    <n v="4"/>
    <s v="Technical Degree"/>
    <n v="1138"/>
    <n v="4"/>
    <x v="1"/>
    <n v="56"/>
    <n v="2"/>
    <n v="4"/>
    <x v="0"/>
    <n v="2"/>
    <x v="1"/>
    <n v="13120"/>
    <n v="6"/>
    <x v="1"/>
    <n v="17"/>
    <n v="3"/>
    <n v="2"/>
    <n v="1"/>
    <n v="22"/>
    <n v="3"/>
    <n v="3"/>
    <n v="9"/>
    <n v="8"/>
    <n v="2"/>
    <n v="3"/>
    <x v="1"/>
    <x v="1"/>
    <x v="2"/>
    <x v="2"/>
    <x v="1"/>
    <x v="3"/>
    <x v="1"/>
    <x v="2"/>
    <s v="Low"/>
    <x v="1"/>
    <x v="1"/>
    <x v="3"/>
    <x v="0"/>
  </r>
  <r>
    <n v="34"/>
    <x v="1"/>
    <s v="Travel_Frequently"/>
    <n v="1003"/>
    <x v="1"/>
    <n v="2"/>
    <n v="2"/>
    <s v="Life Sciences"/>
    <n v="1140"/>
    <n v="4"/>
    <x v="1"/>
    <n v="95"/>
    <n v="3"/>
    <n v="2"/>
    <x v="3"/>
    <n v="3"/>
    <x v="0"/>
    <n v="4033"/>
    <n v="2"/>
    <x v="1"/>
    <n v="11"/>
    <n v="3"/>
    <n v="4"/>
    <n v="0"/>
    <n v="5"/>
    <n v="3"/>
    <n v="2"/>
    <n v="3"/>
    <n v="2"/>
    <n v="0"/>
    <n v="2"/>
    <x v="1"/>
    <x v="1"/>
    <x v="0"/>
    <x v="2"/>
    <x v="0"/>
    <x v="0"/>
    <x v="2"/>
    <x v="1"/>
    <s v="No Options"/>
    <x v="2"/>
    <x v="2"/>
    <x v="0"/>
    <x v="2"/>
  </r>
  <r>
    <n v="29"/>
    <x v="1"/>
    <s v="Travel_Frequently"/>
    <n v="490"/>
    <x v="1"/>
    <n v="10"/>
    <n v="3"/>
    <s v="Life Sciences"/>
    <n v="1143"/>
    <n v="4"/>
    <x v="0"/>
    <n v="61"/>
    <n v="3"/>
    <n v="1"/>
    <x v="1"/>
    <n v="2"/>
    <x v="2"/>
    <n v="3291"/>
    <n v="0"/>
    <x v="1"/>
    <n v="14"/>
    <n v="3"/>
    <n v="4"/>
    <n v="2"/>
    <n v="8"/>
    <n v="2"/>
    <n v="2"/>
    <n v="7"/>
    <n v="5"/>
    <n v="1"/>
    <n v="1"/>
    <x v="1"/>
    <x v="1"/>
    <x v="3"/>
    <x v="2"/>
    <x v="0"/>
    <x v="1"/>
    <x v="1"/>
    <x v="1"/>
    <s v="Medium"/>
    <x v="2"/>
    <x v="2"/>
    <x v="0"/>
    <x v="0"/>
  </r>
  <r>
    <n v="42"/>
    <x v="1"/>
    <s v="Travel_Rarely"/>
    <n v="188"/>
    <x v="1"/>
    <n v="29"/>
    <n v="3"/>
    <s v="Medical"/>
    <n v="1148"/>
    <n v="2"/>
    <x v="1"/>
    <n v="56"/>
    <n v="1"/>
    <n v="2"/>
    <x v="2"/>
    <n v="4"/>
    <x v="0"/>
    <n v="4272"/>
    <n v="4"/>
    <x v="1"/>
    <n v="19"/>
    <n v="3"/>
    <n v="1"/>
    <n v="0"/>
    <n v="16"/>
    <n v="3"/>
    <n v="3"/>
    <n v="1"/>
    <n v="0"/>
    <n v="0"/>
    <n v="0"/>
    <x v="1"/>
    <x v="1"/>
    <x v="3"/>
    <x v="0"/>
    <x v="3"/>
    <x v="0"/>
    <x v="0"/>
    <x v="0"/>
    <s v="No Options"/>
    <x v="1"/>
    <x v="0"/>
    <x v="0"/>
    <x v="1"/>
  </r>
  <r>
    <n v="29"/>
    <x v="1"/>
    <s v="Travel_Rarely"/>
    <n v="718"/>
    <x v="1"/>
    <n v="8"/>
    <n v="1"/>
    <s v="Medical"/>
    <n v="1150"/>
    <n v="2"/>
    <x v="1"/>
    <n v="79"/>
    <n v="2"/>
    <n v="2"/>
    <x v="3"/>
    <n v="4"/>
    <x v="1"/>
    <n v="5056"/>
    <n v="1"/>
    <x v="0"/>
    <n v="15"/>
    <n v="3"/>
    <n v="3"/>
    <n v="1"/>
    <n v="10"/>
    <n v="2"/>
    <n v="2"/>
    <n v="10"/>
    <n v="7"/>
    <n v="1"/>
    <n v="2"/>
    <x v="1"/>
    <x v="0"/>
    <x v="1"/>
    <x v="0"/>
    <x v="1"/>
    <x v="0"/>
    <x v="0"/>
    <x v="3"/>
    <s v="Low"/>
    <x v="2"/>
    <x v="2"/>
    <x v="0"/>
    <x v="0"/>
  </r>
  <r>
    <n v="38"/>
    <x v="1"/>
    <s v="Travel_Rarely"/>
    <n v="433"/>
    <x v="2"/>
    <n v="1"/>
    <n v="3"/>
    <s v="Human Resources"/>
    <n v="1152"/>
    <n v="3"/>
    <x v="1"/>
    <n v="37"/>
    <n v="4"/>
    <n v="1"/>
    <x v="8"/>
    <n v="3"/>
    <x v="1"/>
    <n v="2844"/>
    <n v="1"/>
    <x v="1"/>
    <n v="13"/>
    <n v="3"/>
    <n v="4"/>
    <n v="1"/>
    <n v="7"/>
    <n v="2"/>
    <n v="4"/>
    <n v="7"/>
    <n v="6"/>
    <n v="5"/>
    <n v="0"/>
    <x v="1"/>
    <x v="1"/>
    <x v="3"/>
    <x v="1"/>
    <x v="2"/>
    <x v="1"/>
    <x v="2"/>
    <x v="1"/>
    <s v="Low"/>
    <x v="3"/>
    <x v="0"/>
    <x v="1"/>
    <x v="0"/>
  </r>
  <r>
    <n v="28"/>
    <x v="1"/>
    <s v="Travel_Frequently"/>
    <n v="773"/>
    <x v="1"/>
    <n v="6"/>
    <n v="3"/>
    <s v="Life Sciences"/>
    <n v="1154"/>
    <n v="3"/>
    <x v="1"/>
    <n v="39"/>
    <n v="2"/>
    <n v="1"/>
    <x v="1"/>
    <n v="3"/>
    <x v="2"/>
    <n v="2703"/>
    <n v="1"/>
    <x v="0"/>
    <n v="14"/>
    <n v="3"/>
    <n v="4"/>
    <n v="1"/>
    <n v="3"/>
    <n v="2"/>
    <n v="3"/>
    <n v="3"/>
    <n v="1"/>
    <n v="0"/>
    <n v="2"/>
    <x v="1"/>
    <x v="0"/>
    <x v="3"/>
    <x v="1"/>
    <x v="1"/>
    <x v="1"/>
    <x v="2"/>
    <x v="1"/>
    <s v="Low"/>
    <x v="1"/>
    <x v="2"/>
    <x v="1"/>
    <x v="2"/>
  </r>
  <r>
    <n v="18"/>
    <x v="0"/>
    <s v="Non-Travel"/>
    <n v="247"/>
    <x v="1"/>
    <n v="8"/>
    <n v="1"/>
    <s v="Medical"/>
    <n v="1156"/>
    <n v="3"/>
    <x v="1"/>
    <n v="80"/>
    <n v="3"/>
    <n v="1"/>
    <x v="2"/>
    <n v="3"/>
    <x v="0"/>
    <n v="1904"/>
    <n v="1"/>
    <x v="1"/>
    <n v="12"/>
    <n v="3"/>
    <n v="4"/>
    <n v="0"/>
    <n v="0"/>
    <n v="0"/>
    <n v="3"/>
    <n v="0"/>
    <n v="0"/>
    <n v="0"/>
    <n v="0"/>
    <x v="0"/>
    <x v="1"/>
    <x v="1"/>
    <x v="1"/>
    <x v="0"/>
    <x v="1"/>
    <x v="2"/>
    <x v="1"/>
    <s v="No Options"/>
    <x v="1"/>
    <x v="4"/>
    <x v="1"/>
    <x v="1"/>
  </r>
  <r>
    <n v="33"/>
    <x v="0"/>
    <s v="Travel_Rarely"/>
    <n v="603"/>
    <x v="0"/>
    <n v="9"/>
    <n v="4"/>
    <s v="Marketing"/>
    <n v="1157"/>
    <n v="1"/>
    <x v="0"/>
    <n v="77"/>
    <n v="3"/>
    <n v="2"/>
    <x v="0"/>
    <n v="1"/>
    <x v="0"/>
    <n v="8224"/>
    <n v="0"/>
    <x v="0"/>
    <n v="17"/>
    <n v="3"/>
    <n v="1"/>
    <n v="0"/>
    <n v="6"/>
    <n v="3"/>
    <n v="3"/>
    <n v="5"/>
    <n v="2"/>
    <n v="0"/>
    <n v="3"/>
    <x v="0"/>
    <x v="0"/>
    <x v="2"/>
    <x v="3"/>
    <x v="0"/>
    <x v="0"/>
    <x v="3"/>
    <x v="0"/>
    <s v="No Options"/>
    <x v="1"/>
    <x v="2"/>
    <x v="2"/>
    <x v="2"/>
  </r>
  <r>
    <n v="41"/>
    <x v="1"/>
    <s v="Travel_Rarely"/>
    <n v="167"/>
    <x v="1"/>
    <n v="12"/>
    <n v="4"/>
    <s v="Life Sciences"/>
    <n v="1158"/>
    <n v="2"/>
    <x v="1"/>
    <n v="46"/>
    <n v="3"/>
    <n v="1"/>
    <x v="2"/>
    <n v="4"/>
    <x v="1"/>
    <n v="4766"/>
    <n v="3"/>
    <x v="0"/>
    <n v="11"/>
    <n v="3"/>
    <n v="1"/>
    <n v="1"/>
    <n v="6"/>
    <n v="4"/>
    <n v="3"/>
    <n v="1"/>
    <n v="0"/>
    <n v="0"/>
    <n v="0"/>
    <x v="1"/>
    <x v="0"/>
    <x v="2"/>
    <x v="0"/>
    <x v="0"/>
    <x v="1"/>
    <x v="0"/>
    <x v="0"/>
    <s v="Low"/>
    <x v="1"/>
    <x v="0"/>
    <x v="0"/>
    <x v="1"/>
  </r>
  <r>
    <n v="31"/>
    <x v="0"/>
    <s v="Travel_Frequently"/>
    <n v="874"/>
    <x v="1"/>
    <n v="15"/>
    <n v="3"/>
    <s v="Medical"/>
    <n v="1160"/>
    <n v="3"/>
    <x v="1"/>
    <n v="72"/>
    <n v="3"/>
    <n v="1"/>
    <x v="2"/>
    <n v="3"/>
    <x v="1"/>
    <n v="2610"/>
    <n v="1"/>
    <x v="1"/>
    <n v="12"/>
    <n v="3"/>
    <n v="3"/>
    <n v="1"/>
    <n v="2"/>
    <n v="5"/>
    <n v="2"/>
    <n v="2"/>
    <n v="2"/>
    <n v="2"/>
    <n v="2"/>
    <x v="0"/>
    <x v="1"/>
    <x v="3"/>
    <x v="1"/>
    <x v="0"/>
    <x v="1"/>
    <x v="2"/>
    <x v="3"/>
    <s v="Low"/>
    <x v="2"/>
    <x v="2"/>
    <x v="1"/>
    <x v="1"/>
  </r>
  <r>
    <n v="37"/>
    <x v="1"/>
    <s v="Travel_Rarely"/>
    <n v="367"/>
    <x v="1"/>
    <n v="25"/>
    <n v="2"/>
    <s v="Medical"/>
    <n v="1161"/>
    <n v="3"/>
    <x v="0"/>
    <n v="52"/>
    <n v="2"/>
    <n v="2"/>
    <x v="4"/>
    <n v="4"/>
    <x v="2"/>
    <n v="5731"/>
    <n v="7"/>
    <x v="1"/>
    <n v="13"/>
    <n v="3"/>
    <n v="3"/>
    <n v="2"/>
    <n v="9"/>
    <n v="2"/>
    <n v="3"/>
    <n v="6"/>
    <n v="2"/>
    <n v="1"/>
    <n v="3"/>
    <x v="1"/>
    <x v="1"/>
    <x v="0"/>
    <x v="1"/>
    <x v="1"/>
    <x v="0"/>
    <x v="0"/>
    <x v="3"/>
    <s v="Medium"/>
    <x v="1"/>
    <x v="0"/>
    <x v="0"/>
    <x v="0"/>
  </r>
  <r>
    <n v="27"/>
    <x v="1"/>
    <s v="Travel_Rarely"/>
    <n v="199"/>
    <x v="1"/>
    <n v="6"/>
    <n v="3"/>
    <s v="Life Sciences"/>
    <n v="1162"/>
    <n v="4"/>
    <x v="1"/>
    <n v="55"/>
    <n v="2"/>
    <n v="1"/>
    <x v="1"/>
    <n v="3"/>
    <x v="1"/>
    <n v="2539"/>
    <n v="1"/>
    <x v="1"/>
    <n v="13"/>
    <n v="3"/>
    <n v="3"/>
    <n v="1"/>
    <n v="4"/>
    <n v="0"/>
    <n v="3"/>
    <n v="4"/>
    <n v="2"/>
    <n v="2"/>
    <n v="2"/>
    <x v="1"/>
    <x v="1"/>
    <x v="3"/>
    <x v="2"/>
    <x v="1"/>
    <x v="1"/>
    <x v="2"/>
    <x v="3"/>
    <s v="Low"/>
    <x v="1"/>
    <x v="2"/>
    <x v="1"/>
    <x v="2"/>
  </r>
  <r>
    <n v="34"/>
    <x v="1"/>
    <s v="Travel_Rarely"/>
    <n v="1400"/>
    <x v="0"/>
    <n v="9"/>
    <n v="1"/>
    <s v="Life Sciences"/>
    <n v="1163"/>
    <n v="2"/>
    <x v="0"/>
    <n v="70"/>
    <n v="3"/>
    <n v="2"/>
    <x v="0"/>
    <n v="3"/>
    <x v="1"/>
    <n v="5714"/>
    <n v="1"/>
    <x v="1"/>
    <n v="20"/>
    <n v="4"/>
    <n v="1"/>
    <n v="0"/>
    <n v="6"/>
    <n v="3"/>
    <n v="2"/>
    <n v="6"/>
    <n v="5"/>
    <n v="1"/>
    <n v="3"/>
    <x v="1"/>
    <x v="1"/>
    <x v="1"/>
    <x v="0"/>
    <x v="0"/>
    <x v="0"/>
    <x v="2"/>
    <x v="0"/>
    <s v="No Options"/>
    <x v="2"/>
    <x v="2"/>
    <x v="0"/>
    <x v="0"/>
  </r>
  <r>
    <n v="35"/>
    <x v="1"/>
    <s v="Travel_Rarely"/>
    <n v="528"/>
    <x v="2"/>
    <n v="8"/>
    <n v="4"/>
    <s v="Technical Degree"/>
    <n v="1164"/>
    <n v="3"/>
    <x v="1"/>
    <n v="100"/>
    <n v="3"/>
    <n v="1"/>
    <x v="8"/>
    <n v="3"/>
    <x v="0"/>
    <n v="4323"/>
    <n v="1"/>
    <x v="1"/>
    <n v="17"/>
    <n v="3"/>
    <n v="2"/>
    <n v="0"/>
    <n v="6"/>
    <n v="2"/>
    <n v="1"/>
    <n v="5"/>
    <n v="4"/>
    <n v="1"/>
    <n v="4"/>
    <x v="1"/>
    <x v="1"/>
    <x v="2"/>
    <x v="1"/>
    <x v="0"/>
    <x v="1"/>
    <x v="2"/>
    <x v="2"/>
    <s v="No Options"/>
    <x v="0"/>
    <x v="0"/>
    <x v="0"/>
    <x v="2"/>
  </r>
  <r>
    <n v="29"/>
    <x v="0"/>
    <s v="Travel_Rarely"/>
    <n v="408"/>
    <x v="0"/>
    <n v="23"/>
    <n v="1"/>
    <s v="Life Sciences"/>
    <n v="1165"/>
    <n v="4"/>
    <x v="0"/>
    <n v="45"/>
    <n v="2"/>
    <n v="3"/>
    <x v="0"/>
    <n v="1"/>
    <x v="1"/>
    <n v="7336"/>
    <n v="1"/>
    <x v="1"/>
    <n v="13"/>
    <n v="3"/>
    <n v="1"/>
    <n v="1"/>
    <n v="11"/>
    <n v="3"/>
    <n v="1"/>
    <n v="11"/>
    <n v="8"/>
    <n v="3"/>
    <n v="10"/>
    <x v="0"/>
    <x v="1"/>
    <x v="1"/>
    <x v="2"/>
    <x v="1"/>
    <x v="2"/>
    <x v="3"/>
    <x v="0"/>
    <s v="Low"/>
    <x v="0"/>
    <x v="2"/>
    <x v="2"/>
    <x v="4"/>
  </r>
  <r>
    <n v="40"/>
    <x v="1"/>
    <s v="Travel_Frequently"/>
    <n v="593"/>
    <x v="1"/>
    <n v="9"/>
    <n v="4"/>
    <s v="Medical"/>
    <n v="1166"/>
    <n v="2"/>
    <x v="0"/>
    <n v="88"/>
    <n v="3"/>
    <n v="3"/>
    <x v="7"/>
    <n v="3"/>
    <x v="0"/>
    <n v="13499"/>
    <n v="9"/>
    <x v="1"/>
    <n v="17"/>
    <n v="3"/>
    <n v="3"/>
    <n v="0"/>
    <n v="20"/>
    <n v="3"/>
    <n v="2"/>
    <n v="18"/>
    <n v="7"/>
    <n v="2"/>
    <n v="13"/>
    <x v="1"/>
    <x v="1"/>
    <x v="2"/>
    <x v="0"/>
    <x v="0"/>
    <x v="2"/>
    <x v="2"/>
    <x v="3"/>
    <s v="No Options"/>
    <x v="2"/>
    <x v="0"/>
    <x v="3"/>
    <x v="4"/>
  </r>
  <r>
    <n v="42"/>
    <x v="0"/>
    <s v="Travel_Frequently"/>
    <n v="481"/>
    <x v="0"/>
    <n v="12"/>
    <n v="3"/>
    <s v="Life Sciences"/>
    <n v="1167"/>
    <n v="3"/>
    <x v="1"/>
    <n v="44"/>
    <n v="3"/>
    <n v="4"/>
    <x v="0"/>
    <n v="1"/>
    <x v="0"/>
    <n v="13758"/>
    <n v="0"/>
    <x v="0"/>
    <n v="12"/>
    <n v="3"/>
    <n v="2"/>
    <n v="0"/>
    <n v="22"/>
    <n v="2"/>
    <n v="2"/>
    <n v="21"/>
    <n v="9"/>
    <n v="13"/>
    <n v="14"/>
    <x v="0"/>
    <x v="0"/>
    <x v="3"/>
    <x v="1"/>
    <x v="0"/>
    <x v="3"/>
    <x v="3"/>
    <x v="2"/>
    <s v="No Options"/>
    <x v="2"/>
    <x v="0"/>
    <x v="3"/>
    <x v="3"/>
  </r>
  <r>
    <n v="42"/>
    <x v="1"/>
    <s v="Travel_Rarely"/>
    <n v="647"/>
    <x v="0"/>
    <n v="4"/>
    <n v="4"/>
    <s v="Marketing"/>
    <n v="1171"/>
    <n v="2"/>
    <x v="1"/>
    <n v="45"/>
    <n v="3"/>
    <n v="2"/>
    <x v="0"/>
    <n v="1"/>
    <x v="0"/>
    <n v="5155"/>
    <n v="7"/>
    <x v="1"/>
    <n v="13"/>
    <n v="3"/>
    <n v="4"/>
    <n v="0"/>
    <n v="9"/>
    <n v="3"/>
    <n v="4"/>
    <n v="6"/>
    <n v="4"/>
    <n v="1"/>
    <n v="5"/>
    <x v="1"/>
    <x v="1"/>
    <x v="2"/>
    <x v="0"/>
    <x v="0"/>
    <x v="0"/>
    <x v="3"/>
    <x v="1"/>
    <s v="No Options"/>
    <x v="3"/>
    <x v="0"/>
    <x v="0"/>
    <x v="0"/>
  </r>
  <r>
    <n v="35"/>
    <x v="1"/>
    <s v="Travel_Rarely"/>
    <n v="982"/>
    <x v="1"/>
    <n v="1"/>
    <n v="4"/>
    <s v="Medical"/>
    <n v="1172"/>
    <n v="4"/>
    <x v="1"/>
    <n v="58"/>
    <n v="2"/>
    <n v="1"/>
    <x v="2"/>
    <n v="3"/>
    <x v="1"/>
    <n v="2258"/>
    <n v="6"/>
    <x v="1"/>
    <n v="12"/>
    <n v="3"/>
    <n v="2"/>
    <n v="1"/>
    <n v="10"/>
    <n v="2"/>
    <n v="3"/>
    <n v="8"/>
    <n v="0"/>
    <n v="1"/>
    <n v="7"/>
    <x v="1"/>
    <x v="1"/>
    <x v="2"/>
    <x v="2"/>
    <x v="1"/>
    <x v="1"/>
    <x v="2"/>
    <x v="2"/>
    <s v="Low"/>
    <x v="1"/>
    <x v="0"/>
    <x v="1"/>
    <x v="0"/>
  </r>
  <r>
    <n v="24"/>
    <x v="1"/>
    <s v="Travel_Rarely"/>
    <n v="477"/>
    <x v="1"/>
    <n v="24"/>
    <n v="3"/>
    <s v="Medical"/>
    <n v="1173"/>
    <n v="4"/>
    <x v="1"/>
    <n v="49"/>
    <n v="3"/>
    <n v="1"/>
    <x v="2"/>
    <n v="2"/>
    <x v="0"/>
    <n v="3597"/>
    <n v="8"/>
    <x v="1"/>
    <n v="22"/>
    <n v="4"/>
    <n v="4"/>
    <n v="0"/>
    <n v="6"/>
    <n v="2"/>
    <n v="3"/>
    <n v="4"/>
    <n v="3"/>
    <n v="1"/>
    <n v="2"/>
    <x v="1"/>
    <x v="1"/>
    <x v="3"/>
    <x v="2"/>
    <x v="0"/>
    <x v="1"/>
    <x v="1"/>
    <x v="1"/>
    <s v="No Options"/>
    <x v="1"/>
    <x v="4"/>
    <x v="0"/>
    <x v="2"/>
  </r>
  <r>
    <n v="28"/>
    <x v="0"/>
    <s v="Travel_Rarely"/>
    <n v="1485"/>
    <x v="1"/>
    <n v="12"/>
    <n v="1"/>
    <s v="Life Sciences"/>
    <n v="1175"/>
    <n v="3"/>
    <x v="0"/>
    <n v="79"/>
    <n v="3"/>
    <n v="1"/>
    <x v="2"/>
    <n v="4"/>
    <x v="1"/>
    <n v="2515"/>
    <n v="1"/>
    <x v="0"/>
    <n v="11"/>
    <n v="3"/>
    <n v="4"/>
    <n v="0"/>
    <n v="1"/>
    <n v="4"/>
    <n v="2"/>
    <n v="1"/>
    <n v="1"/>
    <n v="0"/>
    <n v="0"/>
    <x v="0"/>
    <x v="0"/>
    <x v="1"/>
    <x v="1"/>
    <x v="0"/>
    <x v="1"/>
    <x v="0"/>
    <x v="1"/>
    <s v="No Options"/>
    <x v="2"/>
    <x v="2"/>
    <x v="1"/>
    <x v="1"/>
  </r>
  <r>
    <n v="26"/>
    <x v="1"/>
    <s v="Travel_Rarely"/>
    <n v="1384"/>
    <x v="1"/>
    <n v="3"/>
    <n v="4"/>
    <s v="Medical"/>
    <n v="1177"/>
    <n v="1"/>
    <x v="1"/>
    <n v="82"/>
    <n v="4"/>
    <n v="1"/>
    <x v="2"/>
    <n v="4"/>
    <x v="1"/>
    <n v="4420"/>
    <n v="1"/>
    <x v="1"/>
    <n v="22"/>
    <n v="4"/>
    <n v="2"/>
    <n v="1"/>
    <n v="8"/>
    <n v="2"/>
    <n v="3"/>
    <n v="8"/>
    <n v="7"/>
    <n v="0"/>
    <n v="7"/>
    <x v="1"/>
    <x v="1"/>
    <x v="2"/>
    <x v="3"/>
    <x v="2"/>
    <x v="1"/>
    <x v="0"/>
    <x v="2"/>
    <s v="Low"/>
    <x v="1"/>
    <x v="2"/>
    <x v="0"/>
    <x v="0"/>
  </r>
  <r>
    <n v="30"/>
    <x v="1"/>
    <s v="Travel_Rarely"/>
    <n v="852"/>
    <x v="0"/>
    <n v="10"/>
    <n v="3"/>
    <s v="Marketing"/>
    <n v="1179"/>
    <n v="3"/>
    <x v="1"/>
    <n v="72"/>
    <n v="2"/>
    <n v="2"/>
    <x v="0"/>
    <n v="3"/>
    <x v="1"/>
    <n v="6578"/>
    <n v="1"/>
    <x v="1"/>
    <n v="18"/>
    <n v="3"/>
    <n v="1"/>
    <n v="1"/>
    <n v="10"/>
    <n v="3"/>
    <n v="3"/>
    <n v="10"/>
    <n v="3"/>
    <n v="1"/>
    <n v="4"/>
    <x v="1"/>
    <x v="1"/>
    <x v="3"/>
    <x v="1"/>
    <x v="1"/>
    <x v="0"/>
    <x v="2"/>
    <x v="0"/>
    <s v="Low"/>
    <x v="1"/>
    <x v="2"/>
    <x v="0"/>
    <x v="0"/>
  </r>
  <r>
    <n v="40"/>
    <x v="1"/>
    <s v="Travel_Frequently"/>
    <n v="902"/>
    <x v="1"/>
    <n v="26"/>
    <n v="2"/>
    <s v="Medical"/>
    <n v="1180"/>
    <n v="3"/>
    <x v="0"/>
    <n v="92"/>
    <n v="2"/>
    <n v="2"/>
    <x v="1"/>
    <n v="4"/>
    <x v="1"/>
    <n v="4422"/>
    <n v="3"/>
    <x v="0"/>
    <n v="13"/>
    <n v="3"/>
    <n v="4"/>
    <n v="1"/>
    <n v="16"/>
    <n v="3"/>
    <n v="1"/>
    <n v="1"/>
    <n v="1"/>
    <n v="0"/>
    <n v="0"/>
    <x v="1"/>
    <x v="0"/>
    <x v="0"/>
    <x v="1"/>
    <x v="1"/>
    <x v="0"/>
    <x v="0"/>
    <x v="1"/>
    <s v="Low"/>
    <x v="0"/>
    <x v="0"/>
    <x v="0"/>
    <x v="1"/>
  </r>
  <r>
    <n v="35"/>
    <x v="1"/>
    <s v="Travel_Rarely"/>
    <n v="819"/>
    <x v="1"/>
    <n v="2"/>
    <n v="3"/>
    <s v="Life Sciences"/>
    <n v="1182"/>
    <n v="3"/>
    <x v="1"/>
    <n v="44"/>
    <n v="2"/>
    <n v="3"/>
    <x v="3"/>
    <n v="2"/>
    <x v="2"/>
    <n v="10274"/>
    <n v="2"/>
    <x v="1"/>
    <n v="18"/>
    <n v="3"/>
    <n v="2"/>
    <n v="1"/>
    <n v="15"/>
    <n v="2"/>
    <n v="4"/>
    <n v="7"/>
    <n v="7"/>
    <n v="6"/>
    <n v="4"/>
    <x v="1"/>
    <x v="1"/>
    <x v="3"/>
    <x v="1"/>
    <x v="1"/>
    <x v="2"/>
    <x v="1"/>
    <x v="2"/>
    <s v="Low"/>
    <x v="3"/>
    <x v="0"/>
    <x v="2"/>
    <x v="0"/>
  </r>
  <r>
    <n v="34"/>
    <x v="1"/>
    <s v="Travel_Frequently"/>
    <n v="669"/>
    <x v="1"/>
    <n v="1"/>
    <n v="3"/>
    <s v="Medical"/>
    <n v="1184"/>
    <n v="4"/>
    <x v="1"/>
    <n v="97"/>
    <n v="2"/>
    <n v="2"/>
    <x v="4"/>
    <n v="1"/>
    <x v="0"/>
    <n v="5343"/>
    <n v="0"/>
    <x v="1"/>
    <n v="20"/>
    <n v="4"/>
    <n v="3"/>
    <n v="0"/>
    <n v="14"/>
    <n v="3"/>
    <n v="3"/>
    <n v="13"/>
    <n v="9"/>
    <n v="4"/>
    <n v="9"/>
    <x v="1"/>
    <x v="1"/>
    <x v="3"/>
    <x v="2"/>
    <x v="1"/>
    <x v="0"/>
    <x v="3"/>
    <x v="3"/>
    <s v="No Options"/>
    <x v="1"/>
    <x v="2"/>
    <x v="0"/>
    <x v="4"/>
  </r>
  <r>
    <n v="35"/>
    <x v="1"/>
    <s v="Travel_Frequently"/>
    <n v="636"/>
    <x v="1"/>
    <n v="4"/>
    <n v="4"/>
    <s v="Other"/>
    <n v="1185"/>
    <n v="4"/>
    <x v="1"/>
    <n v="47"/>
    <n v="2"/>
    <n v="1"/>
    <x v="2"/>
    <n v="4"/>
    <x v="1"/>
    <n v="2376"/>
    <n v="1"/>
    <x v="1"/>
    <n v="13"/>
    <n v="3"/>
    <n v="2"/>
    <n v="1"/>
    <n v="2"/>
    <n v="2"/>
    <n v="4"/>
    <n v="2"/>
    <n v="2"/>
    <n v="2"/>
    <n v="2"/>
    <x v="1"/>
    <x v="1"/>
    <x v="2"/>
    <x v="2"/>
    <x v="1"/>
    <x v="1"/>
    <x v="0"/>
    <x v="2"/>
    <s v="Low"/>
    <x v="3"/>
    <x v="0"/>
    <x v="1"/>
    <x v="1"/>
  </r>
  <r>
    <n v="43"/>
    <x v="0"/>
    <s v="Travel_Rarely"/>
    <n v="1372"/>
    <x v="0"/>
    <n v="9"/>
    <n v="3"/>
    <s v="Marketing"/>
    <n v="1188"/>
    <n v="1"/>
    <x v="0"/>
    <n v="85"/>
    <n v="1"/>
    <n v="2"/>
    <x v="0"/>
    <n v="3"/>
    <x v="0"/>
    <n v="5346"/>
    <n v="8"/>
    <x v="1"/>
    <n v="13"/>
    <n v="3"/>
    <n v="2"/>
    <n v="0"/>
    <n v="7"/>
    <n v="2"/>
    <n v="2"/>
    <n v="4"/>
    <n v="3"/>
    <n v="1"/>
    <n v="3"/>
    <x v="0"/>
    <x v="1"/>
    <x v="3"/>
    <x v="3"/>
    <x v="3"/>
    <x v="0"/>
    <x v="2"/>
    <x v="2"/>
    <s v="No Options"/>
    <x v="2"/>
    <x v="0"/>
    <x v="0"/>
    <x v="2"/>
  </r>
  <r>
    <n v="32"/>
    <x v="1"/>
    <s v="Non-Travel"/>
    <n v="862"/>
    <x v="0"/>
    <n v="2"/>
    <n v="1"/>
    <s v="Life Sciences"/>
    <n v="1190"/>
    <n v="3"/>
    <x v="0"/>
    <n v="76"/>
    <n v="3"/>
    <n v="1"/>
    <x v="6"/>
    <n v="1"/>
    <x v="2"/>
    <n v="2827"/>
    <n v="1"/>
    <x v="1"/>
    <n v="12"/>
    <n v="3"/>
    <n v="3"/>
    <n v="3"/>
    <n v="1"/>
    <n v="3"/>
    <n v="3"/>
    <n v="1"/>
    <n v="0"/>
    <n v="0"/>
    <n v="0"/>
    <x v="1"/>
    <x v="1"/>
    <x v="1"/>
    <x v="1"/>
    <x v="0"/>
    <x v="1"/>
    <x v="3"/>
    <x v="3"/>
    <s v="High"/>
    <x v="1"/>
    <x v="2"/>
    <x v="1"/>
    <x v="1"/>
  </r>
  <r>
    <n v="56"/>
    <x v="1"/>
    <s v="Travel_Rarely"/>
    <n v="718"/>
    <x v="1"/>
    <n v="4"/>
    <n v="4"/>
    <s v="Technical Degree"/>
    <n v="1191"/>
    <n v="4"/>
    <x v="0"/>
    <n v="92"/>
    <n v="3"/>
    <n v="5"/>
    <x v="5"/>
    <n v="1"/>
    <x v="2"/>
    <n v="19943"/>
    <n v="4"/>
    <x v="1"/>
    <n v="13"/>
    <n v="3"/>
    <n v="4"/>
    <n v="1"/>
    <n v="28"/>
    <n v="2"/>
    <n v="3"/>
    <n v="5"/>
    <n v="2"/>
    <n v="4"/>
    <n v="2"/>
    <x v="1"/>
    <x v="1"/>
    <x v="2"/>
    <x v="2"/>
    <x v="0"/>
    <x v="4"/>
    <x v="3"/>
    <x v="1"/>
    <s v="Low"/>
    <x v="1"/>
    <x v="3"/>
    <x v="3"/>
    <x v="2"/>
  </r>
  <r>
    <n v="29"/>
    <x v="1"/>
    <s v="Travel_Rarely"/>
    <n v="1401"/>
    <x v="1"/>
    <n v="6"/>
    <n v="1"/>
    <s v="Medical"/>
    <n v="1192"/>
    <n v="2"/>
    <x v="0"/>
    <n v="54"/>
    <n v="3"/>
    <n v="1"/>
    <x v="2"/>
    <n v="4"/>
    <x v="1"/>
    <n v="3131"/>
    <n v="1"/>
    <x v="1"/>
    <n v="13"/>
    <n v="3"/>
    <n v="1"/>
    <n v="1"/>
    <n v="10"/>
    <n v="5"/>
    <n v="3"/>
    <n v="10"/>
    <n v="8"/>
    <n v="0"/>
    <n v="8"/>
    <x v="1"/>
    <x v="1"/>
    <x v="1"/>
    <x v="0"/>
    <x v="0"/>
    <x v="1"/>
    <x v="0"/>
    <x v="0"/>
    <s v="Low"/>
    <x v="1"/>
    <x v="2"/>
    <x v="0"/>
    <x v="0"/>
  </r>
  <r>
    <n v="19"/>
    <x v="1"/>
    <s v="Travel_Rarely"/>
    <n v="645"/>
    <x v="1"/>
    <n v="9"/>
    <n v="2"/>
    <s v="Life Sciences"/>
    <n v="1193"/>
    <n v="3"/>
    <x v="1"/>
    <n v="54"/>
    <n v="3"/>
    <n v="1"/>
    <x v="1"/>
    <n v="1"/>
    <x v="0"/>
    <n v="2552"/>
    <n v="1"/>
    <x v="1"/>
    <n v="25"/>
    <n v="4"/>
    <n v="3"/>
    <n v="0"/>
    <n v="1"/>
    <n v="4"/>
    <n v="3"/>
    <n v="1"/>
    <n v="1"/>
    <n v="0"/>
    <n v="0"/>
    <x v="1"/>
    <x v="1"/>
    <x v="0"/>
    <x v="1"/>
    <x v="0"/>
    <x v="1"/>
    <x v="3"/>
    <x v="3"/>
    <s v="No Options"/>
    <x v="1"/>
    <x v="4"/>
    <x v="1"/>
    <x v="1"/>
  </r>
  <r>
    <n v="45"/>
    <x v="1"/>
    <s v="Travel_Rarely"/>
    <n v="1457"/>
    <x v="1"/>
    <n v="7"/>
    <n v="3"/>
    <s v="Medical"/>
    <n v="1195"/>
    <n v="1"/>
    <x v="0"/>
    <n v="83"/>
    <n v="3"/>
    <n v="1"/>
    <x v="1"/>
    <n v="3"/>
    <x v="1"/>
    <n v="4477"/>
    <n v="4"/>
    <x v="0"/>
    <n v="19"/>
    <n v="3"/>
    <n v="3"/>
    <n v="1"/>
    <n v="7"/>
    <n v="2"/>
    <n v="2"/>
    <n v="3"/>
    <n v="2"/>
    <n v="0"/>
    <n v="2"/>
    <x v="1"/>
    <x v="0"/>
    <x v="3"/>
    <x v="3"/>
    <x v="0"/>
    <x v="1"/>
    <x v="2"/>
    <x v="3"/>
    <s v="Low"/>
    <x v="2"/>
    <x v="1"/>
    <x v="0"/>
    <x v="2"/>
  </r>
  <r>
    <n v="37"/>
    <x v="1"/>
    <s v="Travel_Rarely"/>
    <n v="977"/>
    <x v="1"/>
    <n v="1"/>
    <n v="3"/>
    <s v="Life Sciences"/>
    <n v="1196"/>
    <n v="4"/>
    <x v="0"/>
    <n v="56"/>
    <n v="2"/>
    <n v="2"/>
    <x v="3"/>
    <n v="4"/>
    <x v="1"/>
    <n v="6474"/>
    <n v="1"/>
    <x v="1"/>
    <n v="13"/>
    <n v="3"/>
    <n v="2"/>
    <n v="1"/>
    <n v="14"/>
    <n v="2"/>
    <n v="2"/>
    <n v="14"/>
    <n v="8"/>
    <n v="3"/>
    <n v="11"/>
    <x v="1"/>
    <x v="1"/>
    <x v="3"/>
    <x v="2"/>
    <x v="1"/>
    <x v="0"/>
    <x v="0"/>
    <x v="2"/>
    <s v="Low"/>
    <x v="2"/>
    <x v="0"/>
    <x v="0"/>
    <x v="4"/>
  </r>
  <r>
    <n v="20"/>
    <x v="1"/>
    <s v="Travel_Rarely"/>
    <n v="805"/>
    <x v="1"/>
    <n v="3"/>
    <n v="3"/>
    <s v="Life Sciences"/>
    <n v="1198"/>
    <n v="1"/>
    <x v="1"/>
    <n v="87"/>
    <n v="2"/>
    <n v="1"/>
    <x v="2"/>
    <n v="3"/>
    <x v="0"/>
    <n v="3033"/>
    <n v="1"/>
    <x v="1"/>
    <n v="12"/>
    <n v="3"/>
    <n v="1"/>
    <n v="0"/>
    <n v="2"/>
    <n v="2"/>
    <n v="2"/>
    <n v="2"/>
    <n v="2"/>
    <n v="1"/>
    <n v="2"/>
    <x v="1"/>
    <x v="1"/>
    <x v="3"/>
    <x v="3"/>
    <x v="1"/>
    <x v="1"/>
    <x v="2"/>
    <x v="0"/>
    <s v="No Options"/>
    <x v="2"/>
    <x v="4"/>
    <x v="0"/>
    <x v="1"/>
  </r>
  <r>
    <n v="44"/>
    <x v="0"/>
    <s v="Travel_Rarely"/>
    <n v="1097"/>
    <x v="1"/>
    <n v="10"/>
    <n v="4"/>
    <s v="Life Sciences"/>
    <n v="1200"/>
    <n v="3"/>
    <x v="1"/>
    <n v="96"/>
    <n v="3"/>
    <n v="1"/>
    <x v="1"/>
    <n v="3"/>
    <x v="0"/>
    <n v="2936"/>
    <n v="1"/>
    <x v="0"/>
    <n v="11"/>
    <n v="3"/>
    <n v="3"/>
    <n v="0"/>
    <n v="6"/>
    <n v="4"/>
    <n v="3"/>
    <n v="6"/>
    <n v="4"/>
    <n v="0"/>
    <n v="2"/>
    <x v="0"/>
    <x v="0"/>
    <x v="2"/>
    <x v="1"/>
    <x v="0"/>
    <x v="1"/>
    <x v="2"/>
    <x v="3"/>
    <s v="No Options"/>
    <x v="1"/>
    <x v="0"/>
    <x v="1"/>
    <x v="0"/>
  </r>
  <r>
    <n v="53"/>
    <x v="1"/>
    <s v="Travel_Rarely"/>
    <n v="1223"/>
    <x v="1"/>
    <n v="7"/>
    <n v="2"/>
    <s v="Medical"/>
    <n v="1201"/>
    <n v="4"/>
    <x v="0"/>
    <n v="50"/>
    <n v="3"/>
    <n v="5"/>
    <x v="5"/>
    <n v="3"/>
    <x v="2"/>
    <n v="18606"/>
    <n v="3"/>
    <x v="1"/>
    <n v="18"/>
    <n v="3"/>
    <n v="2"/>
    <n v="1"/>
    <n v="26"/>
    <n v="6"/>
    <n v="3"/>
    <n v="7"/>
    <n v="7"/>
    <n v="4"/>
    <n v="7"/>
    <x v="1"/>
    <x v="1"/>
    <x v="0"/>
    <x v="2"/>
    <x v="0"/>
    <x v="4"/>
    <x v="2"/>
    <x v="2"/>
    <s v="Low"/>
    <x v="1"/>
    <x v="1"/>
    <x v="3"/>
    <x v="0"/>
  </r>
  <r>
    <n v="29"/>
    <x v="1"/>
    <s v="Travel_Rarely"/>
    <n v="942"/>
    <x v="1"/>
    <n v="15"/>
    <n v="1"/>
    <s v="Life Sciences"/>
    <n v="1202"/>
    <n v="2"/>
    <x v="0"/>
    <n v="69"/>
    <n v="1"/>
    <n v="1"/>
    <x v="1"/>
    <n v="4"/>
    <x v="1"/>
    <n v="2168"/>
    <n v="0"/>
    <x v="0"/>
    <n v="18"/>
    <n v="3"/>
    <n v="1"/>
    <n v="1"/>
    <n v="6"/>
    <n v="2"/>
    <n v="2"/>
    <n v="5"/>
    <n v="4"/>
    <n v="1"/>
    <n v="3"/>
    <x v="1"/>
    <x v="0"/>
    <x v="1"/>
    <x v="0"/>
    <x v="3"/>
    <x v="1"/>
    <x v="0"/>
    <x v="0"/>
    <s v="Low"/>
    <x v="2"/>
    <x v="2"/>
    <x v="1"/>
    <x v="2"/>
  </r>
  <r>
    <n v="22"/>
    <x v="0"/>
    <s v="Travel_Frequently"/>
    <n v="1256"/>
    <x v="1"/>
    <n v="3"/>
    <n v="4"/>
    <s v="Life Sciences"/>
    <n v="1203"/>
    <n v="3"/>
    <x v="1"/>
    <n v="48"/>
    <n v="2"/>
    <n v="1"/>
    <x v="1"/>
    <n v="4"/>
    <x v="1"/>
    <n v="2853"/>
    <n v="0"/>
    <x v="0"/>
    <n v="11"/>
    <n v="3"/>
    <n v="2"/>
    <n v="1"/>
    <n v="1"/>
    <n v="5"/>
    <n v="3"/>
    <n v="0"/>
    <n v="0"/>
    <n v="0"/>
    <n v="0"/>
    <x v="0"/>
    <x v="0"/>
    <x v="2"/>
    <x v="1"/>
    <x v="1"/>
    <x v="1"/>
    <x v="0"/>
    <x v="2"/>
    <s v="Low"/>
    <x v="1"/>
    <x v="4"/>
    <x v="1"/>
    <x v="1"/>
  </r>
  <r>
    <n v="46"/>
    <x v="1"/>
    <s v="Travel_Rarely"/>
    <n v="1402"/>
    <x v="0"/>
    <n v="2"/>
    <n v="3"/>
    <s v="Marketing"/>
    <n v="1204"/>
    <n v="3"/>
    <x v="0"/>
    <n v="69"/>
    <n v="3"/>
    <n v="4"/>
    <x v="5"/>
    <n v="1"/>
    <x v="1"/>
    <n v="17048"/>
    <n v="8"/>
    <x v="1"/>
    <n v="23"/>
    <n v="4"/>
    <n v="1"/>
    <n v="0"/>
    <n v="28"/>
    <n v="2"/>
    <n v="3"/>
    <n v="26"/>
    <n v="15"/>
    <n v="15"/>
    <n v="9"/>
    <x v="1"/>
    <x v="1"/>
    <x v="3"/>
    <x v="1"/>
    <x v="0"/>
    <x v="3"/>
    <x v="3"/>
    <x v="0"/>
    <s v="No Options"/>
    <x v="1"/>
    <x v="1"/>
    <x v="3"/>
    <x v="3"/>
  </r>
  <r>
    <n v="44"/>
    <x v="1"/>
    <s v="Non-Travel"/>
    <n v="111"/>
    <x v="1"/>
    <n v="17"/>
    <n v="3"/>
    <s v="Life Sciences"/>
    <n v="1206"/>
    <n v="4"/>
    <x v="1"/>
    <n v="74"/>
    <n v="1"/>
    <n v="1"/>
    <x v="1"/>
    <n v="3"/>
    <x v="0"/>
    <n v="2290"/>
    <n v="2"/>
    <x v="1"/>
    <n v="13"/>
    <n v="3"/>
    <n v="4"/>
    <n v="0"/>
    <n v="6"/>
    <n v="3"/>
    <n v="3"/>
    <n v="0"/>
    <n v="0"/>
    <n v="0"/>
    <n v="0"/>
    <x v="1"/>
    <x v="1"/>
    <x v="3"/>
    <x v="2"/>
    <x v="3"/>
    <x v="1"/>
    <x v="2"/>
    <x v="1"/>
    <s v="No Options"/>
    <x v="1"/>
    <x v="0"/>
    <x v="1"/>
    <x v="1"/>
  </r>
  <r>
    <n v="33"/>
    <x v="1"/>
    <s v="Travel_Rarely"/>
    <n v="147"/>
    <x v="2"/>
    <n v="2"/>
    <n v="3"/>
    <s v="Human Resources"/>
    <n v="1207"/>
    <n v="2"/>
    <x v="1"/>
    <n v="99"/>
    <n v="3"/>
    <n v="1"/>
    <x v="8"/>
    <n v="3"/>
    <x v="1"/>
    <n v="3600"/>
    <n v="1"/>
    <x v="1"/>
    <n v="13"/>
    <n v="3"/>
    <n v="4"/>
    <n v="1"/>
    <n v="5"/>
    <n v="2"/>
    <n v="3"/>
    <n v="5"/>
    <n v="4"/>
    <n v="1"/>
    <n v="4"/>
    <x v="1"/>
    <x v="1"/>
    <x v="3"/>
    <x v="0"/>
    <x v="0"/>
    <x v="1"/>
    <x v="2"/>
    <x v="1"/>
    <s v="Low"/>
    <x v="1"/>
    <x v="2"/>
    <x v="0"/>
    <x v="2"/>
  </r>
  <r>
    <n v="41"/>
    <x v="0"/>
    <s v="Non-Travel"/>
    <n v="906"/>
    <x v="1"/>
    <n v="5"/>
    <n v="2"/>
    <s v="Life Sciences"/>
    <n v="1210"/>
    <n v="1"/>
    <x v="1"/>
    <n v="95"/>
    <n v="2"/>
    <n v="1"/>
    <x v="1"/>
    <n v="1"/>
    <x v="2"/>
    <n v="2107"/>
    <n v="6"/>
    <x v="1"/>
    <n v="17"/>
    <n v="3"/>
    <n v="1"/>
    <n v="1"/>
    <n v="5"/>
    <n v="2"/>
    <n v="1"/>
    <n v="1"/>
    <n v="0"/>
    <n v="0"/>
    <n v="0"/>
    <x v="0"/>
    <x v="1"/>
    <x v="0"/>
    <x v="3"/>
    <x v="1"/>
    <x v="1"/>
    <x v="3"/>
    <x v="0"/>
    <s v="Low"/>
    <x v="0"/>
    <x v="0"/>
    <x v="1"/>
    <x v="1"/>
  </r>
  <r>
    <n v="30"/>
    <x v="1"/>
    <s v="Travel_Rarely"/>
    <n v="1329"/>
    <x v="0"/>
    <n v="29"/>
    <n v="4"/>
    <s v="Life Sciences"/>
    <n v="1211"/>
    <n v="3"/>
    <x v="1"/>
    <n v="61"/>
    <n v="3"/>
    <n v="2"/>
    <x v="0"/>
    <n v="1"/>
    <x v="2"/>
    <n v="4115"/>
    <n v="8"/>
    <x v="1"/>
    <n v="19"/>
    <n v="3"/>
    <n v="3"/>
    <n v="3"/>
    <n v="8"/>
    <n v="3"/>
    <n v="3"/>
    <n v="4"/>
    <n v="3"/>
    <n v="0"/>
    <n v="3"/>
    <x v="1"/>
    <x v="1"/>
    <x v="2"/>
    <x v="1"/>
    <x v="0"/>
    <x v="0"/>
    <x v="3"/>
    <x v="3"/>
    <s v="High"/>
    <x v="1"/>
    <x v="2"/>
    <x v="0"/>
    <x v="2"/>
  </r>
  <r>
    <n v="40"/>
    <x v="1"/>
    <s v="Travel_Frequently"/>
    <n v="1184"/>
    <x v="0"/>
    <n v="2"/>
    <n v="4"/>
    <s v="Medical"/>
    <n v="1212"/>
    <n v="2"/>
    <x v="1"/>
    <n v="62"/>
    <n v="3"/>
    <n v="2"/>
    <x v="0"/>
    <n v="2"/>
    <x v="1"/>
    <n v="4327"/>
    <n v="5"/>
    <x v="1"/>
    <n v="12"/>
    <n v="3"/>
    <n v="4"/>
    <n v="3"/>
    <n v="5"/>
    <n v="2"/>
    <n v="3"/>
    <n v="0"/>
    <n v="0"/>
    <n v="0"/>
    <n v="0"/>
    <x v="1"/>
    <x v="1"/>
    <x v="2"/>
    <x v="0"/>
    <x v="0"/>
    <x v="0"/>
    <x v="1"/>
    <x v="1"/>
    <s v="High"/>
    <x v="1"/>
    <x v="0"/>
    <x v="0"/>
    <x v="1"/>
  </r>
  <r>
    <n v="50"/>
    <x v="1"/>
    <s v="Travel_Frequently"/>
    <n v="1421"/>
    <x v="1"/>
    <n v="2"/>
    <n v="3"/>
    <s v="Medical"/>
    <n v="1215"/>
    <n v="4"/>
    <x v="0"/>
    <n v="30"/>
    <n v="3"/>
    <n v="4"/>
    <x v="5"/>
    <n v="1"/>
    <x v="1"/>
    <n v="17856"/>
    <n v="2"/>
    <x v="1"/>
    <n v="22"/>
    <n v="4"/>
    <n v="3"/>
    <n v="1"/>
    <n v="32"/>
    <n v="3"/>
    <n v="3"/>
    <n v="2"/>
    <n v="2"/>
    <n v="2"/>
    <n v="2"/>
    <x v="1"/>
    <x v="1"/>
    <x v="3"/>
    <x v="2"/>
    <x v="0"/>
    <x v="3"/>
    <x v="3"/>
    <x v="3"/>
    <s v="Low"/>
    <x v="1"/>
    <x v="1"/>
    <x v="3"/>
    <x v="1"/>
  </r>
  <r>
    <n v="28"/>
    <x v="1"/>
    <s v="Travel_Rarely"/>
    <n v="1179"/>
    <x v="1"/>
    <n v="19"/>
    <n v="4"/>
    <s v="Medical"/>
    <n v="1216"/>
    <n v="4"/>
    <x v="1"/>
    <n v="78"/>
    <n v="2"/>
    <n v="1"/>
    <x v="2"/>
    <n v="1"/>
    <x v="1"/>
    <n v="3196"/>
    <n v="1"/>
    <x v="1"/>
    <n v="12"/>
    <n v="3"/>
    <n v="3"/>
    <n v="3"/>
    <n v="6"/>
    <n v="2"/>
    <n v="3"/>
    <n v="6"/>
    <n v="5"/>
    <n v="3"/>
    <n v="3"/>
    <x v="1"/>
    <x v="1"/>
    <x v="2"/>
    <x v="2"/>
    <x v="1"/>
    <x v="1"/>
    <x v="3"/>
    <x v="3"/>
    <s v="High"/>
    <x v="1"/>
    <x v="2"/>
    <x v="0"/>
    <x v="0"/>
  </r>
  <r>
    <n v="46"/>
    <x v="1"/>
    <s v="Travel_Rarely"/>
    <n v="1450"/>
    <x v="1"/>
    <n v="15"/>
    <n v="2"/>
    <s v="Life Sciences"/>
    <n v="1217"/>
    <n v="4"/>
    <x v="1"/>
    <n v="52"/>
    <n v="3"/>
    <n v="5"/>
    <x v="7"/>
    <n v="2"/>
    <x v="1"/>
    <n v="19081"/>
    <n v="5"/>
    <x v="1"/>
    <n v="11"/>
    <n v="3"/>
    <n v="1"/>
    <n v="1"/>
    <n v="25"/>
    <n v="2"/>
    <n v="3"/>
    <n v="4"/>
    <n v="2"/>
    <n v="0"/>
    <n v="3"/>
    <x v="1"/>
    <x v="1"/>
    <x v="0"/>
    <x v="2"/>
    <x v="0"/>
    <x v="4"/>
    <x v="1"/>
    <x v="0"/>
    <s v="Low"/>
    <x v="1"/>
    <x v="1"/>
    <x v="3"/>
    <x v="2"/>
  </r>
  <r>
    <n v="35"/>
    <x v="1"/>
    <s v="Travel_Rarely"/>
    <n v="1361"/>
    <x v="0"/>
    <n v="17"/>
    <n v="4"/>
    <s v="Life Sciences"/>
    <n v="1218"/>
    <n v="3"/>
    <x v="1"/>
    <n v="94"/>
    <n v="3"/>
    <n v="2"/>
    <x v="0"/>
    <n v="1"/>
    <x v="1"/>
    <n v="8966"/>
    <n v="3"/>
    <x v="0"/>
    <n v="15"/>
    <n v="3"/>
    <n v="4"/>
    <n v="3"/>
    <n v="15"/>
    <n v="2"/>
    <n v="3"/>
    <n v="7"/>
    <n v="7"/>
    <n v="1"/>
    <n v="7"/>
    <x v="1"/>
    <x v="0"/>
    <x v="2"/>
    <x v="1"/>
    <x v="0"/>
    <x v="0"/>
    <x v="3"/>
    <x v="1"/>
    <s v="High"/>
    <x v="1"/>
    <x v="0"/>
    <x v="2"/>
    <x v="0"/>
  </r>
  <r>
    <n v="24"/>
    <x v="0"/>
    <s v="Travel_Rarely"/>
    <n v="984"/>
    <x v="1"/>
    <n v="17"/>
    <n v="2"/>
    <s v="Life Sciences"/>
    <n v="1219"/>
    <n v="4"/>
    <x v="0"/>
    <n v="97"/>
    <n v="3"/>
    <n v="1"/>
    <x v="2"/>
    <n v="2"/>
    <x v="1"/>
    <n v="2210"/>
    <n v="1"/>
    <x v="1"/>
    <n v="13"/>
    <n v="3"/>
    <n v="1"/>
    <n v="1"/>
    <n v="1"/>
    <n v="3"/>
    <n v="1"/>
    <n v="1"/>
    <n v="0"/>
    <n v="0"/>
    <n v="0"/>
    <x v="0"/>
    <x v="1"/>
    <x v="0"/>
    <x v="2"/>
    <x v="0"/>
    <x v="1"/>
    <x v="1"/>
    <x v="0"/>
    <s v="Low"/>
    <x v="0"/>
    <x v="4"/>
    <x v="1"/>
    <x v="1"/>
  </r>
  <r>
    <n v="33"/>
    <x v="1"/>
    <s v="Travel_Frequently"/>
    <n v="1146"/>
    <x v="0"/>
    <n v="25"/>
    <n v="3"/>
    <s v="Medical"/>
    <n v="1220"/>
    <n v="2"/>
    <x v="0"/>
    <n v="82"/>
    <n v="3"/>
    <n v="2"/>
    <x v="0"/>
    <n v="3"/>
    <x v="1"/>
    <n v="4539"/>
    <n v="1"/>
    <x v="1"/>
    <n v="12"/>
    <n v="3"/>
    <n v="1"/>
    <n v="1"/>
    <n v="10"/>
    <n v="3"/>
    <n v="2"/>
    <n v="10"/>
    <n v="7"/>
    <n v="0"/>
    <n v="1"/>
    <x v="1"/>
    <x v="1"/>
    <x v="3"/>
    <x v="0"/>
    <x v="0"/>
    <x v="0"/>
    <x v="2"/>
    <x v="0"/>
    <s v="Low"/>
    <x v="2"/>
    <x v="2"/>
    <x v="0"/>
    <x v="0"/>
  </r>
  <r>
    <n v="36"/>
    <x v="1"/>
    <s v="Travel_Rarely"/>
    <n v="917"/>
    <x v="1"/>
    <n v="6"/>
    <n v="4"/>
    <s v="Life Sciences"/>
    <n v="1221"/>
    <n v="3"/>
    <x v="1"/>
    <n v="60"/>
    <n v="1"/>
    <n v="1"/>
    <x v="2"/>
    <n v="3"/>
    <x v="2"/>
    <n v="2741"/>
    <n v="1"/>
    <x v="1"/>
    <n v="14"/>
    <n v="3"/>
    <n v="3"/>
    <n v="1"/>
    <n v="7"/>
    <n v="4"/>
    <n v="3"/>
    <n v="7"/>
    <n v="7"/>
    <n v="1"/>
    <n v="7"/>
    <x v="1"/>
    <x v="1"/>
    <x v="2"/>
    <x v="1"/>
    <x v="3"/>
    <x v="1"/>
    <x v="2"/>
    <x v="3"/>
    <s v="Low"/>
    <x v="1"/>
    <x v="0"/>
    <x v="1"/>
    <x v="0"/>
  </r>
  <r>
    <n v="30"/>
    <x v="1"/>
    <s v="Travel_Rarely"/>
    <n v="853"/>
    <x v="1"/>
    <n v="7"/>
    <n v="4"/>
    <s v="Life Sciences"/>
    <n v="1224"/>
    <n v="3"/>
    <x v="1"/>
    <n v="49"/>
    <n v="3"/>
    <n v="2"/>
    <x v="2"/>
    <n v="3"/>
    <x v="2"/>
    <n v="3491"/>
    <n v="1"/>
    <x v="1"/>
    <n v="13"/>
    <n v="3"/>
    <n v="1"/>
    <n v="3"/>
    <n v="10"/>
    <n v="4"/>
    <n v="2"/>
    <n v="10"/>
    <n v="7"/>
    <n v="8"/>
    <n v="9"/>
    <x v="1"/>
    <x v="1"/>
    <x v="2"/>
    <x v="1"/>
    <x v="0"/>
    <x v="0"/>
    <x v="2"/>
    <x v="0"/>
    <s v="High"/>
    <x v="2"/>
    <x v="2"/>
    <x v="0"/>
    <x v="0"/>
  </r>
  <r>
    <n v="44"/>
    <x v="1"/>
    <s v="Travel_Rarely"/>
    <n v="200"/>
    <x v="1"/>
    <n v="29"/>
    <n v="4"/>
    <s v="Other"/>
    <n v="1225"/>
    <n v="4"/>
    <x v="1"/>
    <n v="32"/>
    <n v="3"/>
    <n v="2"/>
    <x v="1"/>
    <n v="4"/>
    <x v="0"/>
    <n v="4541"/>
    <n v="1"/>
    <x v="1"/>
    <n v="25"/>
    <n v="4"/>
    <n v="2"/>
    <n v="0"/>
    <n v="20"/>
    <n v="3"/>
    <n v="3"/>
    <n v="20"/>
    <n v="11"/>
    <n v="13"/>
    <n v="17"/>
    <x v="1"/>
    <x v="1"/>
    <x v="2"/>
    <x v="2"/>
    <x v="0"/>
    <x v="0"/>
    <x v="0"/>
    <x v="2"/>
    <s v="No Options"/>
    <x v="1"/>
    <x v="0"/>
    <x v="0"/>
    <x v="4"/>
  </r>
  <r>
    <n v="20"/>
    <x v="1"/>
    <s v="Travel_Rarely"/>
    <n v="654"/>
    <x v="0"/>
    <n v="21"/>
    <n v="3"/>
    <s v="Marketing"/>
    <n v="1226"/>
    <n v="3"/>
    <x v="1"/>
    <n v="43"/>
    <n v="4"/>
    <n v="1"/>
    <x v="6"/>
    <n v="4"/>
    <x v="0"/>
    <n v="2678"/>
    <n v="1"/>
    <x v="1"/>
    <n v="17"/>
    <n v="3"/>
    <n v="4"/>
    <n v="0"/>
    <n v="2"/>
    <n v="2"/>
    <n v="3"/>
    <n v="2"/>
    <n v="1"/>
    <n v="2"/>
    <n v="2"/>
    <x v="1"/>
    <x v="1"/>
    <x v="3"/>
    <x v="1"/>
    <x v="2"/>
    <x v="1"/>
    <x v="0"/>
    <x v="1"/>
    <s v="No Options"/>
    <x v="1"/>
    <x v="4"/>
    <x v="1"/>
    <x v="1"/>
  </r>
  <r>
    <n v="46"/>
    <x v="1"/>
    <s v="Travel_Rarely"/>
    <n v="150"/>
    <x v="1"/>
    <n v="2"/>
    <n v="4"/>
    <s v="Technical Degree"/>
    <n v="1228"/>
    <n v="4"/>
    <x v="1"/>
    <n v="60"/>
    <n v="3"/>
    <n v="2"/>
    <x v="3"/>
    <n v="4"/>
    <x v="2"/>
    <n v="7379"/>
    <n v="2"/>
    <x v="1"/>
    <n v="11"/>
    <n v="3"/>
    <n v="3"/>
    <n v="1"/>
    <n v="12"/>
    <n v="3"/>
    <n v="2"/>
    <n v="6"/>
    <n v="3"/>
    <n v="1"/>
    <n v="4"/>
    <x v="1"/>
    <x v="1"/>
    <x v="2"/>
    <x v="2"/>
    <x v="0"/>
    <x v="0"/>
    <x v="0"/>
    <x v="3"/>
    <s v="Low"/>
    <x v="2"/>
    <x v="1"/>
    <x v="2"/>
    <x v="0"/>
  </r>
  <r>
    <n v="42"/>
    <x v="1"/>
    <s v="Non-Travel"/>
    <n v="179"/>
    <x v="2"/>
    <n v="2"/>
    <n v="5"/>
    <s v="Medical"/>
    <n v="1231"/>
    <n v="4"/>
    <x v="1"/>
    <n v="79"/>
    <n v="4"/>
    <n v="2"/>
    <x v="8"/>
    <n v="1"/>
    <x v="1"/>
    <n v="6272"/>
    <n v="7"/>
    <x v="1"/>
    <n v="16"/>
    <n v="3"/>
    <n v="1"/>
    <n v="1"/>
    <n v="10"/>
    <n v="3"/>
    <n v="4"/>
    <n v="4"/>
    <n v="3"/>
    <n v="0"/>
    <n v="3"/>
    <x v="1"/>
    <x v="1"/>
    <x v="4"/>
    <x v="2"/>
    <x v="2"/>
    <x v="0"/>
    <x v="3"/>
    <x v="0"/>
    <s v="Low"/>
    <x v="3"/>
    <x v="0"/>
    <x v="0"/>
    <x v="2"/>
  </r>
  <r>
    <n v="60"/>
    <x v="1"/>
    <s v="Travel_Rarely"/>
    <n v="696"/>
    <x v="0"/>
    <n v="7"/>
    <n v="4"/>
    <s v="Marketing"/>
    <n v="1233"/>
    <n v="2"/>
    <x v="1"/>
    <n v="52"/>
    <n v="4"/>
    <n v="2"/>
    <x v="0"/>
    <n v="4"/>
    <x v="2"/>
    <n v="5220"/>
    <n v="0"/>
    <x v="0"/>
    <n v="18"/>
    <n v="3"/>
    <n v="2"/>
    <n v="1"/>
    <n v="12"/>
    <n v="3"/>
    <n v="3"/>
    <n v="11"/>
    <n v="7"/>
    <n v="1"/>
    <n v="9"/>
    <x v="1"/>
    <x v="0"/>
    <x v="2"/>
    <x v="0"/>
    <x v="2"/>
    <x v="0"/>
    <x v="0"/>
    <x v="2"/>
    <s v="Low"/>
    <x v="1"/>
    <x v="3"/>
    <x v="0"/>
    <x v="4"/>
  </r>
  <r>
    <n v="32"/>
    <x v="1"/>
    <s v="Travel_Frequently"/>
    <n v="116"/>
    <x v="1"/>
    <n v="13"/>
    <n v="3"/>
    <s v="Other"/>
    <n v="1234"/>
    <n v="3"/>
    <x v="0"/>
    <n v="77"/>
    <n v="2"/>
    <n v="1"/>
    <x v="2"/>
    <n v="2"/>
    <x v="1"/>
    <n v="2743"/>
    <n v="1"/>
    <x v="1"/>
    <n v="20"/>
    <n v="4"/>
    <n v="3"/>
    <n v="1"/>
    <n v="2"/>
    <n v="2"/>
    <n v="3"/>
    <n v="2"/>
    <n v="2"/>
    <n v="2"/>
    <n v="2"/>
    <x v="1"/>
    <x v="1"/>
    <x v="3"/>
    <x v="1"/>
    <x v="1"/>
    <x v="1"/>
    <x v="1"/>
    <x v="3"/>
    <s v="Low"/>
    <x v="1"/>
    <x v="2"/>
    <x v="1"/>
    <x v="1"/>
  </r>
  <r>
    <n v="32"/>
    <x v="1"/>
    <s v="Travel_Frequently"/>
    <n v="1316"/>
    <x v="1"/>
    <n v="2"/>
    <n v="2"/>
    <s v="Life Sciences"/>
    <n v="1235"/>
    <n v="4"/>
    <x v="0"/>
    <n v="38"/>
    <n v="3"/>
    <n v="2"/>
    <x v="1"/>
    <n v="3"/>
    <x v="0"/>
    <n v="4998"/>
    <n v="4"/>
    <x v="0"/>
    <n v="14"/>
    <n v="3"/>
    <n v="4"/>
    <n v="0"/>
    <n v="10"/>
    <n v="2"/>
    <n v="3"/>
    <n v="8"/>
    <n v="7"/>
    <n v="0"/>
    <n v="7"/>
    <x v="1"/>
    <x v="0"/>
    <x v="0"/>
    <x v="2"/>
    <x v="0"/>
    <x v="0"/>
    <x v="2"/>
    <x v="1"/>
    <s v="No Options"/>
    <x v="1"/>
    <x v="2"/>
    <x v="0"/>
    <x v="0"/>
  </r>
  <r>
    <n v="36"/>
    <x v="1"/>
    <s v="Travel_Rarely"/>
    <n v="363"/>
    <x v="1"/>
    <n v="1"/>
    <n v="3"/>
    <s v="Technical Degree"/>
    <n v="1237"/>
    <n v="3"/>
    <x v="0"/>
    <n v="77"/>
    <n v="1"/>
    <n v="3"/>
    <x v="3"/>
    <n v="1"/>
    <x v="2"/>
    <n v="10252"/>
    <n v="2"/>
    <x v="0"/>
    <n v="21"/>
    <n v="4"/>
    <n v="3"/>
    <n v="1"/>
    <n v="17"/>
    <n v="2"/>
    <n v="3"/>
    <n v="7"/>
    <n v="7"/>
    <n v="7"/>
    <n v="7"/>
    <x v="1"/>
    <x v="0"/>
    <x v="3"/>
    <x v="1"/>
    <x v="3"/>
    <x v="2"/>
    <x v="3"/>
    <x v="3"/>
    <s v="Low"/>
    <x v="1"/>
    <x v="0"/>
    <x v="2"/>
    <x v="0"/>
  </r>
  <r>
    <n v="33"/>
    <x v="1"/>
    <s v="Travel_Rarely"/>
    <n v="117"/>
    <x v="1"/>
    <n v="9"/>
    <n v="3"/>
    <s v="Medical"/>
    <n v="1238"/>
    <n v="1"/>
    <x v="1"/>
    <n v="60"/>
    <n v="3"/>
    <n v="1"/>
    <x v="1"/>
    <n v="4"/>
    <x v="1"/>
    <n v="2781"/>
    <n v="0"/>
    <x v="1"/>
    <n v="13"/>
    <n v="3"/>
    <n v="2"/>
    <n v="1"/>
    <n v="15"/>
    <n v="5"/>
    <n v="3"/>
    <n v="14"/>
    <n v="10"/>
    <n v="4"/>
    <n v="10"/>
    <x v="1"/>
    <x v="1"/>
    <x v="3"/>
    <x v="3"/>
    <x v="0"/>
    <x v="1"/>
    <x v="0"/>
    <x v="2"/>
    <s v="Low"/>
    <x v="1"/>
    <x v="2"/>
    <x v="1"/>
    <x v="4"/>
  </r>
  <r>
    <n v="40"/>
    <x v="1"/>
    <s v="Travel_Rarely"/>
    <n v="107"/>
    <x v="0"/>
    <n v="10"/>
    <n v="3"/>
    <s v="Technical Degree"/>
    <n v="1239"/>
    <n v="2"/>
    <x v="0"/>
    <n v="84"/>
    <n v="2"/>
    <n v="2"/>
    <x v="0"/>
    <n v="2"/>
    <x v="2"/>
    <n v="6852"/>
    <n v="7"/>
    <x v="1"/>
    <n v="12"/>
    <n v="3"/>
    <n v="2"/>
    <n v="1"/>
    <n v="7"/>
    <n v="2"/>
    <n v="4"/>
    <n v="5"/>
    <n v="1"/>
    <n v="1"/>
    <n v="3"/>
    <x v="1"/>
    <x v="1"/>
    <x v="3"/>
    <x v="0"/>
    <x v="1"/>
    <x v="0"/>
    <x v="1"/>
    <x v="2"/>
    <s v="Low"/>
    <x v="3"/>
    <x v="0"/>
    <x v="0"/>
    <x v="2"/>
  </r>
  <r>
    <n v="25"/>
    <x v="1"/>
    <s v="Travel_Rarely"/>
    <n v="1356"/>
    <x v="0"/>
    <n v="10"/>
    <n v="4"/>
    <s v="Life Sciences"/>
    <n v="1240"/>
    <n v="3"/>
    <x v="1"/>
    <n v="57"/>
    <n v="3"/>
    <n v="2"/>
    <x v="0"/>
    <n v="4"/>
    <x v="0"/>
    <n v="4950"/>
    <n v="0"/>
    <x v="1"/>
    <n v="14"/>
    <n v="3"/>
    <n v="2"/>
    <n v="0"/>
    <n v="5"/>
    <n v="4"/>
    <n v="3"/>
    <n v="4"/>
    <n v="3"/>
    <n v="1"/>
    <n v="1"/>
    <x v="1"/>
    <x v="1"/>
    <x v="2"/>
    <x v="1"/>
    <x v="0"/>
    <x v="0"/>
    <x v="0"/>
    <x v="2"/>
    <s v="No Options"/>
    <x v="1"/>
    <x v="2"/>
    <x v="0"/>
    <x v="2"/>
  </r>
  <r>
    <n v="30"/>
    <x v="1"/>
    <s v="Travel_Rarely"/>
    <n v="1465"/>
    <x v="1"/>
    <n v="1"/>
    <n v="3"/>
    <s v="Medical"/>
    <n v="1241"/>
    <n v="4"/>
    <x v="1"/>
    <n v="63"/>
    <n v="3"/>
    <n v="1"/>
    <x v="1"/>
    <n v="2"/>
    <x v="1"/>
    <n v="3579"/>
    <n v="0"/>
    <x v="0"/>
    <n v="21"/>
    <n v="4"/>
    <n v="1"/>
    <n v="1"/>
    <n v="12"/>
    <n v="2"/>
    <n v="3"/>
    <n v="11"/>
    <n v="9"/>
    <n v="5"/>
    <n v="7"/>
    <x v="1"/>
    <x v="0"/>
    <x v="3"/>
    <x v="2"/>
    <x v="0"/>
    <x v="1"/>
    <x v="1"/>
    <x v="0"/>
    <s v="Low"/>
    <x v="1"/>
    <x v="2"/>
    <x v="0"/>
    <x v="4"/>
  </r>
  <r>
    <n v="42"/>
    <x v="1"/>
    <s v="Travel_Frequently"/>
    <n v="458"/>
    <x v="1"/>
    <n v="26"/>
    <n v="5"/>
    <s v="Medical"/>
    <n v="1242"/>
    <n v="1"/>
    <x v="0"/>
    <n v="60"/>
    <n v="3"/>
    <n v="3"/>
    <x v="7"/>
    <n v="1"/>
    <x v="1"/>
    <n v="13191"/>
    <n v="3"/>
    <x v="0"/>
    <n v="17"/>
    <n v="3"/>
    <n v="3"/>
    <n v="0"/>
    <n v="20"/>
    <n v="6"/>
    <n v="3"/>
    <n v="1"/>
    <n v="0"/>
    <n v="0"/>
    <n v="0"/>
    <x v="1"/>
    <x v="0"/>
    <x v="4"/>
    <x v="3"/>
    <x v="0"/>
    <x v="2"/>
    <x v="3"/>
    <x v="3"/>
    <s v="No Options"/>
    <x v="1"/>
    <x v="0"/>
    <x v="3"/>
    <x v="1"/>
  </r>
  <r>
    <n v="35"/>
    <x v="1"/>
    <s v="Non-Travel"/>
    <n v="1212"/>
    <x v="0"/>
    <n v="8"/>
    <n v="2"/>
    <s v="Marketing"/>
    <n v="1243"/>
    <n v="3"/>
    <x v="0"/>
    <n v="78"/>
    <n v="2"/>
    <n v="3"/>
    <x v="0"/>
    <n v="4"/>
    <x v="1"/>
    <n v="10377"/>
    <n v="4"/>
    <x v="0"/>
    <n v="11"/>
    <n v="3"/>
    <n v="2"/>
    <n v="1"/>
    <n v="16"/>
    <n v="6"/>
    <n v="2"/>
    <n v="13"/>
    <n v="2"/>
    <n v="4"/>
    <n v="12"/>
    <x v="1"/>
    <x v="0"/>
    <x v="0"/>
    <x v="1"/>
    <x v="1"/>
    <x v="2"/>
    <x v="0"/>
    <x v="2"/>
    <s v="Low"/>
    <x v="2"/>
    <x v="0"/>
    <x v="2"/>
    <x v="4"/>
  </r>
  <r>
    <n v="27"/>
    <x v="1"/>
    <s v="Travel_Rarely"/>
    <n v="1103"/>
    <x v="1"/>
    <n v="14"/>
    <n v="3"/>
    <s v="Life Sciences"/>
    <n v="1244"/>
    <n v="1"/>
    <x v="1"/>
    <n v="42"/>
    <n v="3"/>
    <n v="1"/>
    <x v="1"/>
    <n v="1"/>
    <x v="1"/>
    <n v="2235"/>
    <n v="1"/>
    <x v="0"/>
    <n v="14"/>
    <n v="3"/>
    <n v="4"/>
    <n v="2"/>
    <n v="9"/>
    <n v="3"/>
    <n v="2"/>
    <n v="9"/>
    <n v="7"/>
    <n v="6"/>
    <n v="8"/>
    <x v="1"/>
    <x v="0"/>
    <x v="3"/>
    <x v="3"/>
    <x v="0"/>
    <x v="1"/>
    <x v="3"/>
    <x v="1"/>
    <s v="Medium"/>
    <x v="2"/>
    <x v="2"/>
    <x v="1"/>
    <x v="0"/>
  </r>
  <r>
    <n v="54"/>
    <x v="1"/>
    <s v="Travel_Frequently"/>
    <n v="966"/>
    <x v="1"/>
    <n v="1"/>
    <n v="4"/>
    <s v="Life Sciences"/>
    <n v="1245"/>
    <n v="4"/>
    <x v="0"/>
    <n v="53"/>
    <n v="3"/>
    <n v="3"/>
    <x v="3"/>
    <n v="3"/>
    <x v="2"/>
    <n v="10502"/>
    <n v="7"/>
    <x v="1"/>
    <n v="17"/>
    <n v="3"/>
    <n v="1"/>
    <n v="1"/>
    <n v="33"/>
    <n v="2"/>
    <n v="1"/>
    <n v="5"/>
    <n v="4"/>
    <n v="1"/>
    <n v="4"/>
    <x v="1"/>
    <x v="1"/>
    <x v="2"/>
    <x v="2"/>
    <x v="0"/>
    <x v="2"/>
    <x v="2"/>
    <x v="0"/>
    <s v="Low"/>
    <x v="0"/>
    <x v="1"/>
    <x v="2"/>
    <x v="2"/>
  </r>
  <r>
    <n v="44"/>
    <x v="1"/>
    <s v="Travel_Rarely"/>
    <n v="1117"/>
    <x v="1"/>
    <n v="2"/>
    <n v="1"/>
    <s v="Life Sciences"/>
    <n v="1246"/>
    <n v="1"/>
    <x v="0"/>
    <n v="72"/>
    <n v="4"/>
    <n v="1"/>
    <x v="1"/>
    <n v="4"/>
    <x v="1"/>
    <n v="2011"/>
    <n v="1"/>
    <x v="1"/>
    <n v="13"/>
    <n v="3"/>
    <n v="4"/>
    <n v="1"/>
    <n v="10"/>
    <n v="5"/>
    <n v="3"/>
    <n v="10"/>
    <n v="5"/>
    <n v="7"/>
    <n v="7"/>
    <x v="1"/>
    <x v="1"/>
    <x v="1"/>
    <x v="3"/>
    <x v="2"/>
    <x v="1"/>
    <x v="0"/>
    <x v="1"/>
    <s v="Low"/>
    <x v="1"/>
    <x v="0"/>
    <x v="1"/>
    <x v="0"/>
  </r>
  <r>
    <n v="19"/>
    <x v="0"/>
    <s v="Non-Travel"/>
    <n v="504"/>
    <x v="1"/>
    <n v="10"/>
    <n v="3"/>
    <s v="Medical"/>
    <n v="1248"/>
    <n v="1"/>
    <x v="0"/>
    <n v="96"/>
    <n v="2"/>
    <n v="1"/>
    <x v="1"/>
    <n v="2"/>
    <x v="0"/>
    <n v="1859"/>
    <n v="1"/>
    <x v="0"/>
    <n v="25"/>
    <n v="4"/>
    <n v="2"/>
    <n v="0"/>
    <n v="1"/>
    <n v="2"/>
    <n v="4"/>
    <n v="1"/>
    <n v="1"/>
    <n v="0"/>
    <n v="0"/>
    <x v="0"/>
    <x v="0"/>
    <x v="3"/>
    <x v="3"/>
    <x v="1"/>
    <x v="1"/>
    <x v="1"/>
    <x v="2"/>
    <s v="No Options"/>
    <x v="3"/>
    <x v="4"/>
    <x v="1"/>
    <x v="1"/>
  </r>
  <r>
    <n v="29"/>
    <x v="1"/>
    <s v="Travel_Rarely"/>
    <n v="1010"/>
    <x v="1"/>
    <n v="1"/>
    <n v="3"/>
    <s v="Life Sciences"/>
    <n v="1249"/>
    <n v="1"/>
    <x v="0"/>
    <n v="97"/>
    <n v="3"/>
    <n v="1"/>
    <x v="1"/>
    <n v="4"/>
    <x v="2"/>
    <n v="3760"/>
    <n v="1"/>
    <x v="1"/>
    <n v="15"/>
    <n v="3"/>
    <n v="1"/>
    <n v="3"/>
    <n v="3"/>
    <n v="5"/>
    <n v="3"/>
    <n v="3"/>
    <n v="2"/>
    <n v="1"/>
    <n v="2"/>
    <x v="1"/>
    <x v="1"/>
    <x v="3"/>
    <x v="3"/>
    <x v="0"/>
    <x v="1"/>
    <x v="0"/>
    <x v="0"/>
    <s v="High"/>
    <x v="1"/>
    <x v="2"/>
    <x v="0"/>
    <x v="2"/>
  </r>
  <r>
    <n v="54"/>
    <x v="1"/>
    <s v="Travel_Rarely"/>
    <n v="685"/>
    <x v="1"/>
    <n v="3"/>
    <n v="3"/>
    <s v="Life Sciences"/>
    <n v="1250"/>
    <n v="4"/>
    <x v="1"/>
    <n v="85"/>
    <n v="3"/>
    <n v="4"/>
    <x v="7"/>
    <n v="4"/>
    <x v="1"/>
    <n v="17779"/>
    <n v="3"/>
    <x v="1"/>
    <n v="14"/>
    <n v="3"/>
    <n v="1"/>
    <n v="0"/>
    <n v="36"/>
    <n v="2"/>
    <n v="3"/>
    <n v="10"/>
    <n v="9"/>
    <n v="0"/>
    <n v="9"/>
    <x v="1"/>
    <x v="1"/>
    <x v="3"/>
    <x v="2"/>
    <x v="0"/>
    <x v="3"/>
    <x v="0"/>
    <x v="0"/>
    <s v="No Options"/>
    <x v="1"/>
    <x v="1"/>
    <x v="3"/>
    <x v="0"/>
  </r>
  <r>
    <n v="31"/>
    <x v="1"/>
    <s v="Travel_Rarely"/>
    <n v="1332"/>
    <x v="1"/>
    <n v="11"/>
    <n v="2"/>
    <s v="Medical"/>
    <n v="1251"/>
    <n v="3"/>
    <x v="1"/>
    <n v="80"/>
    <n v="3"/>
    <n v="2"/>
    <x v="4"/>
    <n v="1"/>
    <x v="1"/>
    <n v="6833"/>
    <n v="1"/>
    <x v="0"/>
    <n v="12"/>
    <n v="3"/>
    <n v="4"/>
    <n v="0"/>
    <n v="6"/>
    <n v="2"/>
    <n v="2"/>
    <n v="6"/>
    <n v="5"/>
    <n v="0"/>
    <n v="1"/>
    <x v="1"/>
    <x v="0"/>
    <x v="0"/>
    <x v="1"/>
    <x v="0"/>
    <x v="0"/>
    <x v="3"/>
    <x v="1"/>
    <s v="No Options"/>
    <x v="2"/>
    <x v="2"/>
    <x v="0"/>
    <x v="0"/>
  </r>
  <r>
    <n v="31"/>
    <x v="1"/>
    <s v="Travel_Rarely"/>
    <n v="1062"/>
    <x v="1"/>
    <n v="24"/>
    <n v="3"/>
    <s v="Medical"/>
    <n v="1252"/>
    <n v="3"/>
    <x v="0"/>
    <n v="96"/>
    <n v="2"/>
    <n v="2"/>
    <x v="4"/>
    <n v="1"/>
    <x v="0"/>
    <n v="6812"/>
    <n v="1"/>
    <x v="1"/>
    <n v="19"/>
    <n v="3"/>
    <n v="2"/>
    <n v="0"/>
    <n v="10"/>
    <n v="2"/>
    <n v="3"/>
    <n v="10"/>
    <n v="9"/>
    <n v="1"/>
    <n v="8"/>
    <x v="1"/>
    <x v="1"/>
    <x v="3"/>
    <x v="1"/>
    <x v="1"/>
    <x v="0"/>
    <x v="3"/>
    <x v="2"/>
    <s v="No Options"/>
    <x v="1"/>
    <x v="2"/>
    <x v="0"/>
    <x v="0"/>
  </r>
  <r>
    <n v="59"/>
    <x v="1"/>
    <s v="Travel_Rarely"/>
    <n v="326"/>
    <x v="0"/>
    <n v="3"/>
    <n v="3"/>
    <s v="Life Sciences"/>
    <n v="1254"/>
    <n v="3"/>
    <x v="0"/>
    <n v="48"/>
    <n v="2"/>
    <n v="2"/>
    <x v="0"/>
    <n v="4"/>
    <x v="0"/>
    <n v="5171"/>
    <n v="5"/>
    <x v="1"/>
    <n v="17"/>
    <n v="3"/>
    <n v="4"/>
    <n v="0"/>
    <n v="13"/>
    <n v="2"/>
    <n v="3"/>
    <n v="6"/>
    <n v="1"/>
    <n v="0"/>
    <n v="5"/>
    <x v="1"/>
    <x v="1"/>
    <x v="3"/>
    <x v="1"/>
    <x v="1"/>
    <x v="0"/>
    <x v="0"/>
    <x v="1"/>
    <s v="No Options"/>
    <x v="1"/>
    <x v="3"/>
    <x v="0"/>
    <x v="0"/>
  </r>
  <r>
    <n v="43"/>
    <x v="1"/>
    <s v="Travel_Rarely"/>
    <n v="920"/>
    <x v="1"/>
    <n v="3"/>
    <n v="3"/>
    <s v="Life Sciences"/>
    <n v="1255"/>
    <n v="3"/>
    <x v="1"/>
    <n v="96"/>
    <n v="1"/>
    <n v="5"/>
    <x v="7"/>
    <n v="4"/>
    <x v="1"/>
    <n v="19740"/>
    <n v="3"/>
    <x v="1"/>
    <n v="14"/>
    <n v="3"/>
    <n v="2"/>
    <n v="1"/>
    <n v="25"/>
    <n v="2"/>
    <n v="3"/>
    <n v="8"/>
    <n v="7"/>
    <n v="0"/>
    <n v="7"/>
    <x v="1"/>
    <x v="1"/>
    <x v="3"/>
    <x v="1"/>
    <x v="3"/>
    <x v="4"/>
    <x v="0"/>
    <x v="2"/>
    <s v="Low"/>
    <x v="1"/>
    <x v="0"/>
    <x v="3"/>
    <x v="0"/>
  </r>
  <r>
    <n v="49"/>
    <x v="1"/>
    <s v="Travel_Rarely"/>
    <n v="1098"/>
    <x v="1"/>
    <n v="4"/>
    <n v="2"/>
    <s v="Medical"/>
    <n v="1256"/>
    <n v="1"/>
    <x v="1"/>
    <n v="85"/>
    <n v="2"/>
    <n v="5"/>
    <x v="5"/>
    <n v="3"/>
    <x v="1"/>
    <n v="18711"/>
    <n v="2"/>
    <x v="1"/>
    <n v="13"/>
    <n v="3"/>
    <n v="3"/>
    <n v="1"/>
    <n v="23"/>
    <n v="2"/>
    <n v="4"/>
    <n v="1"/>
    <n v="0"/>
    <n v="0"/>
    <n v="0"/>
    <x v="1"/>
    <x v="1"/>
    <x v="0"/>
    <x v="3"/>
    <x v="1"/>
    <x v="4"/>
    <x v="2"/>
    <x v="3"/>
    <s v="Low"/>
    <x v="3"/>
    <x v="1"/>
    <x v="3"/>
    <x v="1"/>
  </r>
  <r>
    <n v="36"/>
    <x v="1"/>
    <s v="Travel_Frequently"/>
    <n v="469"/>
    <x v="1"/>
    <n v="3"/>
    <n v="3"/>
    <s v="Technical Degree"/>
    <n v="1257"/>
    <n v="3"/>
    <x v="1"/>
    <n v="46"/>
    <n v="3"/>
    <n v="1"/>
    <x v="1"/>
    <n v="2"/>
    <x v="1"/>
    <n v="3692"/>
    <n v="1"/>
    <x v="1"/>
    <n v="12"/>
    <n v="3"/>
    <n v="3"/>
    <n v="0"/>
    <n v="12"/>
    <n v="2"/>
    <n v="2"/>
    <n v="11"/>
    <n v="10"/>
    <n v="0"/>
    <n v="7"/>
    <x v="1"/>
    <x v="1"/>
    <x v="3"/>
    <x v="1"/>
    <x v="0"/>
    <x v="1"/>
    <x v="1"/>
    <x v="3"/>
    <s v="No Options"/>
    <x v="2"/>
    <x v="0"/>
    <x v="0"/>
    <x v="4"/>
  </r>
  <r>
    <n v="48"/>
    <x v="1"/>
    <s v="Travel_Rarely"/>
    <n v="969"/>
    <x v="1"/>
    <n v="2"/>
    <n v="2"/>
    <s v="Technical Degree"/>
    <n v="1258"/>
    <n v="4"/>
    <x v="1"/>
    <n v="76"/>
    <n v="4"/>
    <n v="1"/>
    <x v="2"/>
    <n v="2"/>
    <x v="0"/>
    <n v="2559"/>
    <n v="5"/>
    <x v="1"/>
    <n v="11"/>
    <n v="3"/>
    <n v="3"/>
    <n v="0"/>
    <n v="7"/>
    <n v="4"/>
    <n v="2"/>
    <n v="1"/>
    <n v="0"/>
    <n v="0"/>
    <n v="0"/>
    <x v="1"/>
    <x v="1"/>
    <x v="0"/>
    <x v="2"/>
    <x v="2"/>
    <x v="1"/>
    <x v="1"/>
    <x v="3"/>
    <s v="No Options"/>
    <x v="2"/>
    <x v="1"/>
    <x v="1"/>
    <x v="1"/>
  </r>
  <r>
    <n v="27"/>
    <x v="1"/>
    <s v="Travel_Rarely"/>
    <n v="1167"/>
    <x v="1"/>
    <n v="4"/>
    <n v="2"/>
    <s v="Life Sciences"/>
    <n v="1259"/>
    <n v="1"/>
    <x v="1"/>
    <n v="76"/>
    <n v="3"/>
    <n v="1"/>
    <x v="1"/>
    <n v="3"/>
    <x v="2"/>
    <n v="2517"/>
    <n v="1"/>
    <x v="1"/>
    <n v="11"/>
    <n v="3"/>
    <n v="2"/>
    <n v="3"/>
    <n v="5"/>
    <n v="2"/>
    <n v="3"/>
    <n v="5"/>
    <n v="3"/>
    <n v="0"/>
    <n v="3"/>
    <x v="1"/>
    <x v="1"/>
    <x v="0"/>
    <x v="3"/>
    <x v="0"/>
    <x v="1"/>
    <x v="2"/>
    <x v="2"/>
    <s v="High"/>
    <x v="1"/>
    <x v="2"/>
    <x v="1"/>
    <x v="2"/>
  </r>
  <r>
    <n v="29"/>
    <x v="1"/>
    <s v="Travel_Rarely"/>
    <n v="1329"/>
    <x v="1"/>
    <n v="7"/>
    <n v="3"/>
    <s v="Life Sciences"/>
    <n v="1260"/>
    <n v="3"/>
    <x v="1"/>
    <n v="82"/>
    <n v="3"/>
    <n v="2"/>
    <x v="4"/>
    <n v="4"/>
    <x v="2"/>
    <n v="6623"/>
    <n v="1"/>
    <x v="0"/>
    <n v="11"/>
    <n v="3"/>
    <n v="2"/>
    <n v="2"/>
    <n v="6"/>
    <n v="2"/>
    <n v="3"/>
    <n v="6"/>
    <n v="0"/>
    <n v="1"/>
    <n v="0"/>
    <x v="1"/>
    <x v="0"/>
    <x v="3"/>
    <x v="1"/>
    <x v="0"/>
    <x v="0"/>
    <x v="0"/>
    <x v="2"/>
    <s v="Medium"/>
    <x v="1"/>
    <x v="2"/>
    <x v="0"/>
    <x v="0"/>
  </r>
  <r>
    <n v="48"/>
    <x v="1"/>
    <s v="Travel_Rarely"/>
    <n v="715"/>
    <x v="1"/>
    <n v="1"/>
    <n v="3"/>
    <s v="Life Sciences"/>
    <n v="1263"/>
    <n v="4"/>
    <x v="1"/>
    <n v="76"/>
    <n v="2"/>
    <n v="5"/>
    <x v="7"/>
    <n v="4"/>
    <x v="0"/>
    <n v="18265"/>
    <n v="6"/>
    <x v="1"/>
    <n v="12"/>
    <n v="3"/>
    <n v="3"/>
    <n v="0"/>
    <n v="25"/>
    <n v="3"/>
    <n v="4"/>
    <n v="1"/>
    <n v="0"/>
    <n v="0"/>
    <n v="0"/>
    <x v="1"/>
    <x v="1"/>
    <x v="3"/>
    <x v="2"/>
    <x v="1"/>
    <x v="4"/>
    <x v="0"/>
    <x v="3"/>
    <s v="No Options"/>
    <x v="3"/>
    <x v="1"/>
    <x v="3"/>
    <x v="1"/>
  </r>
  <r>
    <n v="29"/>
    <x v="1"/>
    <s v="Travel_Rarely"/>
    <n v="694"/>
    <x v="1"/>
    <n v="1"/>
    <n v="3"/>
    <s v="Life Sciences"/>
    <n v="1264"/>
    <n v="4"/>
    <x v="0"/>
    <n v="87"/>
    <n v="2"/>
    <n v="4"/>
    <x v="7"/>
    <n v="4"/>
    <x v="2"/>
    <n v="16124"/>
    <n v="3"/>
    <x v="1"/>
    <n v="14"/>
    <n v="3"/>
    <n v="2"/>
    <n v="2"/>
    <n v="9"/>
    <n v="2"/>
    <n v="2"/>
    <n v="7"/>
    <n v="7"/>
    <n v="1"/>
    <n v="7"/>
    <x v="1"/>
    <x v="1"/>
    <x v="3"/>
    <x v="2"/>
    <x v="1"/>
    <x v="3"/>
    <x v="0"/>
    <x v="2"/>
    <s v="Medium"/>
    <x v="2"/>
    <x v="2"/>
    <x v="3"/>
    <x v="0"/>
  </r>
  <r>
    <n v="34"/>
    <x v="1"/>
    <s v="Travel_Rarely"/>
    <n v="1320"/>
    <x v="1"/>
    <n v="20"/>
    <n v="3"/>
    <s v="Technical Degree"/>
    <n v="1265"/>
    <n v="3"/>
    <x v="0"/>
    <n v="89"/>
    <n v="4"/>
    <n v="1"/>
    <x v="1"/>
    <n v="3"/>
    <x v="1"/>
    <n v="2585"/>
    <n v="0"/>
    <x v="1"/>
    <n v="17"/>
    <n v="3"/>
    <n v="4"/>
    <n v="0"/>
    <n v="2"/>
    <n v="5"/>
    <n v="2"/>
    <n v="1"/>
    <n v="0"/>
    <n v="0"/>
    <n v="0"/>
    <x v="1"/>
    <x v="1"/>
    <x v="3"/>
    <x v="1"/>
    <x v="2"/>
    <x v="1"/>
    <x v="2"/>
    <x v="1"/>
    <s v="No Options"/>
    <x v="2"/>
    <x v="2"/>
    <x v="1"/>
    <x v="1"/>
  </r>
  <r>
    <n v="44"/>
    <x v="1"/>
    <s v="Travel_Rarely"/>
    <n v="1099"/>
    <x v="0"/>
    <n v="5"/>
    <n v="3"/>
    <s v="Marketing"/>
    <n v="1267"/>
    <n v="2"/>
    <x v="1"/>
    <n v="88"/>
    <n v="3"/>
    <n v="5"/>
    <x v="5"/>
    <n v="2"/>
    <x v="1"/>
    <n v="18213"/>
    <n v="7"/>
    <x v="1"/>
    <n v="11"/>
    <n v="3"/>
    <n v="3"/>
    <n v="1"/>
    <n v="26"/>
    <n v="5"/>
    <n v="3"/>
    <n v="22"/>
    <n v="9"/>
    <n v="3"/>
    <n v="10"/>
    <x v="1"/>
    <x v="1"/>
    <x v="3"/>
    <x v="0"/>
    <x v="0"/>
    <x v="4"/>
    <x v="1"/>
    <x v="3"/>
    <s v="Low"/>
    <x v="1"/>
    <x v="0"/>
    <x v="3"/>
    <x v="3"/>
  </r>
  <r>
    <n v="33"/>
    <x v="1"/>
    <s v="Travel_Rarely"/>
    <n v="536"/>
    <x v="0"/>
    <n v="10"/>
    <n v="5"/>
    <s v="Marketing"/>
    <n v="1268"/>
    <n v="4"/>
    <x v="1"/>
    <n v="82"/>
    <n v="4"/>
    <n v="3"/>
    <x v="0"/>
    <n v="3"/>
    <x v="2"/>
    <n v="8380"/>
    <n v="0"/>
    <x v="0"/>
    <n v="14"/>
    <n v="3"/>
    <n v="4"/>
    <n v="2"/>
    <n v="10"/>
    <n v="3"/>
    <n v="3"/>
    <n v="9"/>
    <n v="8"/>
    <n v="0"/>
    <n v="8"/>
    <x v="1"/>
    <x v="0"/>
    <x v="4"/>
    <x v="2"/>
    <x v="2"/>
    <x v="2"/>
    <x v="2"/>
    <x v="1"/>
    <s v="Medium"/>
    <x v="1"/>
    <x v="2"/>
    <x v="2"/>
    <x v="0"/>
  </r>
  <r>
    <n v="19"/>
    <x v="1"/>
    <s v="Travel_Rarely"/>
    <n v="265"/>
    <x v="1"/>
    <n v="25"/>
    <n v="3"/>
    <s v="Life Sciences"/>
    <n v="1269"/>
    <n v="2"/>
    <x v="0"/>
    <n v="57"/>
    <n v="4"/>
    <n v="1"/>
    <x v="1"/>
    <n v="4"/>
    <x v="0"/>
    <n v="2994"/>
    <n v="1"/>
    <x v="0"/>
    <n v="12"/>
    <n v="3"/>
    <n v="4"/>
    <n v="0"/>
    <n v="1"/>
    <n v="2"/>
    <n v="3"/>
    <n v="1"/>
    <n v="0"/>
    <n v="0"/>
    <n v="1"/>
    <x v="1"/>
    <x v="0"/>
    <x v="3"/>
    <x v="0"/>
    <x v="2"/>
    <x v="1"/>
    <x v="0"/>
    <x v="1"/>
    <s v="No Options"/>
    <x v="1"/>
    <x v="4"/>
    <x v="1"/>
    <x v="1"/>
  </r>
  <r>
    <n v="23"/>
    <x v="1"/>
    <s v="Travel_Rarely"/>
    <n v="373"/>
    <x v="1"/>
    <n v="1"/>
    <n v="2"/>
    <s v="Life Sciences"/>
    <n v="1270"/>
    <n v="4"/>
    <x v="1"/>
    <n v="47"/>
    <n v="3"/>
    <n v="1"/>
    <x v="1"/>
    <n v="3"/>
    <x v="1"/>
    <n v="1223"/>
    <n v="1"/>
    <x v="1"/>
    <n v="22"/>
    <n v="4"/>
    <n v="4"/>
    <n v="1"/>
    <n v="1"/>
    <n v="2"/>
    <n v="3"/>
    <n v="1"/>
    <n v="0"/>
    <n v="0"/>
    <n v="1"/>
    <x v="1"/>
    <x v="1"/>
    <x v="0"/>
    <x v="2"/>
    <x v="0"/>
    <x v="1"/>
    <x v="2"/>
    <x v="1"/>
    <s v="Low"/>
    <x v="1"/>
    <x v="4"/>
    <x v="1"/>
    <x v="1"/>
  </r>
  <r>
    <n v="25"/>
    <x v="0"/>
    <s v="Travel_Frequently"/>
    <n v="599"/>
    <x v="0"/>
    <n v="24"/>
    <n v="1"/>
    <s v="Life Sciences"/>
    <n v="1273"/>
    <n v="3"/>
    <x v="1"/>
    <n v="73"/>
    <n v="1"/>
    <n v="1"/>
    <x v="6"/>
    <n v="4"/>
    <x v="0"/>
    <n v="1118"/>
    <n v="1"/>
    <x v="0"/>
    <n v="14"/>
    <n v="3"/>
    <n v="4"/>
    <n v="0"/>
    <n v="1"/>
    <n v="4"/>
    <n v="3"/>
    <n v="1"/>
    <n v="0"/>
    <n v="1"/>
    <n v="0"/>
    <x v="0"/>
    <x v="0"/>
    <x v="1"/>
    <x v="1"/>
    <x v="3"/>
    <x v="1"/>
    <x v="0"/>
    <x v="1"/>
    <s v="No Options"/>
    <x v="1"/>
    <x v="2"/>
    <x v="1"/>
    <x v="1"/>
  </r>
  <r>
    <n v="26"/>
    <x v="1"/>
    <s v="Travel_Rarely"/>
    <n v="583"/>
    <x v="1"/>
    <n v="4"/>
    <n v="2"/>
    <s v="Life Sciences"/>
    <n v="1275"/>
    <n v="3"/>
    <x v="1"/>
    <n v="53"/>
    <n v="3"/>
    <n v="1"/>
    <x v="1"/>
    <n v="4"/>
    <x v="0"/>
    <n v="2875"/>
    <n v="1"/>
    <x v="0"/>
    <n v="20"/>
    <n v="4"/>
    <n v="2"/>
    <n v="0"/>
    <n v="8"/>
    <n v="2"/>
    <n v="2"/>
    <n v="8"/>
    <n v="5"/>
    <n v="2"/>
    <n v="2"/>
    <x v="1"/>
    <x v="0"/>
    <x v="0"/>
    <x v="1"/>
    <x v="0"/>
    <x v="1"/>
    <x v="0"/>
    <x v="2"/>
    <s v="No Options"/>
    <x v="2"/>
    <x v="2"/>
    <x v="1"/>
    <x v="0"/>
  </r>
  <r>
    <n v="45"/>
    <x v="0"/>
    <s v="Travel_Rarely"/>
    <n v="1449"/>
    <x v="0"/>
    <n v="2"/>
    <n v="3"/>
    <s v="Marketing"/>
    <n v="1277"/>
    <n v="1"/>
    <x v="0"/>
    <n v="94"/>
    <n v="1"/>
    <n v="5"/>
    <x v="5"/>
    <n v="2"/>
    <x v="0"/>
    <n v="18824"/>
    <n v="2"/>
    <x v="0"/>
    <n v="16"/>
    <n v="3"/>
    <n v="1"/>
    <n v="0"/>
    <n v="26"/>
    <n v="2"/>
    <n v="3"/>
    <n v="24"/>
    <n v="10"/>
    <n v="1"/>
    <n v="11"/>
    <x v="0"/>
    <x v="0"/>
    <x v="3"/>
    <x v="3"/>
    <x v="3"/>
    <x v="4"/>
    <x v="1"/>
    <x v="0"/>
    <s v="No Options"/>
    <x v="1"/>
    <x v="1"/>
    <x v="3"/>
    <x v="3"/>
  </r>
  <r>
    <n v="55"/>
    <x v="1"/>
    <s v="Non-Travel"/>
    <n v="177"/>
    <x v="1"/>
    <n v="8"/>
    <n v="1"/>
    <s v="Medical"/>
    <n v="1278"/>
    <n v="4"/>
    <x v="1"/>
    <n v="37"/>
    <n v="2"/>
    <n v="4"/>
    <x v="4"/>
    <n v="2"/>
    <x v="2"/>
    <n v="13577"/>
    <n v="1"/>
    <x v="0"/>
    <n v="15"/>
    <n v="3"/>
    <n v="4"/>
    <n v="1"/>
    <n v="34"/>
    <n v="3"/>
    <n v="3"/>
    <n v="33"/>
    <n v="9"/>
    <n v="15"/>
    <n v="0"/>
    <x v="1"/>
    <x v="0"/>
    <x v="1"/>
    <x v="2"/>
    <x v="1"/>
    <x v="3"/>
    <x v="1"/>
    <x v="1"/>
    <s v="Low"/>
    <x v="1"/>
    <x v="3"/>
    <x v="3"/>
    <x v="3"/>
  </r>
  <r>
    <n v="21"/>
    <x v="0"/>
    <s v="Travel_Frequently"/>
    <n v="251"/>
    <x v="1"/>
    <n v="10"/>
    <n v="2"/>
    <s v="Life Sciences"/>
    <n v="1279"/>
    <n v="1"/>
    <x v="0"/>
    <n v="45"/>
    <n v="2"/>
    <n v="1"/>
    <x v="2"/>
    <n v="3"/>
    <x v="0"/>
    <n v="2625"/>
    <n v="1"/>
    <x v="1"/>
    <n v="20"/>
    <n v="4"/>
    <n v="3"/>
    <n v="0"/>
    <n v="2"/>
    <n v="2"/>
    <n v="1"/>
    <n v="2"/>
    <n v="2"/>
    <n v="2"/>
    <n v="2"/>
    <x v="0"/>
    <x v="1"/>
    <x v="0"/>
    <x v="3"/>
    <x v="1"/>
    <x v="1"/>
    <x v="2"/>
    <x v="3"/>
    <s v="No Options"/>
    <x v="0"/>
    <x v="4"/>
    <x v="1"/>
    <x v="1"/>
  </r>
  <r>
    <n v="46"/>
    <x v="1"/>
    <s v="Travel_Rarely"/>
    <n v="168"/>
    <x v="0"/>
    <n v="4"/>
    <n v="2"/>
    <s v="Marketing"/>
    <n v="1280"/>
    <n v="4"/>
    <x v="0"/>
    <n v="33"/>
    <n v="2"/>
    <n v="5"/>
    <x v="5"/>
    <n v="2"/>
    <x v="1"/>
    <n v="18789"/>
    <n v="2"/>
    <x v="1"/>
    <n v="14"/>
    <n v="3"/>
    <n v="3"/>
    <n v="1"/>
    <n v="26"/>
    <n v="2"/>
    <n v="3"/>
    <n v="11"/>
    <n v="4"/>
    <n v="0"/>
    <n v="8"/>
    <x v="1"/>
    <x v="1"/>
    <x v="0"/>
    <x v="2"/>
    <x v="1"/>
    <x v="4"/>
    <x v="1"/>
    <x v="3"/>
    <s v="Low"/>
    <x v="1"/>
    <x v="1"/>
    <x v="3"/>
    <x v="4"/>
  </r>
  <r>
    <n v="34"/>
    <x v="1"/>
    <s v="Travel_Rarely"/>
    <n v="131"/>
    <x v="0"/>
    <n v="2"/>
    <n v="3"/>
    <s v="Marketing"/>
    <n v="1281"/>
    <n v="3"/>
    <x v="0"/>
    <n v="86"/>
    <n v="3"/>
    <n v="2"/>
    <x v="0"/>
    <n v="1"/>
    <x v="0"/>
    <n v="4538"/>
    <n v="0"/>
    <x v="0"/>
    <n v="12"/>
    <n v="3"/>
    <n v="4"/>
    <n v="0"/>
    <n v="4"/>
    <n v="3"/>
    <n v="3"/>
    <n v="3"/>
    <n v="2"/>
    <n v="0"/>
    <n v="2"/>
    <x v="1"/>
    <x v="0"/>
    <x v="3"/>
    <x v="1"/>
    <x v="0"/>
    <x v="0"/>
    <x v="3"/>
    <x v="1"/>
    <s v="No Options"/>
    <x v="1"/>
    <x v="2"/>
    <x v="0"/>
    <x v="2"/>
  </r>
  <r>
    <n v="51"/>
    <x v="1"/>
    <s v="Travel_Frequently"/>
    <n v="237"/>
    <x v="0"/>
    <n v="9"/>
    <n v="3"/>
    <s v="Life Sciences"/>
    <n v="1282"/>
    <n v="4"/>
    <x v="1"/>
    <n v="83"/>
    <n v="3"/>
    <n v="5"/>
    <x v="5"/>
    <n v="2"/>
    <x v="2"/>
    <n v="19847"/>
    <n v="4"/>
    <x v="0"/>
    <n v="24"/>
    <n v="4"/>
    <n v="1"/>
    <n v="1"/>
    <n v="31"/>
    <n v="5"/>
    <n v="2"/>
    <n v="29"/>
    <n v="10"/>
    <n v="11"/>
    <n v="10"/>
    <x v="1"/>
    <x v="0"/>
    <x v="3"/>
    <x v="2"/>
    <x v="0"/>
    <x v="4"/>
    <x v="1"/>
    <x v="0"/>
    <s v="Low"/>
    <x v="2"/>
    <x v="1"/>
    <x v="3"/>
    <x v="3"/>
  </r>
  <r>
    <n v="59"/>
    <x v="1"/>
    <s v="Travel_Rarely"/>
    <n v="1429"/>
    <x v="1"/>
    <n v="18"/>
    <n v="4"/>
    <s v="Medical"/>
    <n v="1283"/>
    <n v="4"/>
    <x v="1"/>
    <n v="67"/>
    <n v="3"/>
    <n v="3"/>
    <x v="3"/>
    <n v="4"/>
    <x v="0"/>
    <n v="10512"/>
    <n v="6"/>
    <x v="1"/>
    <n v="12"/>
    <n v="3"/>
    <n v="4"/>
    <n v="0"/>
    <n v="25"/>
    <n v="6"/>
    <n v="2"/>
    <n v="9"/>
    <n v="7"/>
    <n v="5"/>
    <n v="4"/>
    <x v="1"/>
    <x v="1"/>
    <x v="2"/>
    <x v="2"/>
    <x v="0"/>
    <x v="2"/>
    <x v="0"/>
    <x v="1"/>
    <s v="No Options"/>
    <x v="2"/>
    <x v="3"/>
    <x v="2"/>
    <x v="0"/>
  </r>
  <r>
    <n v="34"/>
    <x v="1"/>
    <s v="Travel_Frequently"/>
    <n v="135"/>
    <x v="1"/>
    <n v="19"/>
    <n v="3"/>
    <s v="Medical"/>
    <n v="1285"/>
    <n v="3"/>
    <x v="0"/>
    <n v="46"/>
    <n v="3"/>
    <n v="2"/>
    <x v="2"/>
    <n v="2"/>
    <x v="2"/>
    <n v="4444"/>
    <n v="4"/>
    <x v="1"/>
    <n v="13"/>
    <n v="3"/>
    <n v="3"/>
    <n v="2"/>
    <n v="15"/>
    <n v="2"/>
    <n v="4"/>
    <n v="11"/>
    <n v="8"/>
    <n v="5"/>
    <n v="10"/>
    <x v="1"/>
    <x v="1"/>
    <x v="3"/>
    <x v="1"/>
    <x v="0"/>
    <x v="0"/>
    <x v="1"/>
    <x v="3"/>
    <s v="Medium"/>
    <x v="3"/>
    <x v="2"/>
    <x v="0"/>
    <x v="4"/>
  </r>
  <r>
    <n v="28"/>
    <x v="1"/>
    <s v="Travel_Frequently"/>
    <n v="791"/>
    <x v="1"/>
    <n v="1"/>
    <n v="4"/>
    <s v="Medical"/>
    <n v="1286"/>
    <n v="4"/>
    <x v="1"/>
    <n v="44"/>
    <n v="3"/>
    <n v="1"/>
    <x v="2"/>
    <n v="3"/>
    <x v="0"/>
    <n v="2154"/>
    <n v="0"/>
    <x v="0"/>
    <n v="11"/>
    <n v="3"/>
    <n v="3"/>
    <n v="0"/>
    <n v="5"/>
    <n v="2"/>
    <n v="2"/>
    <n v="4"/>
    <n v="2"/>
    <n v="0"/>
    <n v="2"/>
    <x v="1"/>
    <x v="0"/>
    <x v="2"/>
    <x v="2"/>
    <x v="0"/>
    <x v="1"/>
    <x v="2"/>
    <x v="3"/>
    <s v="No Options"/>
    <x v="2"/>
    <x v="2"/>
    <x v="1"/>
    <x v="2"/>
  </r>
  <r>
    <n v="44"/>
    <x v="1"/>
    <s v="Travel_Rarely"/>
    <n v="1199"/>
    <x v="1"/>
    <n v="4"/>
    <n v="2"/>
    <s v="Life Sciences"/>
    <n v="1288"/>
    <n v="3"/>
    <x v="1"/>
    <n v="92"/>
    <n v="4"/>
    <n v="5"/>
    <x v="5"/>
    <n v="1"/>
    <x v="2"/>
    <n v="19190"/>
    <n v="1"/>
    <x v="1"/>
    <n v="14"/>
    <n v="3"/>
    <n v="4"/>
    <n v="2"/>
    <n v="26"/>
    <n v="4"/>
    <n v="2"/>
    <n v="25"/>
    <n v="9"/>
    <n v="14"/>
    <n v="13"/>
    <x v="1"/>
    <x v="1"/>
    <x v="0"/>
    <x v="1"/>
    <x v="2"/>
    <x v="4"/>
    <x v="3"/>
    <x v="1"/>
    <s v="Medium"/>
    <x v="2"/>
    <x v="0"/>
    <x v="3"/>
    <x v="3"/>
  </r>
  <r>
    <n v="34"/>
    <x v="1"/>
    <s v="Travel_Frequently"/>
    <n v="648"/>
    <x v="2"/>
    <n v="11"/>
    <n v="3"/>
    <s v="Life Sciences"/>
    <n v="1289"/>
    <n v="3"/>
    <x v="1"/>
    <n v="56"/>
    <n v="2"/>
    <n v="2"/>
    <x v="8"/>
    <n v="2"/>
    <x v="1"/>
    <n v="4490"/>
    <n v="4"/>
    <x v="1"/>
    <n v="11"/>
    <n v="3"/>
    <n v="4"/>
    <n v="2"/>
    <n v="14"/>
    <n v="5"/>
    <n v="4"/>
    <n v="10"/>
    <n v="9"/>
    <n v="1"/>
    <n v="8"/>
    <x v="1"/>
    <x v="1"/>
    <x v="3"/>
    <x v="1"/>
    <x v="1"/>
    <x v="0"/>
    <x v="1"/>
    <x v="1"/>
    <s v="Medium"/>
    <x v="3"/>
    <x v="2"/>
    <x v="0"/>
    <x v="0"/>
  </r>
  <r>
    <n v="35"/>
    <x v="1"/>
    <s v="Travel_Rarely"/>
    <n v="735"/>
    <x v="1"/>
    <n v="6"/>
    <n v="1"/>
    <s v="Life Sciences"/>
    <n v="1291"/>
    <n v="3"/>
    <x v="1"/>
    <n v="66"/>
    <n v="3"/>
    <n v="1"/>
    <x v="1"/>
    <n v="3"/>
    <x v="1"/>
    <n v="3506"/>
    <n v="0"/>
    <x v="0"/>
    <n v="14"/>
    <n v="3"/>
    <n v="4"/>
    <n v="0"/>
    <n v="4"/>
    <n v="3"/>
    <n v="3"/>
    <n v="3"/>
    <n v="2"/>
    <n v="2"/>
    <n v="2"/>
    <x v="1"/>
    <x v="0"/>
    <x v="1"/>
    <x v="1"/>
    <x v="0"/>
    <x v="1"/>
    <x v="2"/>
    <x v="1"/>
    <s v="No Options"/>
    <x v="1"/>
    <x v="0"/>
    <x v="0"/>
    <x v="2"/>
  </r>
  <r>
    <n v="42"/>
    <x v="1"/>
    <s v="Travel_Rarely"/>
    <n v="603"/>
    <x v="1"/>
    <n v="7"/>
    <n v="4"/>
    <s v="Medical"/>
    <n v="1292"/>
    <n v="2"/>
    <x v="0"/>
    <n v="78"/>
    <n v="4"/>
    <n v="2"/>
    <x v="1"/>
    <n v="2"/>
    <x v="1"/>
    <n v="2372"/>
    <n v="6"/>
    <x v="0"/>
    <n v="16"/>
    <n v="3"/>
    <n v="4"/>
    <n v="0"/>
    <n v="18"/>
    <n v="2"/>
    <n v="3"/>
    <n v="1"/>
    <n v="0"/>
    <n v="0"/>
    <n v="0"/>
    <x v="1"/>
    <x v="0"/>
    <x v="2"/>
    <x v="0"/>
    <x v="2"/>
    <x v="0"/>
    <x v="1"/>
    <x v="1"/>
    <s v="No Options"/>
    <x v="1"/>
    <x v="0"/>
    <x v="1"/>
    <x v="1"/>
  </r>
  <r>
    <n v="43"/>
    <x v="1"/>
    <s v="Travel_Rarely"/>
    <n v="531"/>
    <x v="0"/>
    <n v="4"/>
    <n v="4"/>
    <s v="Marketing"/>
    <n v="1293"/>
    <n v="4"/>
    <x v="0"/>
    <n v="56"/>
    <n v="2"/>
    <n v="3"/>
    <x v="0"/>
    <n v="4"/>
    <x v="0"/>
    <n v="10231"/>
    <n v="3"/>
    <x v="1"/>
    <n v="14"/>
    <n v="3"/>
    <n v="4"/>
    <n v="0"/>
    <n v="23"/>
    <n v="3"/>
    <n v="4"/>
    <n v="21"/>
    <n v="7"/>
    <n v="15"/>
    <n v="17"/>
    <x v="1"/>
    <x v="1"/>
    <x v="2"/>
    <x v="2"/>
    <x v="1"/>
    <x v="2"/>
    <x v="0"/>
    <x v="1"/>
    <s v="No Options"/>
    <x v="3"/>
    <x v="0"/>
    <x v="2"/>
    <x v="3"/>
  </r>
  <r>
    <n v="36"/>
    <x v="1"/>
    <s v="Travel_Rarely"/>
    <n v="429"/>
    <x v="1"/>
    <n v="2"/>
    <n v="4"/>
    <s v="Life Sciences"/>
    <n v="1294"/>
    <n v="3"/>
    <x v="0"/>
    <n v="53"/>
    <n v="3"/>
    <n v="2"/>
    <x v="3"/>
    <n v="2"/>
    <x v="0"/>
    <n v="5410"/>
    <n v="9"/>
    <x v="0"/>
    <n v="11"/>
    <n v="3"/>
    <n v="4"/>
    <n v="0"/>
    <n v="18"/>
    <n v="2"/>
    <n v="3"/>
    <n v="16"/>
    <n v="14"/>
    <n v="5"/>
    <n v="12"/>
    <x v="1"/>
    <x v="0"/>
    <x v="2"/>
    <x v="1"/>
    <x v="0"/>
    <x v="0"/>
    <x v="1"/>
    <x v="1"/>
    <s v="No Options"/>
    <x v="1"/>
    <x v="0"/>
    <x v="0"/>
    <x v="4"/>
  </r>
  <r>
    <n v="44"/>
    <x v="0"/>
    <s v="Travel_Rarely"/>
    <n v="621"/>
    <x v="1"/>
    <n v="15"/>
    <n v="3"/>
    <s v="Medical"/>
    <n v="1295"/>
    <n v="1"/>
    <x v="0"/>
    <n v="73"/>
    <n v="3"/>
    <n v="3"/>
    <x v="4"/>
    <n v="4"/>
    <x v="1"/>
    <n v="7978"/>
    <n v="1"/>
    <x v="1"/>
    <n v="11"/>
    <n v="3"/>
    <n v="4"/>
    <n v="1"/>
    <n v="10"/>
    <n v="2"/>
    <n v="3"/>
    <n v="10"/>
    <n v="7"/>
    <n v="0"/>
    <n v="5"/>
    <x v="0"/>
    <x v="1"/>
    <x v="3"/>
    <x v="3"/>
    <x v="0"/>
    <x v="2"/>
    <x v="0"/>
    <x v="1"/>
    <s v="Low"/>
    <x v="1"/>
    <x v="0"/>
    <x v="2"/>
    <x v="0"/>
  </r>
  <r>
    <n v="28"/>
    <x v="1"/>
    <s v="Travel_Frequently"/>
    <n v="193"/>
    <x v="1"/>
    <n v="2"/>
    <n v="3"/>
    <s v="Life Sciences"/>
    <n v="1296"/>
    <n v="4"/>
    <x v="1"/>
    <n v="52"/>
    <n v="2"/>
    <n v="1"/>
    <x v="2"/>
    <n v="4"/>
    <x v="1"/>
    <n v="3867"/>
    <n v="1"/>
    <x v="0"/>
    <n v="12"/>
    <n v="3"/>
    <n v="2"/>
    <n v="1"/>
    <n v="2"/>
    <n v="2"/>
    <n v="3"/>
    <n v="2"/>
    <n v="2"/>
    <n v="2"/>
    <n v="2"/>
    <x v="1"/>
    <x v="0"/>
    <x v="3"/>
    <x v="2"/>
    <x v="1"/>
    <x v="1"/>
    <x v="0"/>
    <x v="2"/>
    <s v="Low"/>
    <x v="1"/>
    <x v="2"/>
    <x v="0"/>
    <x v="1"/>
  </r>
  <r>
    <n v="51"/>
    <x v="1"/>
    <s v="Travel_Frequently"/>
    <n v="968"/>
    <x v="1"/>
    <n v="6"/>
    <n v="2"/>
    <s v="Medical"/>
    <n v="1297"/>
    <n v="2"/>
    <x v="0"/>
    <n v="40"/>
    <n v="2"/>
    <n v="1"/>
    <x v="2"/>
    <n v="3"/>
    <x v="0"/>
    <n v="2838"/>
    <n v="0"/>
    <x v="1"/>
    <n v="14"/>
    <n v="3"/>
    <n v="2"/>
    <n v="0"/>
    <n v="8"/>
    <n v="6"/>
    <n v="2"/>
    <n v="7"/>
    <n v="0"/>
    <n v="7"/>
    <n v="7"/>
    <x v="1"/>
    <x v="1"/>
    <x v="0"/>
    <x v="0"/>
    <x v="1"/>
    <x v="1"/>
    <x v="2"/>
    <x v="2"/>
    <s v="No Options"/>
    <x v="2"/>
    <x v="1"/>
    <x v="1"/>
    <x v="0"/>
  </r>
  <r>
    <n v="30"/>
    <x v="1"/>
    <s v="Non-Travel"/>
    <n v="879"/>
    <x v="1"/>
    <n v="9"/>
    <n v="2"/>
    <s v="Medical"/>
    <n v="1298"/>
    <n v="3"/>
    <x v="0"/>
    <n v="72"/>
    <n v="3"/>
    <n v="2"/>
    <x v="3"/>
    <n v="3"/>
    <x v="0"/>
    <n v="4695"/>
    <n v="7"/>
    <x v="0"/>
    <n v="18"/>
    <n v="3"/>
    <n v="3"/>
    <n v="0"/>
    <n v="10"/>
    <n v="3"/>
    <n v="3"/>
    <n v="8"/>
    <n v="4"/>
    <n v="1"/>
    <n v="7"/>
    <x v="1"/>
    <x v="0"/>
    <x v="0"/>
    <x v="1"/>
    <x v="0"/>
    <x v="0"/>
    <x v="2"/>
    <x v="3"/>
    <s v="No Options"/>
    <x v="1"/>
    <x v="2"/>
    <x v="0"/>
    <x v="0"/>
  </r>
  <r>
    <n v="29"/>
    <x v="0"/>
    <s v="Travel_Rarely"/>
    <n v="806"/>
    <x v="1"/>
    <n v="7"/>
    <n v="3"/>
    <s v="Technical Degree"/>
    <n v="1299"/>
    <n v="2"/>
    <x v="0"/>
    <n v="39"/>
    <n v="3"/>
    <n v="1"/>
    <x v="2"/>
    <n v="3"/>
    <x v="2"/>
    <n v="3339"/>
    <n v="3"/>
    <x v="0"/>
    <n v="13"/>
    <n v="3"/>
    <n v="1"/>
    <n v="2"/>
    <n v="10"/>
    <n v="2"/>
    <n v="3"/>
    <n v="7"/>
    <n v="7"/>
    <n v="7"/>
    <n v="7"/>
    <x v="0"/>
    <x v="0"/>
    <x v="3"/>
    <x v="0"/>
    <x v="0"/>
    <x v="1"/>
    <x v="2"/>
    <x v="0"/>
    <s v="Medium"/>
    <x v="1"/>
    <x v="2"/>
    <x v="0"/>
    <x v="0"/>
  </r>
  <r>
    <n v="28"/>
    <x v="1"/>
    <s v="Travel_Rarely"/>
    <n v="640"/>
    <x v="1"/>
    <n v="1"/>
    <n v="3"/>
    <s v="Technical Degree"/>
    <n v="1301"/>
    <n v="4"/>
    <x v="1"/>
    <n v="84"/>
    <n v="3"/>
    <n v="1"/>
    <x v="1"/>
    <n v="1"/>
    <x v="0"/>
    <n v="2080"/>
    <n v="2"/>
    <x v="1"/>
    <n v="11"/>
    <n v="3"/>
    <n v="2"/>
    <n v="0"/>
    <n v="5"/>
    <n v="2"/>
    <n v="2"/>
    <n v="3"/>
    <n v="2"/>
    <n v="1"/>
    <n v="2"/>
    <x v="1"/>
    <x v="1"/>
    <x v="3"/>
    <x v="2"/>
    <x v="0"/>
    <x v="1"/>
    <x v="3"/>
    <x v="2"/>
    <s v="No Options"/>
    <x v="2"/>
    <x v="2"/>
    <x v="1"/>
    <x v="2"/>
  </r>
  <r>
    <n v="25"/>
    <x v="1"/>
    <s v="Travel_Rarely"/>
    <n v="266"/>
    <x v="1"/>
    <n v="1"/>
    <n v="3"/>
    <s v="Medical"/>
    <n v="1303"/>
    <n v="4"/>
    <x v="0"/>
    <n v="40"/>
    <n v="3"/>
    <n v="1"/>
    <x v="1"/>
    <n v="2"/>
    <x v="0"/>
    <n v="2096"/>
    <n v="1"/>
    <x v="1"/>
    <n v="18"/>
    <n v="3"/>
    <n v="4"/>
    <n v="0"/>
    <n v="2"/>
    <n v="3"/>
    <n v="2"/>
    <n v="2"/>
    <n v="2"/>
    <n v="2"/>
    <n v="1"/>
    <x v="1"/>
    <x v="1"/>
    <x v="3"/>
    <x v="2"/>
    <x v="0"/>
    <x v="1"/>
    <x v="1"/>
    <x v="1"/>
    <s v="No Options"/>
    <x v="2"/>
    <x v="2"/>
    <x v="1"/>
    <x v="1"/>
  </r>
  <r>
    <n v="32"/>
    <x v="1"/>
    <s v="Travel_Rarely"/>
    <n v="604"/>
    <x v="0"/>
    <n v="8"/>
    <n v="3"/>
    <s v="Medical"/>
    <n v="1304"/>
    <n v="3"/>
    <x v="1"/>
    <n v="56"/>
    <n v="4"/>
    <n v="2"/>
    <x v="0"/>
    <n v="4"/>
    <x v="1"/>
    <n v="6209"/>
    <n v="1"/>
    <x v="1"/>
    <n v="15"/>
    <n v="3"/>
    <n v="3"/>
    <n v="2"/>
    <n v="10"/>
    <n v="4"/>
    <n v="4"/>
    <n v="10"/>
    <n v="7"/>
    <n v="0"/>
    <n v="8"/>
    <x v="1"/>
    <x v="1"/>
    <x v="3"/>
    <x v="1"/>
    <x v="2"/>
    <x v="0"/>
    <x v="0"/>
    <x v="3"/>
    <s v="Medium"/>
    <x v="3"/>
    <x v="2"/>
    <x v="0"/>
    <x v="0"/>
  </r>
  <r>
    <n v="45"/>
    <x v="1"/>
    <s v="Travel_Frequently"/>
    <n v="364"/>
    <x v="1"/>
    <n v="25"/>
    <n v="3"/>
    <s v="Medical"/>
    <n v="1306"/>
    <n v="2"/>
    <x v="0"/>
    <n v="83"/>
    <n v="3"/>
    <n v="5"/>
    <x v="5"/>
    <n v="2"/>
    <x v="0"/>
    <n v="18061"/>
    <n v="3"/>
    <x v="1"/>
    <n v="22"/>
    <n v="4"/>
    <n v="3"/>
    <n v="0"/>
    <n v="22"/>
    <n v="4"/>
    <n v="3"/>
    <n v="0"/>
    <n v="0"/>
    <n v="0"/>
    <n v="0"/>
    <x v="1"/>
    <x v="1"/>
    <x v="3"/>
    <x v="0"/>
    <x v="0"/>
    <x v="4"/>
    <x v="1"/>
    <x v="3"/>
    <s v="No Options"/>
    <x v="1"/>
    <x v="1"/>
    <x v="3"/>
    <x v="1"/>
  </r>
  <r>
    <n v="39"/>
    <x v="1"/>
    <s v="Travel_Rarely"/>
    <n v="412"/>
    <x v="1"/>
    <n v="13"/>
    <n v="4"/>
    <s v="Medical"/>
    <n v="1307"/>
    <n v="3"/>
    <x v="0"/>
    <n v="94"/>
    <n v="2"/>
    <n v="4"/>
    <x v="5"/>
    <n v="2"/>
    <x v="2"/>
    <n v="17123"/>
    <n v="6"/>
    <x v="0"/>
    <n v="13"/>
    <n v="3"/>
    <n v="4"/>
    <n v="2"/>
    <n v="21"/>
    <n v="4"/>
    <n v="3"/>
    <n v="19"/>
    <n v="9"/>
    <n v="15"/>
    <n v="2"/>
    <x v="1"/>
    <x v="0"/>
    <x v="2"/>
    <x v="1"/>
    <x v="1"/>
    <x v="3"/>
    <x v="1"/>
    <x v="1"/>
    <s v="Medium"/>
    <x v="1"/>
    <x v="0"/>
    <x v="3"/>
    <x v="4"/>
  </r>
  <r>
    <n v="58"/>
    <x v="1"/>
    <s v="Travel_Rarely"/>
    <n v="848"/>
    <x v="1"/>
    <n v="23"/>
    <n v="4"/>
    <s v="Life Sciences"/>
    <n v="1308"/>
    <n v="1"/>
    <x v="1"/>
    <n v="88"/>
    <n v="3"/>
    <n v="1"/>
    <x v="1"/>
    <n v="3"/>
    <x v="2"/>
    <n v="2372"/>
    <n v="1"/>
    <x v="1"/>
    <n v="12"/>
    <n v="3"/>
    <n v="4"/>
    <n v="2"/>
    <n v="2"/>
    <n v="3"/>
    <n v="3"/>
    <n v="2"/>
    <n v="2"/>
    <n v="2"/>
    <n v="2"/>
    <x v="1"/>
    <x v="1"/>
    <x v="2"/>
    <x v="3"/>
    <x v="0"/>
    <x v="1"/>
    <x v="2"/>
    <x v="1"/>
    <s v="Medium"/>
    <x v="1"/>
    <x v="3"/>
    <x v="1"/>
    <x v="1"/>
  </r>
  <r>
    <n v="32"/>
    <x v="0"/>
    <s v="Travel_Rarely"/>
    <n v="1089"/>
    <x v="1"/>
    <n v="7"/>
    <n v="2"/>
    <s v="Life Sciences"/>
    <n v="1309"/>
    <n v="4"/>
    <x v="1"/>
    <n v="79"/>
    <n v="3"/>
    <n v="2"/>
    <x v="2"/>
    <n v="3"/>
    <x v="1"/>
    <n v="4883"/>
    <n v="1"/>
    <x v="1"/>
    <n v="18"/>
    <n v="3"/>
    <n v="1"/>
    <n v="1"/>
    <n v="10"/>
    <n v="3"/>
    <n v="3"/>
    <n v="10"/>
    <n v="4"/>
    <n v="1"/>
    <n v="1"/>
    <x v="0"/>
    <x v="1"/>
    <x v="0"/>
    <x v="2"/>
    <x v="0"/>
    <x v="0"/>
    <x v="2"/>
    <x v="0"/>
    <s v="Low"/>
    <x v="1"/>
    <x v="2"/>
    <x v="0"/>
    <x v="0"/>
  </r>
  <r>
    <n v="39"/>
    <x v="0"/>
    <s v="Travel_Rarely"/>
    <n v="360"/>
    <x v="1"/>
    <n v="23"/>
    <n v="3"/>
    <s v="Medical"/>
    <n v="1310"/>
    <n v="3"/>
    <x v="1"/>
    <n v="93"/>
    <n v="3"/>
    <n v="1"/>
    <x v="1"/>
    <n v="1"/>
    <x v="0"/>
    <n v="3904"/>
    <n v="0"/>
    <x v="1"/>
    <n v="13"/>
    <n v="3"/>
    <n v="1"/>
    <n v="0"/>
    <n v="6"/>
    <n v="2"/>
    <n v="3"/>
    <n v="5"/>
    <n v="2"/>
    <n v="0"/>
    <n v="3"/>
    <x v="0"/>
    <x v="1"/>
    <x v="3"/>
    <x v="1"/>
    <x v="0"/>
    <x v="1"/>
    <x v="3"/>
    <x v="0"/>
    <s v="No Options"/>
    <x v="1"/>
    <x v="0"/>
    <x v="0"/>
    <x v="2"/>
  </r>
  <r>
    <n v="30"/>
    <x v="1"/>
    <s v="Travel_Rarely"/>
    <n v="1138"/>
    <x v="1"/>
    <n v="6"/>
    <n v="3"/>
    <s v="Technical Degree"/>
    <n v="1311"/>
    <n v="1"/>
    <x v="0"/>
    <n v="48"/>
    <n v="2"/>
    <n v="2"/>
    <x v="2"/>
    <n v="4"/>
    <x v="1"/>
    <n v="4627"/>
    <n v="0"/>
    <x v="1"/>
    <n v="12"/>
    <n v="3"/>
    <n v="1"/>
    <n v="1"/>
    <n v="10"/>
    <n v="6"/>
    <n v="3"/>
    <n v="9"/>
    <n v="2"/>
    <n v="6"/>
    <n v="7"/>
    <x v="1"/>
    <x v="1"/>
    <x v="3"/>
    <x v="3"/>
    <x v="1"/>
    <x v="0"/>
    <x v="0"/>
    <x v="0"/>
    <s v="Low"/>
    <x v="1"/>
    <x v="2"/>
    <x v="0"/>
    <x v="0"/>
  </r>
  <r>
    <n v="36"/>
    <x v="1"/>
    <s v="Travel_Rarely"/>
    <n v="325"/>
    <x v="1"/>
    <n v="10"/>
    <n v="4"/>
    <s v="Technical Degree"/>
    <n v="1312"/>
    <n v="4"/>
    <x v="0"/>
    <n v="63"/>
    <n v="3"/>
    <n v="3"/>
    <x v="4"/>
    <n v="3"/>
    <x v="1"/>
    <n v="7094"/>
    <n v="3"/>
    <x v="1"/>
    <n v="12"/>
    <n v="3"/>
    <n v="1"/>
    <n v="0"/>
    <n v="10"/>
    <n v="0"/>
    <n v="3"/>
    <n v="7"/>
    <n v="7"/>
    <n v="1"/>
    <n v="7"/>
    <x v="1"/>
    <x v="1"/>
    <x v="2"/>
    <x v="2"/>
    <x v="0"/>
    <x v="2"/>
    <x v="2"/>
    <x v="0"/>
    <s v="No Options"/>
    <x v="1"/>
    <x v="0"/>
    <x v="2"/>
    <x v="0"/>
  </r>
  <r>
    <n v="46"/>
    <x v="1"/>
    <s v="Travel_Rarely"/>
    <n v="991"/>
    <x v="2"/>
    <n v="1"/>
    <n v="2"/>
    <s v="Life Sciences"/>
    <n v="1314"/>
    <n v="4"/>
    <x v="0"/>
    <n v="44"/>
    <n v="3"/>
    <n v="1"/>
    <x v="8"/>
    <n v="1"/>
    <x v="0"/>
    <n v="3423"/>
    <n v="6"/>
    <x v="1"/>
    <n v="12"/>
    <n v="3"/>
    <n v="3"/>
    <n v="0"/>
    <n v="10"/>
    <n v="3"/>
    <n v="4"/>
    <n v="7"/>
    <n v="6"/>
    <n v="5"/>
    <n v="7"/>
    <x v="1"/>
    <x v="1"/>
    <x v="0"/>
    <x v="2"/>
    <x v="0"/>
    <x v="1"/>
    <x v="3"/>
    <x v="3"/>
    <s v="No Options"/>
    <x v="3"/>
    <x v="1"/>
    <x v="0"/>
    <x v="0"/>
  </r>
  <r>
    <n v="28"/>
    <x v="1"/>
    <s v="Non-Travel"/>
    <n v="1476"/>
    <x v="1"/>
    <n v="1"/>
    <n v="3"/>
    <s v="Life Sciences"/>
    <n v="1315"/>
    <n v="3"/>
    <x v="0"/>
    <n v="55"/>
    <n v="1"/>
    <n v="2"/>
    <x v="2"/>
    <n v="4"/>
    <x v="1"/>
    <n v="6674"/>
    <n v="0"/>
    <x v="1"/>
    <n v="11"/>
    <n v="3"/>
    <n v="1"/>
    <n v="3"/>
    <n v="10"/>
    <n v="6"/>
    <n v="3"/>
    <n v="9"/>
    <n v="8"/>
    <n v="7"/>
    <n v="5"/>
    <x v="1"/>
    <x v="1"/>
    <x v="3"/>
    <x v="1"/>
    <x v="3"/>
    <x v="0"/>
    <x v="0"/>
    <x v="0"/>
    <s v="High"/>
    <x v="1"/>
    <x v="2"/>
    <x v="0"/>
    <x v="0"/>
  </r>
  <r>
    <n v="50"/>
    <x v="1"/>
    <s v="Travel_Rarely"/>
    <n v="1322"/>
    <x v="1"/>
    <n v="28"/>
    <n v="3"/>
    <s v="Life Sciences"/>
    <n v="1317"/>
    <n v="4"/>
    <x v="0"/>
    <n v="43"/>
    <n v="3"/>
    <n v="4"/>
    <x v="7"/>
    <n v="1"/>
    <x v="1"/>
    <n v="16880"/>
    <n v="4"/>
    <x v="0"/>
    <n v="11"/>
    <n v="3"/>
    <n v="2"/>
    <n v="0"/>
    <n v="25"/>
    <n v="2"/>
    <n v="3"/>
    <n v="3"/>
    <n v="2"/>
    <n v="1"/>
    <n v="2"/>
    <x v="1"/>
    <x v="0"/>
    <x v="3"/>
    <x v="2"/>
    <x v="0"/>
    <x v="3"/>
    <x v="3"/>
    <x v="2"/>
    <s v="No Options"/>
    <x v="1"/>
    <x v="1"/>
    <x v="3"/>
    <x v="2"/>
  </r>
  <r>
    <n v="40"/>
    <x v="0"/>
    <s v="Travel_Rarely"/>
    <n v="299"/>
    <x v="0"/>
    <n v="25"/>
    <n v="4"/>
    <s v="Marketing"/>
    <n v="1318"/>
    <n v="4"/>
    <x v="1"/>
    <n v="57"/>
    <n v="2"/>
    <n v="3"/>
    <x v="0"/>
    <n v="2"/>
    <x v="0"/>
    <n v="9094"/>
    <n v="2"/>
    <x v="0"/>
    <n v="12"/>
    <n v="3"/>
    <n v="3"/>
    <n v="0"/>
    <n v="9"/>
    <n v="2"/>
    <n v="3"/>
    <n v="5"/>
    <n v="4"/>
    <n v="1"/>
    <n v="0"/>
    <x v="0"/>
    <x v="0"/>
    <x v="2"/>
    <x v="2"/>
    <x v="1"/>
    <x v="2"/>
    <x v="1"/>
    <x v="3"/>
    <s v="No Options"/>
    <x v="1"/>
    <x v="0"/>
    <x v="2"/>
    <x v="2"/>
  </r>
  <r>
    <n v="52"/>
    <x v="0"/>
    <s v="Travel_Rarely"/>
    <n v="1030"/>
    <x v="0"/>
    <n v="5"/>
    <n v="3"/>
    <s v="Life Sciences"/>
    <n v="1319"/>
    <n v="2"/>
    <x v="1"/>
    <n v="64"/>
    <n v="3"/>
    <n v="3"/>
    <x v="0"/>
    <n v="2"/>
    <x v="0"/>
    <n v="8446"/>
    <n v="9"/>
    <x v="0"/>
    <n v="19"/>
    <n v="3"/>
    <n v="3"/>
    <n v="0"/>
    <n v="10"/>
    <n v="2"/>
    <n v="2"/>
    <n v="8"/>
    <n v="7"/>
    <n v="7"/>
    <n v="7"/>
    <x v="0"/>
    <x v="0"/>
    <x v="3"/>
    <x v="0"/>
    <x v="0"/>
    <x v="2"/>
    <x v="1"/>
    <x v="3"/>
    <s v="No Options"/>
    <x v="2"/>
    <x v="1"/>
    <x v="2"/>
    <x v="0"/>
  </r>
  <r>
    <n v="30"/>
    <x v="1"/>
    <s v="Travel_Rarely"/>
    <n v="634"/>
    <x v="1"/>
    <n v="17"/>
    <n v="4"/>
    <s v="Medical"/>
    <n v="1321"/>
    <n v="2"/>
    <x v="0"/>
    <n v="95"/>
    <n v="3"/>
    <n v="3"/>
    <x v="5"/>
    <n v="1"/>
    <x v="1"/>
    <n v="11916"/>
    <n v="1"/>
    <x v="0"/>
    <n v="23"/>
    <n v="4"/>
    <n v="4"/>
    <n v="2"/>
    <n v="9"/>
    <n v="2"/>
    <n v="3"/>
    <n v="9"/>
    <n v="1"/>
    <n v="0"/>
    <n v="8"/>
    <x v="1"/>
    <x v="0"/>
    <x v="2"/>
    <x v="0"/>
    <x v="0"/>
    <x v="2"/>
    <x v="3"/>
    <x v="1"/>
    <s v="Medium"/>
    <x v="1"/>
    <x v="2"/>
    <x v="2"/>
    <x v="0"/>
  </r>
  <r>
    <n v="39"/>
    <x v="1"/>
    <s v="Travel_Rarely"/>
    <n v="524"/>
    <x v="1"/>
    <n v="18"/>
    <n v="2"/>
    <s v="Life Sciences"/>
    <n v="1322"/>
    <n v="1"/>
    <x v="1"/>
    <n v="32"/>
    <n v="3"/>
    <n v="2"/>
    <x v="3"/>
    <n v="3"/>
    <x v="0"/>
    <n v="4534"/>
    <n v="0"/>
    <x v="1"/>
    <n v="11"/>
    <n v="3"/>
    <n v="1"/>
    <n v="0"/>
    <n v="9"/>
    <n v="6"/>
    <n v="3"/>
    <n v="8"/>
    <n v="7"/>
    <n v="1"/>
    <n v="7"/>
    <x v="1"/>
    <x v="1"/>
    <x v="0"/>
    <x v="3"/>
    <x v="0"/>
    <x v="0"/>
    <x v="2"/>
    <x v="0"/>
    <s v="No Options"/>
    <x v="1"/>
    <x v="0"/>
    <x v="0"/>
    <x v="0"/>
  </r>
  <r>
    <n v="31"/>
    <x v="1"/>
    <s v="Non-Travel"/>
    <n v="587"/>
    <x v="0"/>
    <n v="2"/>
    <n v="4"/>
    <s v="Life Sciences"/>
    <n v="1324"/>
    <n v="4"/>
    <x v="0"/>
    <n v="57"/>
    <n v="3"/>
    <n v="3"/>
    <x v="0"/>
    <n v="3"/>
    <x v="2"/>
    <n v="9852"/>
    <n v="1"/>
    <x v="0"/>
    <n v="19"/>
    <n v="3"/>
    <n v="1"/>
    <n v="1"/>
    <n v="10"/>
    <n v="5"/>
    <n v="2"/>
    <n v="10"/>
    <n v="8"/>
    <n v="9"/>
    <n v="6"/>
    <x v="1"/>
    <x v="0"/>
    <x v="2"/>
    <x v="2"/>
    <x v="0"/>
    <x v="2"/>
    <x v="2"/>
    <x v="0"/>
    <s v="Low"/>
    <x v="2"/>
    <x v="2"/>
    <x v="2"/>
    <x v="0"/>
  </r>
  <r>
    <n v="41"/>
    <x v="1"/>
    <s v="Non-Travel"/>
    <n v="256"/>
    <x v="0"/>
    <n v="10"/>
    <n v="2"/>
    <s v="Medical"/>
    <n v="1329"/>
    <n v="3"/>
    <x v="1"/>
    <n v="40"/>
    <n v="1"/>
    <n v="2"/>
    <x v="0"/>
    <n v="2"/>
    <x v="0"/>
    <n v="6151"/>
    <n v="1"/>
    <x v="1"/>
    <n v="13"/>
    <n v="3"/>
    <n v="1"/>
    <n v="0"/>
    <n v="19"/>
    <n v="4"/>
    <n v="3"/>
    <n v="19"/>
    <n v="2"/>
    <n v="11"/>
    <n v="9"/>
    <x v="1"/>
    <x v="1"/>
    <x v="0"/>
    <x v="1"/>
    <x v="3"/>
    <x v="0"/>
    <x v="1"/>
    <x v="0"/>
    <s v="No Options"/>
    <x v="1"/>
    <x v="0"/>
    <x v="0"/>
    <x v="4"/>
  </r>
  <r>
    <n v="31"/>
    <x v="0"/>
    <s v="Travel_Frequently"/>
    <n v="1060"/>
    <x v="0"/>
    <n v="1"/>
    <n v="3"/>
    <s v="Life Sciences"/>
    <n v="1331"/>
    <n v="4"/>
    <x v="0"/>
    <n v="54"/>
    <n v="3"/>
    <n v="1"/>
    <x v="6"/>
    <n v="2"/>
    <x v="0"/>
    <n v="2302"/>
    <n v="1"/>
    <x v="0"/>
    <n v="11"/>
    <n v="3"/>
    <n v="1"/>
    <n v="0"/>
    <n v="3"/>
    <n v="2"/>
    <n v="4"/>
    <n v="3"/>
    <n v="2"/>
    <n v="2"/>
    <n v="2"/>
    <x v="0"/>
    <x v="0"/>
    <x v="3"/>
    <x v="2"/>
    <x v="0"/>
    <x v="1"/>
    <x v="1"/>
    <x v="0"/>
    <s v="No Options"/>
    <x v="3"/>
    <x v="2"/>
    <x v="1"/>
    <x v="2"/>
  </r>
  <r>
    <n v="44"/>
    <x v="0"/>
    <s v="Travel_Rarely"/>
    <n v="935"/>
    <x v="1"/>
    <n v="3"/>
    <n v="3"/>
    <s v="Life Sciences"/>
    <n v="1333"/>
    <n v="1"/>
    <x v="1"/>
    <n v="89"/>
    <n v="3"/>
    <n v="1"/>
    <x v="2"/>
    <n v="1"/>
    <x v="1"/>
    <n v="2362"/>
    <n v="4"/>
    <x v="1"/>
    <n v="12"/>
    <n v="3"/>
    <n v="3"/>
    <n v="0"/>
    <n v="10"/>
    <n v="4"/>
    <n v="4"/>
    <n v="3"/>
    <n v="2"/>
    <n v="1"/>
    <n v="2"/>
    <x v="0"/>
    <x v="1"/>
    <x v="3"/>
    <x v="3"/>
    <x v="0"/>
    <x v="1"/>
    <x v="3"/>
    <x v="3"/>
    <s v="No Options"/>
    <x v="3"/>
    <x v="0"/>
    <x v="1"/>
    <x v="2"/>
  </r>
  <r>
    <n v="42"/>
    <x v="1"/>
    <s v="Non-Travel"/>
    <n v="495"/>
    <x v="1"/>
    <n v="2"/>
    <n v="1"/>
    <s v="Life Sciences"/>
    <n v="1334"/>
    <n v="3"/>
    <x v="1"/>
    <n v="37"/>
    <n v="3"/>
    <n v="4"/>
    <x v="5"/>
    <n v="3"/>
    <x v="1"/>
    <n v="17861"/>
    <n v="0"/>
    <x v="0"/>
    <n v="13"/>
    <n v="3"/>
    <n v="4"/>
    <n v="0"/>
    <n v="21"/>
    <n v="3"/>
    <n v="2"/>
    <n v="20"/>
    <n v="8"/>
    <n v="2"/>
    <n v="10"/>
    <x v="1"/>
    <x v="0"/>
    <x v="1"/>
    <x v="1"/>
    <x v="0"/>
    <x v="3"/>
    <x v="2"/>
    <x v="1"/>
    <s v="No Options"/>
    <x v="2"/>
    <x v="0"/>
    <x v="3"/>
    <x v="4"/>
  </r>
  <r>
    <n v="55"/>
    <x v="1"/>
    <s v="Travel_Rarely"/>
    <n v="282"/>
    <x v="1"/>
    <n v="2"/>
    <n v="2"/>
    <s v="Medical"/>
    <n v="1336"/>
    <n v="4"/>
    <x v="0"/>
    <n v="58"/>
    <n v="1"/>
    <n v="5"/>
    <x v="5"/>
    <n v="3"/>
    <x v="1"/>
    <n v="19187"/>
    <n v="4"/>
    <x v="1"/>
    <n v="14"/>
    <n v="3"/>
    <n v="4"/>
    <n v="1"/>
    <n v="23"/>
    <n v="5"/>
    <n v="3"/>
    <n v="19"/>
    <n v="9"/>
    <n v="9"/>
    <n v="11"/>
    <x v="1"/>
    <x v="1"/>
    <x v="0"/>
    <x v="2"/>
    <x v="3"/>
    <x v="4"/>
    <x v="2"/>
    <x v="1"/>
    <s v="Low"/>
    <x v="1"/>
    <x v="3"/>
    <x v="3"/>
    <x v="4"/>
  </r>
  <r>
    <n v="56"/>
    <x v="1"/>
    <s v="Travel_Rarely"/>
    <n v="206"/>
    <x v="2"/>
    <n v="8"/>
    <n v="4"/>
    <s v="Life Sciences"/>
    <n v="1338"/>
    <n v="4"/>
    <x v="1"/>
    <n v="99"/>
    <n v="3"/>
    <n v="5"/>
    <x v="5"/>
    <n v="2"/>
    <x v="0"/>
    <n v="19717"/>
    <n v="6"/>
    <x v="1"/>
    <n v="14"/>
    <n v="3"/>
    <n v="1"/>
    <n v="0"/>
    <n v="36"/>
    <n v="4"/>
    <n v="3"/>
    <n v="7"/>
    <n v="3"/>
    <n v="7"/>
    <n v="7"/>
    <x v="1"/>
    <x v="1"/>
    <x v="2"/>
    <x v="2"/>
    <x v="0"/>
    <x v="4"/>
    <x v="1"/>
    <x v="0"/>
    <s v="No Options"/>
    <x v="1"/>
    <x v="3"/>
    <x v="3"/>
    <x v="0"/>
  </r>
  <r>
    <n v="40"/>
    <x v="1"/>
    <s v="Non-Travel"/>
    <n v="458"/>
    <x v="1"/>
    <n v="16"/>
    <n v="2"/>
    <s v="Life Sciences"/>
    <n v="1340"/>
    <n v="3"/>
    <x v="1"/>
    <n v="74"/>
    <n v="3"/>
    <n v="1"/>
    <x v="1"/>
    <n v="3"/>
    <x v="2"/>
    <n v="3544"/>
    <n v="9"/>
    <x v="1"/>
    <n v="16"/>
    <n v="3"/>
    <n v="2"/>
    <n v="1"/>
    <n v="6"/>
    <n v="0"/>
    <n v="3"/>
    <n v="4"/>
    <n v="2"/>
    <n v="0"/>
    <n v="0"/>
    <x v="1"/>
    <x v="1"/>
    <x v="0"/>
    <x v="1"/>
    <x v="0"/>
    <x v="1"/>
    <x v="2"/>
    <x v="2"/>
    <s v="Low"/>
    <x v="1"/>
    <x v="0"/>
    <x v="0"/>
    <x v="2"/>
  </r>
  <r>
    <n v="34"/>
    <x v="1"/>
    <s v="Travel_Rarely"/>
    <n v="943"/>
    <x v="1"/>
    <n v="9"/>
    <n v="3"/>
    <s v="Life Sciences"/>
    <n v="1344"/>
    <n v="4"/>
    <x v="1"/>
    <n v="86"/>
    <n v="3"/>
    <n v="3"/>
    <x v="4"/>
    <n v="4"/>
    <x v="2"/>
    <n v="8500"/>
    <n v="0"/>
    <x v="1"/>
    <n v="11"/>
    <n v="3"/>
    <n v="4"/>
    <n v="1"/>
    <n v="10"/>
    <n v="0"/>
    <n v="2"/>
    <n v="9"/>
    <n v="7"/>
    <n v="1"/>
    <n v="6"/>
    <x v="1"/>
    <x v="1"/>
    <x v="3"/>
    <x v="2"/>
    <x v="0"/>
    <x v="2"/>
    <x v="0"/>
    <x v="1"/>
    <s v="Low"/>
    <x v="2"/>
    <x v="2"/>
    <x v="2"/>
    <x v="0"/>
  </r>
  <r>
    <n v="40"/>
    <x v="1"/>
    <s v="Travel_Rarely"/>
    <n v="523"/>
    <x v="1"/>
    <n v="2"/>
    <n v="3"/>
    <s v="Life Sciences"/>
    <n v="1346"/>
    <n v="3"/>
    <x v="1"/>
    <n v="98"/>
    <n v="3"/>
    <n v="2"/>
    <x v="1"/>
    <n v="4"/>
    <x v="0"/>
    <n v="4661"/>
    <n v="1"/>
    <x v="1"/>
    <n v="13"/>
    <n v="3"/>
    <n v="3"/>
    <n v="0"/>
    <n v="9"/>
    <n v="4"/>
    <n v="3"/>
    <n v="9"/>
    <n v="8"/>
    <n v="8"/>
    <n v="8"/>
    <x v="1"/>
    <x v="1"/>
    <x v="3"/>
    <x v="1"/>
    <x v="0"/>
    <x v="0"/>
    <x v="0"/>
    <x v="3"/>
    <s v="No Options"/>
    <x v="1"/>
    <x v="0"/>
    <x v="0"/>
    <x v="0"/>
  </r>
  <r>
    <n v="41"/>
    <x v="1"/>
    <s v="Travel_Frequently"/>
    <n v="1018"/>
    <x v="0"/>
    <n v="1"/>
    <n v="3"/>
    <s v="Marketing"/>
    <n v="1349"/>
    <n v="3"/>
    <x v="0"/>
    <n v="66"/>
    <n v="3"/>
    <n v="2"/>
    <x v="0"/>
    <n v="1"/>
    <x v="2"/>
    <n v="4103"/>
    <n v="0"/>
    <x v="1"/>
    <n v="17"/>
    <n v="3"/>
    <n v="4"/>
    <n v="1"/>
    <n v="10"/>
    <n v="2"/>
    <n v="3"/>
    <n v="9"/>
    <n v="3"/>
    <n v="1"/>
    <n v="7"/>
    <x v="1"/>
    <x v="1"/>
    <x v="3"/>
    <x v="1"/>
    <x v="0"/>
    <x v="0"/>
    <x v="3"/>
    <x v="1"/>
    <s v="Low"/>
    <x v="1"/>
    <x v="0"/>
    <x v="0"/>
    <x v="0"/>
  </r>
  <r>
    <n v="35"/>
    <x v="1"/>
    <s v="Travel_Frequently"/>
    <n v="482"/>
    <x v="1"/>
    <n v="4"/>
    <n v="4"/>
    <s v="Life Sciences"/>
    <n v="1350"/>
    <n v="3"/>
    <x v="1"/>
    <n v="87"/>
    <n v="3"/>
    <n v="2"/>
    <x v="1"/>
    <n v="3"/>
    <x v="0"/>
    <n v="4249"/>
    <n v="1"/>
    <x v="0"/>
    <n v="11"/>
    <n v="3"/>
    <n v="2"/>
    <n v="0"/>
    <n v="9"/>
    <n v="3"/>
    <n v="3"/>
    <n v="9"/>
    <n v="6"/>
    <n v="1"/>
    <n v="1"/>
    <x v="1"/>
    <x v="0"/>
    <x v="2"/>
    <x v="1"/>
    <x v="0"/>
    <x v="0"/>
    <x v="2"/>
    <x v="2"/>
    <s v="No Options"/>
    <x v="1"/>
    <x v="0"/>
    <x v="0"/>
    <x v="0"/>
  </r>
  <r>
    <n v="51"/>
    <x v="1"/>
    <s v="Travel_Rarely"/>
    <n v="770"/>
    <x v="2"/>
    <n v="5"/>
    <n v="3"/>
    <s v="Life Sciences"/>
    <n v="1352"/>
    <n v="3"/>
    <x v="1"/>
    <n v="84"/>
    <n v="3"/>
    <n v="4"/>
    <x v="5"/>
    <n v="2"/>
    <x v="2"/>
    <n v="14026"/>
    <n v="1"/>
    <x v="0"/>
    <n v="11"/>
    <n v="3"/>
    <n v="2"/>
    <n v="1"/>
    <n v="33"/>
    <n v="2"/>
    <n v="3"/>
    <n v="33"/>
    <n v="9"/>
    <n v="0"/>
    <n v="10"/>
    <x v="1"/>
    <x v="0"/>
    <x v="3"/>
    <x v="1"/>
    <x v="0"/>
    <x v="3"/>
    <x v="1"/>
    <x v="2"/>
    <s v="Low"/>
    <x v="1"/>
    <x v="1"/>
    <x v="3"/>
    <x v="3"/>
  </r>
  <r>
    <n v="38"/>
    <x v="1"/>
    <s v="Travel_Rarely"/>
    <n v="1009"/>
    <x v="0"/>
    <n v="2"/>
    <n v="2"/>
    <s v="Life Sciences"/>
    <n v="1355"/>
    <n v="2"/>
    <x v="0"/>
    <n v="31"/>
    <n v="3"/>
    <n v="2"/>
    <x v="0"/>
    <n v="1"/>
    <x v="2"/>
    <n v="6893"/>
    <n v="3"/>
    <x v="1"/>
    <n v="15"/>
    <n v="3"/>
    <n v="4"/>
    <n v="1"/>
    <n v="11"/>
    <n v="3"/>
    <n v="3"/>
    <n v="7"/>
    <n v="7"/>
    <n v="1"/>
    <n v="7"/>
    <x v="1"/>
    <x v="1"/>
    <x v="0"/>
    <x v="0"/>
    <x v="0"/>
    <x v="0"/>
    <x v="3"/>
    <x v="1"/>
    <s v="Low"/>
    <x v="1"/>
    <x v="0"/>
    <x v="0"/>
    <x v="0"/>
  </r>
  <r>
    <n v="34"/>
    <x v="1"/>
    <s v="Travel_Rarely"/>
    <n v="507"/>
    <x v="0"/>
    <n v="15"/>
    <n v="2"/>
    <s v="Medical"/>
    <n v="1356"/>
    <n v="3"/>
    <x v="0"/>
    <n v="66"/>
    <n v="3"/>
    <n v="2"/>
    <x v="0"/>
    <n v="1"/>
    <x v="0"/>
    <n v="6125"/>
    <n v="1"/>
    <x v="1"/>
    <n v="12"/>
    <n v="3"/>
    <n v="4"/>
    <n v="0"/>
    <n v="10"/>
    <n v="6"/>
    <n v="4"/>
    <n v="10"/>
    <n v="8"/>
    <n v="9"/>
    <n v="6"/>
    <x v="1"/>
    <x v="1"/>
    <x v="0"/>
    <x v="1"/>
    <x v="0"/>
    <x v="0"/>
    <x v="3"/>
    <x v="1"/>
    <s v="No Options"/>
    <x v="3"/>
    <x v="2"/>
    <x v="0"/>
    <x v="0"/>
  </r>
  <r>
    <n v="25"/>
    <x v="1"/>
    <s v="Travel_Rarely"/>
    <n v="882"/>
    <x v="1"/>
    <n v="19"/>
    <n v="1"/>
    <s v="Medical"/>
    <n v="1358"/>
    <n v="4"/>
    <x v="1"/>
    <n v="67"/>
    <n v="3"/>
    <n v="1"/>
    <x v="2"/>
    <n v="4"/>
    <x v="1"/>
    <n v="3669"/>
    <n v="3"/>
    <x v="1"/>
    <n v="11"/>
    <n v="3"/>
    <n v="3"/>
    <n v="3"/>
    <n v="7"/>
    <n v="6"/>
    <n v="2"/>
    <n v="3"/>
    <n v="2"/>
    <n v="1"/>
    <n v="2"/>
    <x v="1"/>
    <x v="1"/>
    <x v="1"/>
    <x v="2"/>
    <x v="0"/>
    <x v="1"/>
    <x v="0"/>
    <x v="3"/>
    <s v="High"/>
    <x v="2"/>
    <x v="2"/>
    <x v="0"/>
    <x v="2"/>
  </r>
  <r>
    <n v="58"/>
    <x v="0"/>
    <s v="Travel_Rarely"/>
    <n v="601"/>
    <x v="1"/>
    <n v="7"/>
    <n v="4"/>
    <s v="Medical"/>
    <n v="1360"/>
    <n v="3"/>
    <x v="0"/>
    <n v="53"/>
    <n v="2"/>
    <n v="3"/>
    <x v="3"/>
    <n v="1"/>
    <x v="1"/>
    <n v="10008"/>
    <n v="7"/>
    <x v="0"/>
    <n v="14"/>
    <n v="3"/>
    <n v="4"/>
    <n v="0"/>
    <n v="31"/>
    <n v="0"/>
    <n v="2"/>
    <n v="10"/>
    <n v="9"/>
    <n v="5"/>
    <n v="9"/>
    <x v="0"/>
    <x v="0"/>
    <x v="2"/>
    <x v="1"/>
    <x v="1"/>
    <x v="2"/>
    <x v="3"/>
    <x v="1"/>
    <s v="No Options"/>
    <x v="2"/>
    <x v="3"/>
    <x v="2"/>
    <x v="0"/>
  </r>
  <r>
    <n v="40"/>
    <x v="1"/>
    <s v="Travel_Rarely"/>
    <n v="329"/>
    <x v="1"/>
    <n v="1"/>
    <n v="4"/>
    <s v="Life Sciences"/>
    <n v="1361"/>
    <n v="2"/>
    <x v="1"/>
    <n v="88"/>
    <n v="3"/>
    <n v="1"/>
    <x v="2"/>
    <n v="2"/>
    <x v="1"/>
    <n v="2387"/>
    <n v="3"/>
    <x v="1"/>
    <n v="22"/>
    <n v="4"/>
    <n v="3"/>
    <n v="1"/>
    <n v="7"/>
    <n v="3"/>
    <n v="3"/>
    <n v="4"/>
    <n v="2"/>
    <n v="0"/>
    <n v="3"/>
    <x v="1"/>
    <x v="1"/>
    <x v="2"/>
    <x v="0"/>
    <x v="0"/>
    <x v="1"/>
    <x v="1"/>
    <x v="3"/>
    <s v="Low"/>
    <x v="1"/>
    <x v="0"/>
    <x v="1"/>
    <x v="2"/>
  </r>
  <r>
    <n v="36"/>
    <x v="1"/>
    <s v="Travel_Frequently"/>
    <n v="607"/>
    <x v="0"/>
    <n v="7"/>
    <n v="3"/>
    <s v="Marketing"/>
    <n v="1362"/>
    <n v="1"/>
    <x v="0"/>
    <n v="83"/>
    <n v="4"/>
    <n v="2"/>
    <x v="0"/>
    <n v="1"/>
    <x v="1"/>
    <n v="4639"/>
    <n v="2"/>
    <x v="1"/>
    <n v="16"/>
    <n v="3"/>
    <n v="4"/>
    <n v="1"/>
    <n v="17"/>
    <n v="2"/>
    <n v="2"/>
    <n v="15"/>
    <n v="7"/>
    <n v="6"/>
    <n v="13"/>
    <x v="1"/>
    <x v="1"/>
    <x v="3"/>
    <x v="3"/>
    <x v="2"/>
    <x v="0"/>
    <x v="3"/>
    <x v="1"/>
    <s v="Low"/>
    <x v="2"/>
    <x v="0"/>
    <x v="0"/>
    <x v="4"/>
  </r>
  <r>
    <n v="48"/>
    <x v="1"/>
    <s v="Travel_Rarely"/>
    <n v="855"/>
    <x v="1"/>
    <n v="4"/>
    <n v="3"/>
    <s v="Life Sciences"/>
    <n v="1363"/>
    <n v="4"/>
    <x v="1"/>
    <n v="54"/>
    <n v="3"/>
    <n v="3"/>
    <x v="3"/>
    <n v="4"/>
    <x v="0"/>
    <n v="7898"/>
    <n v="1"/>
    <x v="1"/>
    <n v="11"/>
    <n v="3"/>
    <n v="3"/>
    <n v="0"/>
    <n v="11"/>
    <n v="2"/>
    <n v="3"/>
    <n v="10"/>
    <n v="9"/>
    <n v="0"/>
    <n v="8"/>
    <x v="1"/>
    <x v="1"/>
    <x v="3"/>
    <x v="2"/>
    <x v="0"/>
    <x v="2"/>
    <x v="0"/>
    <x v="3"/>
    <s v="No Options"/>
    <x v="1"/>
    <x v="1"/>
    <x v="2"/>
    <x v="0"/>
  </r>
  <r>
    <n v="27"/>
    <x v="1"/>
    <s v="Travel_Rarely"/>
    <n v="1291"/>
    <x v="0"/>
    <n v="11"/>
    <n v="3"/>
    <s v="Medical"/>
    <n v="1364"/>
    <n v="3"/>
    <x v="0"/>
    <n v="98"/>
    <n v="4"/>
    <n v="1"/>
    <x v="6"/>
    <n v="4"/>
    <x v="1"/>
    <n v="2534"/>
    <n v="8"/>
    <x v="1"/>
    <n v="14"/>
    <n v="3"/>
    <n v="2"/>
    <n v="1"/>
    <n v="5"/>
    <n v="4"/>
    <n v="3"/>
    <n v="1"/>
    <n v="0"/>
    <n v="0"/>
    <n v="0"/>
    <x v="1"/>
    <x v="1"/>
    <x v="3"/>
    <x v="1"/>
    <x v="2"/>
    <x v="1"/>
    <x v="0"/>
    <x v="2"/>
    <s v="Low"/>
    <x v="1"/>
    <x v="2"/>
    <x v="1"/>
    <x v="1"/>
  </r>
  <r>
    <n v="51"/>
    <x v="1"/>
    <s v="Travel_Rarely"/>
    <n v="1405"/>
    <x v="1"/>
    <n v="11"/>
    <n v="2"/>
    <s v="Technical Degree"/>
    <n v="1367"/>
    <n v="4"/>
    <x v="0"/>
    <n v="82"/>
    <n v="2"/>
    <n v="4"/>
    <x v="3"/>
    <n v="2"/>
    <x v="0"/>
    <n v="13142"/>
    <n v="3"/>
    <x v="1"/>
    <n v="16"/>
    <n v="3"/>
    <n v="2"/>
    <n v="0"/>
    <n v="29"/>
    <n v="1"/>
    <n v="2"/>
    <n v="5"/>
    <n v="2"/>
    <n v="0"/>
    <n v="3"/>
    <x v="1"/>
    <x v="1"/>
    <x v="0"/>
    <x v="2"/>
    <x v="1"/>
    <x v="3"/>
    <x v="1"/>
    <x v="2"/>
    <s v="No Options"/>
    <x v="2"/>
    <x v="1"/>
    <x v="3"/>
    <x v="2"/>
  </r>
  <r>
    <n v="18"/>
    <x v="1"/>
    <s v="Non-Travel"/>
    <n v="1124"/>
    <x v="1"/>
    <n v="1"/>
    <n v="3"/>
    <s v="Life Sciences"/>
    <n v="1368"/>
    <n v="4"/>
    <x v="0"/>
    <n v="97"/>
    <n v="3"/>
    <n v="1"/>
    <x v="2"/>
    <n v="4"/>
    <x v="0"/>
    <n v="1611"/>
    <n v="1"/>
    <x v="1"/>
    <n v="15"/>
    <n v="3"/>
    <n v="3"/>
    <n v="0"/>
    <n v="0"/>
    <n v="5"/>
    <n v="4"/>
    <n v="0"/>
    <n v="0"/>
    <n v="0"/>
    <n v="0"/>
    <x v="1"/>
    <x v="1"/>
    <x v="3"/>
    <x v="2"/>
    <x v="0"/>
    <x v="1"/>
    <x v="0"/>
    <x v="3"/>
    <s v="No Options"/>
    <x v="3"/>
    <x v="4"/>
    <x v="1"/>
    <x v="1"/>
  </r>
  <r>
    <n v="35"/>
    <x v="1"/>
    <s v="Travel_Rarely"/>
    <n v="817"/>
    <x v="1"/>
    <n v="1"/>
    <n v="3"/>
    <s v="Medical"/>
    <n v="1369"/>
    <n v="4"/>
    <x v="0"/>
    <n v="60"/>
    <n v="2"/>
    <n v="2"/>
    <x v="2"/>
    <n v="4"/>
    <x v="1"/>
    <n v="5363"/>
    <n v="0"/>
    <x v="1"/>
    <n v="12"/>
    <n v="3"/>
    <n v="2"/>
    <n v="1"/>
    <n v="10"/>
    <n v="0"/>
    <n v="3"/>
    <n v="9"/>
    <n v="7"/>
    <n v="0"/>
    <n v="0"/>
    <x v="1"/>
    <x v="1"/>
    <x v="3"/>
    <x v="2"/>
    <x v="1"/>
    <x v="0"/>
    <x v="0"/>
    <x v="2"/>
    <s v="Low"/>
    <x v="1"/>
    <x v="0"/>
    <x v="0"/>
    <x v="0"/>
  </r>
  <r>
    <n v="27"/>
    <x v="1"/>
    <s v="Travel_Frequently"/>
    <n v="793"/>
    <x v="0"/>
    <n v="2"/>
    <n v="1"/>
    <s v="Life Sciences"/>
    <n v="1371"/>
    <n v="4"/>
    <x v="1"/>
    <n v="43"/>
    <n v="1"/>
    <n v="2"/>
    <x v="0"/>
    <n v="4"/>
    <x v="0"/>
    <n v="5071"/>
    <n v="3"/>
    <x v="1"/>
    <n v="20"/>
    <n v="4"/>
    <n v="2"/>
    <n v="0"/>
    <n v="8"/>
    <n v="3"/>
    <n v="3"/>
    <n v="6"/>
    <n v="2"/>
    <n v="0"/>
    <n v="0"/>
    <x v="1"/>
    <x v="1"/>
    <x v="1"/>
    <x v="2"/>
    <x v="3"/>
    <x v="0"/>
    <x v="0"/>
    <x v="2"/>
    <s v="No Options"/>
    <x v="1"/>
    <x v="2"/>
    <x v="0"/>
    <x v="0"/>
  </r>
  <r>
    <n v="55"/>
    <x v="0"/>
    <s v="Travel_Rarely"/>
    <n v="267"/>
    <x v="0"/>
    <n v="13"/>
    <n v="4"/>
    <s v="Marketing"/>
    <n v="1372"/>
    <n v="1"/>
    <x v="1"/>
    <n v="85"/>
    <n v="4"/>
    <n v="4"/>
    <x v="0"/>
    <n v="3"/>
    <x v="0"/>
    <n v="13695"/>
    <n v="6"/>
    <x v="0"/>
    <n v="17"/>
    <n v="3"/>
    <n v="3"/>
    <n v="0"/>
    <n v="24"/>
    <n v="2"/>
    <n v="2"/>
    <n v="19"/>
    <n v="7"/>
    <n v="3"/>
    <n v="8"/>
    <x v="0"/>
    <x v="0"/>
    <x v="2"/>
    <x v="3"/>
    <x v="2"/>
    <x v="3"/>
    <x v="2"/>
    <x v="3"/>
    <s v="No Options"/>
    <x v="2"/>
    <x v="3"/>
    <x v="3"/>
    <x v="4"/>
  </r>
  <r>
    <n v="56"/>
    <x v="1"/>
    <s v="Travel_Rarely"/>
    <n v="1369"/>
    <x v="1"/>
    <n v="23"/>
    <n v="3"/>
    <s v="Life Sciences"/>
    <n v="1373"/>
    <n v="4"/>
    <x v="1"/>
    <n v="68"/>
    <n v="3"/>
    <n v="4"/>
    <x v="3"/>
    <n v="2"/>
    <x v="1"/>
    <n v="13402"/>
    <n v="4"/>
    <x v="0"/>
    <n v="12"/>
    <n v="3"/>
    <n v="1"/>
    <n v="1"/>
    <n v="33"/>
    <n v="0"/>
    <n v="3"/>
    <n v="19"/>
    <n v="16"/>
    <n v="15"/>
    <n v="9"/>
    <x v="1"/>
    <x v="0"/>
    <x v="3"/>
    <x v="2"/>
    <x v="0"/>
    <x v="3"/>
    <x v="1"/>
    <x v="0"/>
    <s v="Low"/>
    <x v="1"/>
    <x v="3"/>
    <x v="3"/>
    <x v="4"/>
  </r>
  <r>
    <n v="34"/>
    <x v="1"/>
    <s v="Non-Travel"/>
    <n v="999"/>
    <x v="1"/>
    <n v="26"/>
    <n v="1"/>
    <s v="Technical Degree"/>
    <n v="1374"/>
    <n v="1"/>
    <x v="0"/>
    <n v="92"/>
    <n v="2"/>
    <n v="1"/>
    <x v="1"/>
    <n v="3"/>
    <x v="2"/>
    <n v="2029"/>
    <n v="1"/>
    <x v="1"/>
    <n v="20"/>
    <n v="4"/>
    <n v="3"/>
    <n v="3"/>
    <n v="5"/>
    <n v="2"/>
    <n v="3"/>
    <n v="5"/>
    <n v="4"/>
    <n v="0"/>
    <n v="0"/>
    <x v="1"/>
    <x v="1"/>
    <x v="1"/>
    <x v="3"/>
    <x v="1"/>
    <x v="1"/>
    <x v="2"/>
    <x v="3"/>
    <s v="High"/>
    <x v="1"/>
    <x v="2"/>
    <x v="1"/>
    <x v="2"/>
  </r>
  <r>
    <n v="40"/>
    <x v="1"/>
    <s v="Travel_Rarely"/>
    <n v="1202"/>
    <x v="1"/>
    <n v="2"/>
    <n v="1"/>
    <s v="Medical"/>
    <n v="1375"/>
    <n v="2"/>
    <x v="0"/>
    <n v="89"/>
    <n v="4"/>
    <n v="2"/>
    <x v="4"/>
    <n v="3"/>
    <x v="2"/>
    <n v="6377"/>
    <n v="5"/>
    <x v="1"/>
    <n v="20"/>
    <n v="4"/>
    <n v="2"/>
    <n v="3"/>
    <n v="15"/>
    <n v="0"/>
    <n v="3"/>
    <n v="12"/>
    <n v="11"/>
    <n v="11"/>
    <n v="8"/>
    <x v="1"/>
    <x v="1"/>
    <x v="1"/>
    <x v="0"/>
    <x v="2"/>
    <x v="0"/>
    <x v="2"/>
    <x v="2"/>
    <s v="High"/>
    <x v="1"/>
    <x v="0"/>
    <x v="0"/>
    <x v="4"/>
  </r>
  <r>
    <n v="34"/>
    <x v="1"/>
    <s v="Travel_Rarely"/>
    <n v="285"/>
    <x v="1"/>
    <n v="29"/>
    <n v="3"/>
    <s v="Medical"/>
    <n v="1377"/>
    <n v="2"/>
    <x v="1"/>
    <n v="86"/>
    <n v="3"/>
    <n v="2"/>
    <x v="2"/>
    <n v="3"/>
    <x v="1"/>
    <n v="5429"/>
    <n v="4"/>
    <x v="1"/>
    <n v="13"/>
    <n v="3"/>
    <n v="1"/>
    <n v="2"/>
    <n v="10"/>
    <n v="1"/>
    <n v="3"/>
    <n v="8"/>
    <n v="7"/>
    <n v="7"/>
    <n v="7"/>
    <x v="1"/>
    <x v="1"/>
    <x v="3"/>
    <x v="0"/>
    <x v="0"/>
    <x v="0"/>
    <x v="2"/>
    <x v="0"/>
    <s v="Medium"/>
    <x v="1"/>
    <x v="2"/>
    <x v="0"/>
    <x v="0"/>
  </r>
  <r>
    <n v="31"/>
    <x v="0"/>
    <s v="Travel_Frequently"/>
    <n v="703"/>
    <x v="0"/>
    <n v="2"/>
    <n v="3"/>
    <s v="Life Sciences"/>
    <n v="1379"/>
    <n v="3"/>
    <x v="0"/>
    <n v="90"/>
    <n v="2"/>
    <n v="1"/>
    <x v="6"/>
    <n v="4"/>
    <x v="0"/>
    <n v="2785"/>
    <n v="7"/>
    <x v="1"/>
    <n v="14"/>
    <n v="3"/>
    <n v="3"/>
    <n v="0"/>
    <n v="3"/>
    <n v="3"/>
    <n v="4"/>
    <n v="1"/>
    <n v="0"/>
    <n v="0"/>
    <n v="0"/>
    <x v="0"/>
    <x v="1"/>
    <x v="3"/>
    <x v="1"/>
    <x v="1"/>
    <x v="1"/>
    <x v="0"/>
    <x v="3"/>
    <s v="No Options"/>
    <x v="3"/>
    <x v="2"/>
    <x v="1"/>
    <x v="1"/>
  </r>
  <r>
    <n v="35"/>
    <x v="0"/>
    <s v="Travel_Frequently"/>
    <n v="662"/>
    <x v="0"/>
    <n v="18"/>
    <n v="4"/>
    <s v="Marketing"/>
    <n v="1380"/>
    <n v="4"/>
    <x v="0"/>
    <n v="67"/>
    <n v="3"/>
    <n v="2"/>
    <x v="0"/>
    <n v="3"/>
    <x v="1"/>
    <n v="4614"/>
    <n v="0"/>
    <x v="0"/>
    <n v="18"/>
    <n v="3"/>
    <n v="3"/>
    <n v="1"/>
    <n v="5"/>
    <n v="0"/>
    <n v="2"/>
    <n v="4"/>
    <n v="2"/>
    <n v="3"/>
    <n v="2"/>
    <x v="0"/>
    <x v="0"/>
    <x v="2"/>
    <x v="2"/>
    <x v="0"/>
    <x v="0"/>
    <x v="2"/>
    <x v="3"/>
    <s v="Low"/>
    <x v="2"/>
    <x v="0"/>
    <x v="0"/>
    <x v="2"/>
  </r>
  <r>
    <n v="38"/>
    <x v="1"/>
    <s v="Travel_Frequently"/>
    <n v="693"/>
    <x v="1"/>
    <n v="7"/>
    <n v="3"/>
    <s v="Life Sciences"/>
    <n v="1382"/>
    <n v="4"/>
    <x v="1"/>
    <n v="57"/>
    <n v="4"/>
    <n v="1"/>
    <x v="1"/>
    <n v="3"/>
    <x v="2"/>
    <n v="2610"/>
    <n v="1"/>
    <x v="1"/>
    <n v="11"/>
    <n v="3"/>
    <n v="4"/>
    <n v="3"/>
    <n v="4"/>
    <n v="2"/>
    <n v="3"/>
    <n v="4"/>
    <n v="2"/>
    <n v="0"/>
    <n v="3"/>
    <x v="1"/>
    <x v="1"/>
    <x v="3"/>
    <x v="2"/>
    <x v="2"/>
    <x v="1"/>
    <x v="2"/>
    <x v="1"/>
    <s v="High"/>
    <x v="1"/>
    <x v="0"/>
    <x v="1"/>
    <x v="2"/>
  </r>
  <r>
    <n v="34"/>
    <x v="1"/>
    <s v="Travel_Rarely"/>
    <n v="404"/>
    <x v="1"/>
    <n v="2"/>
    <n v="4"/>
    <s v="Technical Degree"/>
    <n v="1383"/>
    <n v="3"/>
    <x v="0"/>
    <n v="98"/>
    <n v="3"/>
    <n v="2"/>
    <x v="4"/>
    <n v="4"/>
    <x v="0"/>
    <n v="6687"/>
    <n v="1"/>
    <x v="1"/>
    <n v="11"/>
    <n v="3"/>
    <n v="4"/>
    <n v="0"/>
    <n v="14"/>
    <n v="2"/>
    <n v="4"/>
    <n v="14"/>
    <n v="11"/>
    <n v="4"/>
    <n v="11"/>
    <x v="1"/>
    <x v="1"/>
    <x v="2"/>
    <x v="1"/>
    <x v="0"/>
    <x v="0"/>
    <x v="0"/>
    <x v="1"/>
    <s v="No Options"/>
    <x v="3"/>
    <x v="2"/>
    <x v="0"/>
    <x v="4"/>
  </r>
  <r>
    <n v="28"/>
    <x v="1"/>
    <s v="Travel_Rarely"/>
    <n v="736"/>
    <x v="0"/>
    <n v="26"/>
    <n v="3"/>
    <s v="Life Sciences"/>
    <n v="1387"/>
    <n v="3"/>
    <x v="1"/>
    <n v="48"/>
    <n v="2"/>
    <n v="2"/>
    <x v="0"/>
    <n v="1"/>
    <x v="1"/>
    <n v="4724"/>
    <n v="1"/>
    <x v="1"/>
    <n v="11"/>
    <n v="3"/>
    <n v="3"/>
    <n v="1"/>
    <n v="5"/>
    <n v="0"/>
    <n v="3"/>
    <n v="5"/>
    <n v="3"/>
    <n v="0"/>
    <n v="4"/>
    <x v="1"/>
    <x v="1"/>
    <x v="3"/>
    <x v="1"/>
    <x v="1"/>
    <x v="0"/>
    <x v="3"/>
    <x v="3"/>
    <s v="Low"/>
    <x v="1"/>
    <x v="2"/>
    <x v="0"/>
    <x v="2"/>
  </r>
  <r>
    <n v="31"/>
    <x v="0"/>
    <s v="Travel_Rarely"/>
    <n v="330"/>
    <x v="1"/>
    <n v="22"/>
    <n v="4"/>
    <s v="Medical"/>
    <n v="1389"/>
    <n v="4"/>
    <x v="1"/>
    <n v="98"/>
    <n v="3"/>
    <n v="2"/>
    <x v="3"/>
    <n v="3"/>
    <x v="1"/>
    <n v="6179"/>
    <n v="1"/>
    <x v="0"/>
    <n v="15"/>
    <n v="3"/>
    <n v="4"/>
    <n v="2"/>
    <n v="10"/>
    <n v="3"/>
    <n v="2"/>
    <n v="10"/>
    <n v="2"/>
    <n v="6"/>
    <n v="7"/>
    <x v="0"/>
    <x v="0"/>
    <x v="2"/>
    <x v="2"/>
    <x v="0"/>
    <x v="0"/>
    <x v="2"/>
    <x v="1"/>
    <s v="Medium"/>
    <x v="2"/>
    <x v="2"/>
    <x v="0"/>
    <x v="0"/>
  </r>
  <r>
    <n v="39"/>
    <x v="1"/>
    <s v="Travel_Rarely"/>
    <n v="1498"/>
    <x v="0"/>
    <n v="21"/>
    <n v="4"/>
    <s v="Life Sciences"/>
    <n v="1390"/>
    <n v="1"/>
    <x v="1"/>
    <n v="44"/>
    <n v="2"/>
    <n v="2"/>
    <x v="0"/>
    <n v="4"/>
    <x v="1"/>
    <n v="6120"/>
    <n v="3"/>
    <x v="0"/>
    <n v="12"/>
    <n v="3"/>
    <n v="4"/>
    <n v="2"/>
    <n v="8"/>
    <n v="2"/>
    <n v="4"/>
    <n v="5"/>
    <n v="4"/>
    <n v="1"/>
    <n v="4"/>
    <x v="1"/>
    <x v="0"/>
    <x v="2"/>
    <x v="3"/>
    <x v="1"/>
    <x v="0"/>
    <x v="0"/>
    <x v="1"/>
    <s v="Medium"/>
    <x v="3"/>
    <x v="0"/>
    <x v="0"/>
    <x v="2"/>
  </r>
  <r>
    <n v="51"/>
    <x v="1"/>
    <s v="Travel_Frequently"/>
    <n v="541"/>
    <x v="0"/>
    <n v="2"/>
    <n v="3"/>
    <s v="Marketing"/>
    <n v="1391"/>
    <n v="2"/>
    <x v="1"/>
    <n v="52"/>
    <n v="3"/>
    <n v="3"/>
    <x v="0"/>
    <n v="2"/>
    <x v="1"/>
    <n v="10596"/>
    <n v="2"/>
    <x v="1"/>
    <n v="11"/>
    <n v="3"/>
    <n v="2"/>
    <n v="0"/>
    <n v="14"/>
    <n v="5"/>
    <n v="3"/>
    <n v="4"/>
    <n v="2"/>
    <n v="3"/>
    <n v="2"/>
    <x v="1"/>
    <x v="1"/>
    <x v="3"/>
    <x v="0"/>
    <x v="0"/>
    <x v="2"/>
    <x v="1"/>
    <x v="2"/>
    <s v="No Options"/>
    <x v="1"/>
    <x v="1"/>
    <x v="2"/>
    <x v="2"/>
  </r>
  <r>
    <n v="41"/>
    <x v="1"/>
    <s v="Travel_Frequently"/>
    <n v="1200"/>
    <x v="1"/>
    <n v="22"/>
    <n v="3"/>
    <s v="Life Sciences"/>
    <n v="1392"/>
    <n v="4"/>
    <x v="0"/>
    <n v="75"/>
    <n v="3"/>
    <n v="2"/>
    <x v="1"/>
    <n v="4"/>
    <x v="2"/>
    <n v="5467"/>
    <n v="3"/>
    <x v="0"/>
    <n v="14"/>
    <n v="3"/>
    <n v="1"/>
    <n v="2"/>
    <n v="12"/>
    <n v="4"/>
    <n v="2"/>
    <n v="6"/>
    <n v="2"/>
    <n v="3"/>
    <n v="3"/>
    <x v="1"/>
    <x v="0"/>
    <x v="3"/>
    <x v="2"/>
    <x v="0"/>
    <x v="0"/>
    <x v="0"/>
    <x v="0"/>
    <s v="Medium"/>
    <x v="2"/>
    <x v="0"/>
    <x v="0"/>
    <x v="0"/>
  </r>
  <r>
    <n v="37"/>
    <x v="1"/>
    <s v="Travel_Rarely"/>
    <n v="1439"/>
    <x v="1"/>
    <n v="4"/>
    <n v="1"/>
    <s v="Life Sciences"/>
    <n v="1394"/>
    <n v="3"/>
    <x v="1"/>
    <n v="54"/>
    <n v="3"/>
    <n v="1"/>
    <x v="1"/>
    <n v="3"/>
    <x v="1"/>
    <n v="2996"/>
    <n v="7"/>
    <x v="0"/>
    <n v="15"/>
    <n v="3"/>
    <n v="4"/>
    <n v="0"/>
    <n v="8"/>
    <n v="2"/>
    <n v="3"/>
    <n v="6"/>
    <n v="4"/>
    <n v="1"/>
    <n v="3"/>
    <x v="1"/>
    <x v="0"/>
    <x v="1"/>
    <x v="1"/>
    <x v="0"/>
    <x v="1"/>
    <x v="2"/>
    <x v="1"/>
    <s v="No Options"/>
    <x v="1"/>
    <x v="0"/>
    <x v="1"/>
    <x v="0"/>
  </r>
  <r>
    <n v="33"/>
    <x v="1"/>
    <s v="Travel_Frequently"/>
    <n v="1111"/>
    <x v="0"/>
    <n v="5"/>
    <n v="1"/>
    <s v="Life Sciences"/>
    <n v="1395"/>
    <n v="2"/>
    <x v="1"/>
    <n v="61"/>
    <n v="3"/>
    <n v="2"/>
    <x v="0"/>
    <n v="4"/>
    <x v="1"/>
    <n v="9998"/>
    <n v="6"/>
    <x v="1"/>
    <n v="13"/>
    <n v="3"/>
    <n v="1"/>
    <n v="0"/>
    <n v="8"/>
    <n v="2"/>
    <n v="4"/>
    <n v="5"/>
    <n v="4"/>
    <n v="1"/>
    <n v="2"/>
    <x v="1"/>
    <x v="1"/>
    <x v="1"/>
    <x v="0"/>
    <x v="0"/>
    <x v="0"/>
    <x v="0"/>
    <x v="0"/>
    <s v="No Options"/>
    <x v="3"/>
    <x v="2"/>
    <x v="2"/>
    <x v="2"/>
  </r>
  <r>
    <n v="32"/>
    <x v="1"/>
    <s v="Travel_Rarely"/>
    <n v="499"/>
    <x v="0"/>
    <n v="2"/>
    <n v="1"/>
    <s v="Marketing"/>
    <n v="1396"/>
    <n v="3"/>
    <x v="1"/>
    <n v="36"/>
    <n v="3"/>
    <n v="2"/>
    <x v="0"/>
    <n v="2"/>
    <x v="1"/>
    <n v="4078"/>
    <n v="0"/>
    <x v="0"/>
    <n v="13"/>
    <n v="3"/>
    <n v="1"/>
    <n v="3"/>
    <n v="4"/>
    <n v="3"/>
    <n v="2"/>
    <n v="3"/>
    <n v="2"/>
    <n v="1"/>
    <n v="2"/>
    <x v="1"/>
    <x v="0"/>
    <x v="1"/>
    <x v="1"/>
    <x v="0"/>
    <x v="0"/>
    <x v="1"/>
    <x v="0"/>
    <s v="High"/>
    <x v="2"/>
    <x v="2"/>
    <x v="0"/>
    <x v="2"/>
  </r>
  <r>
    <n v="39"/>
    <x v="1"/>
    <s v="Non-Travel"/>
    <n v="1485"/>
    <x v="1"/>
    <n v="25"/>
    <n v="2"/>
    <s v="Life Sciences"/>
    <n v="1397"/>
    <n v="3"/>
    <x v="1"/>
    <n v="71"/>
    <n v="3"/>
    <n v="3"/>
    <x v="4"/>
    <n v="3"/>
    <x v="1"/>
    <n v="10920"/>
    <n v="3"/>
    <x v="1"/>
    <n v="21"/>
    <n v="4"/>
    <n v="2"/>
    <n v="1"/>
    <n v="13"/>
    <n v="2"/>
    <n v="3"/>
    <n v="6"/>
    <n v="4"/>
    <n v="0"/>
    <n v="5"/>
    <x v="1"/>
    <x v="1"/>
    <x v="0"/>
    <x v="1"/>
    <x v="0"/>
    <x v="2"/>
    <x v="2"/>
    <x v="2"/>
    <s v="Low"/>
    <x v="1"/>
    <x v="0"/>
    <x v="2"/>
    <x v="0"/>
  </r>
  <r>
    <n v="25"/>
    <x v="1"/>
    <s v="Travel_Rarely"/>
    <n v="1372"/>
    <x v="0"/>
    <n v="18"/>
    <n v="1"/>
    <s v="Life Sciences"/>
    <n v="1399"/>
    <n v="1"/>
    <x v="1"/>
    <n v="93"/>
    <n v="4"/>
    <n v="2"/>
    <x v="0"/>
    <n v="3"/>
    <x v="1"/>
    <n v="6232"/>
    <n v="2"/>
    <x v="1"/>
    <n v="11"/>
    <n v="3"/>
    <n v="2"/>
    <n v="0"/>
    <n v="6"/>
    <n v="3"/>
    <n v="2"/>
    <n v="3"/>
    <n v="2"/>
    <n v="1"/>
    <n v="2"/>
    <x v="1"/>
    <x v="1"/>
    <x v="1"/>
    <x v="3"/>
    <x v="2"/>
    <x v="0"/>
    <x v="2"/>
    <x v="2"/>
    <s v="No Options"/>
    <x v="2"/>
    <x v="2"/>
    <x v="0"/>
    <x v="2"/>
  </r>
  <r>
    <n v="52"/>
    <x v="1"/>
    <s v="Travel_Frequently"/>
    <n v="322"/>
    <x v="1"/>
    <n v="28"/>
    <n v="2"/>
    <s v="Medical"/>
    <n v="1401"/>
    <n v="4"/>
    <x v="0"/>
    <n v="59"/>
    <n v="4"/>
    <n v="4"/>
    <x v="3"/>
    <n v="3"/>
    <x v="1"/>
    <n v="13247"/>
    <n v="2"/>
    <x v="0"/>
    <n v="11"/>
    <n v="3"/>
    <n v="2"/>
    <n v="1"/>
    <n v="24"/>
    <n v="3"/>
    <n v="2"/>
    <n v="5"/>
    <n v="3"/>
    <n v="0"/>
    <n v="2"/>
    <x v="1"/>
    <x v="0"/>
    <x v="0"/>
    <x v="2"/>
    <x v="2"/>
    <x v="3"/>
    <x v="2"/>
    <x v="2"/>
    <s v="Low"/>
    <x v="2"/>
    <x v="1"/>
    <x v="3"/>
    <x v="2"/>
  </r>
  <r>
    <n v="43"/>
    <x v="1"/>
    <s v="Travel_Rarely"/>
    <n v="930"/>
    <x v="1"/>
    <n v="6"/>
    <n v="3"/>
    <s v="Medical"/>
    <n v="1402"/>
    <n v="1"/>
    <x v="0"/>
    <n v="73"/>
    <n v="2"/>
    <n v="2"/>
    <x v="1"/>
    <n v="3"/>
    <x v="0"/>
    <n v="4081"/>
    <n v="1"/>
    <x v="0"/>
    <n v="14"/>
    <n v="3"/>
    <n v="1"/>
    <n v="0"/>
    <n v="20"/>
    <n v="3"/>
    <n v="1"/>
    <n v="20"/>
    <n v="7"/>
    <n v="1"/>
    <n v="8"/>
    <x v="1"/>
    <x v="0"/>
    <x v="3"/>
    <x v="3"/>
    <x v="1"/>
    <x v="0"/>
    <x v="2"/>
    <x v="0"/>
    <s v="No Options"/>
    <x v="0"/>
    <x v="0"/>
    <x v="0"/>
    <x v="4"/>
  </r>
  <r>
    <n v="27"/>
    <x v="1"/>
    <s v="Travel_Rarely"/>
    <n v="205"/>
    <x v="0"/>
    <n v="10"/>
    <n v="3"/>
    <s v="Marketing"/>
    <n v="1403"/>
    <n v="4"/>
    <x v="0"/>
    <n v="98"/>
    <n v="2"/>
    <n v="2"/>
    <x v="0"/>
    <n v="4"/>
    <x v="1"/>
    <n v="5769"/>
    <n v="1"/>
    <x v="0"/>
    <n v="11"/>
    <n v="3"/>
    <n v="4"/>
    <n v="0"/>
    <n v="6"/>
    <n v="3"/>
    <n v="3"/>
    <n v="6"/>
    <n v="2"/>
    <n v="4"/>
    <n v="4"/>
    <x v="1"/>
    <x v="0"/>
    <x v="3"/>
    <x v="2"/>
    <x v="1"/>
    <x v="0"/>
    <x v="0"/>
    <x v="1"/>
    <s v="No Options"/>
    <x v="1"/>
    <x v="2"/>
    <x v="0"/>
    <x v="0"/>
  </r>
  <r>
    <n v="27"/>
    <x v="0"/>
    <s v="Travel_Rarely"/>
    <n v="135"/>
    <x v="1"/>
    <n v="17"/>
    <n v="4"/>
    <s v="Life Sciences"/>
    <n v="1405"/>
    <n v="4"/>
    <x v="0"/>
    <n v="51"/>
    <n v="3"/>
    <n v="1"/>
    <x v="1"/>
    <n v="3"/>
    <x v="0"/>
    <n v="2394"/>
    <n v="1"/>
    <x v="0"/>
    <n v="13"/>
    <n v="3"/>
    <n v="4"/>
    <n v="0"/>
    <n v="8"/>
    <n v="2"/>
    <n v="3"/>
    <n v="8"/>
    <n v="2"/>
    <n v="7"/>
    <n v="7"/>
    <x v="0"/>
    <x v="0"/>
    <x v="2"/>
    <x v="2"/>
    <x v="0"/>
    <x v="1"/>
    <x v="2"/>
    <x v="1"/>
    <s v="No Options"/>
    <x v="1"/>
    <x v="2"/>
    <x v="1"/>
    <x v="0"/>
  </r>
  <r>
    <n v="26"/>
    <x v="1"/>
    <s v="Travel_Rarely"/>
    <n v="683"/>
    <x v="1"/>
    <n v="2"/>
    <n v="1"/>
    <s v="Medical"/>
    <n v="1407"/>
    <n v="1"/>
    <x v="1"/>
    <n v="36"/>
    <n v="2"/>
    <n v="1"/>
    <x v="1"/>
    <n v="4"/>
    <x v="0"/>
    <n v="3904"/>
    <n v="0"/>
    <x v="1"/>
    <n v="12"/>
    <n v="3"/>
    <n v="4"/>
    <n v="0"/>
    <n v="5"/>
    <n v="2"/>
    <n v="3"/>
    <n v="4"/>
    <n v="3"/>
    <n v="1"/>
    <n v="1"/>
    <x v="1"/>
    <x v="1"/>
    <x v="1"/>
    <x v="3"/>
    <x v="1"/>
    <x v="1"/>
    <x v="0"/>
    <x v="1"/>
    <s v="No Options"/>
    <x v="1"/>
    <x v="2"/>
    <x v="0"/>
    <x v="2"/>
  </r>
  <r>
    <n v="42"/>
    <x v="1"/>
    <s v="Travel_Rarely"/>
    <n v="1147"/>
    <x v="2"/>
    <n v="10"/>
    <n v="3"/>
    <s v="Human Resources"/>
    <n v="1408"/>
    <n v="3"/>
    <x v="0"/>
    <n v="31"/>
    <n v="3"/>
    <n v="4"/>
    <x v="5"/>
    <n v="1"/>
    <x v="1"/>
    <n v="16799"/>
    <n v="0"/>
    <x v="1"/>
    <n v="14"/>
    <n v="3"/>
    <n v="3"/>
    <n v="1"/>
    <n v="21"/>
    <n v="5"/>
    <n v="3"/>
    <n v="20"/>
    <n v="7"/>
    <n v="0"/>
    <n v="9"/>
    <x v="1"/>
    <x v="1"/>
    <x v="3"/>
    <x v="1"/>
    <x v="0"/>
    <x v="3"/>
    <x v="3"/>
    <x v="3"/>
    <s v="Low"/>
    <x v="1"/>
    <x v="0"/>
    <x v="3"/>
    <x v="4"/>
  </r>
  <r>
    <n v="52"/>
    <x v="1"/>
    <s v="Travel_Rarely"/>
    <n v="258"/>
    <x v="1"/>
    <n v="8"/>
    <n v="4"/>
    <s v="Other"/>
    <n v="1409"/>
    <n v="3"/>
    <x v="0"/>
    <n v="54"/>
    <n v="3"/>
    <n v="1"/>
    <x v="2"/>
    <n v="1"/>
    <x v="1"/>
    <n v="2950"/>
    <n v="9"/>
    <x v="1"/>
    <n v="13"/>
    <n v="3"/>
    <n v="3"/>
    <n v="0"/>
    <n v="12"/>
    <n v="2"/>
    <n v="1"/>
    <n v="5"/>
    <n v="4"/>
    <n v="0"/>
    <n v="4"/>
    <x v="1"/>
    <x v="1"/>
    <x v="2"/>
    <x v="1"/>
    <x v="0"/>
    <x v="1"/>
    <x v="3"/>
    <x v="3"/>
    <s v="No Options"/>
    <x v="0"/>
    <x v="1"/>
    <x v="1"/>
    <x v="2"/>
  </r>
  <r>
    <n v="37"/>
    <x v="1"/>
    <s v="Travel_Rarely"/>
    <n v="1462"/>
    <x v="1"/>
    <n v="11"/>
    <n v="3"/>
    <s v="Medical"/>
    <n v="1411"/>
    <n v="1"/>
    <x v="0"/>
    <n v="94"/>
    <n v="3"/>
    <n v="1"/>
    <x v="2"/>
    <n v="3"/>
    <x v="0"/>
    <n v="3629"/>
    <n v="4"/>
    <x v="1"/>
    <n v="18"/>
    <n v="3"/>
    <n v="1"/>
    <n v="0"/>
    <n v="8"/>
    <n v="6"/>
    <n v="3"/>
    <n v="3"/>
    <n v="2"/>
    <n v="0"/>
    <n v="2"/>
    <x v="1"/>
    <x v="1"/>
    <x v="3"/>
    <x v="3"/>
    <x v="0"/>
    <x v="1"/>
    <x v="2"/>
    <x v="0"/>
    <s v="No Options"/>
    <x v="1"/>
    <x v="0"/>
    <x v="0"/>
    <x v="2"/>
  </r>
  <r>
    <n v="35"/>
    <x v="1"/>
    <s v="Travel_Frequently"/>
    <n v="200"/>
    <x v="1"/>
    <n v="18"/>
    <n v="2"/>
    <s v="Life Sciences"/>
    <n v="1412"/>
    <n v="3"/>
    <x v="1"/>
    <n v="60"/>
    <n v="3"/>
    <n v="3"/>
    <x v="3"/>
    <n v="4"/>
    <x v="0"/>
    <n v="9362"/>
    <n v="2"/>
    <x v="1"/>
    <n v="11"/>
    <n v="3"/>
    <n v="3"/>
    <n v="0"/>
    <n v="10"/>
    <n v="2"/>
    <n v="3"/>
    <n v="2"/>
    <n v="2"/>
    <n v="2"/>
    <n v="2"/>
    <x v="1"/>
    <x v="1"/>
    <x v="0"/>
    <x v="1"/>
    <x v="0"/>
    <x v="2"/>
    <x v="0"/>
    <x v="3"/>
    <s v="No Options"/>
    <x v="1"/>
    <x v="0"/>
    <x v="2"/>
    <x v="1"/>
  </r>
  <r>
    <n v="25"/>
    <x v="1"/>
    <s v="Travel_Rarely"/>
    <n v="949"/>
    <x v="1"/>
    <n v="1"/>
    <n v="3"/>
    <s v="Technical Degree"/>
    <n v="1415"/>
    <n v="1"/>
    <x v="1"/>
    <n v="81"/>
    <n v="3"/>
    <n v="1"/>
    <x v="2"/>
    <n v="4"/>
    <x v="1"/>
    <n v="3229"/>
    <n v="4"/>
    <x v="1"/>
    <n v="11"/>
    <n v="3"/>
    <n v="2"/>
    <n v="1"/>
    <n v="7"/>
    <n v="2"/>
    <n v="2"/>
    <n v="3"/>
    <n v="2"/>
    <n v="0"/>
    <n v="2"/>
    <x v="1"/>
    <x v="1"/>
    <x v="3"/>
    <x v="3"/>
    <x v="0"/>
    <x v="1"/>
    <x v="0"/>
    <x v="2"/>
    <s v="Low"/>
    <x v="2"/>
    <x v="2"/>
    <x v="0"/>
    <x v="2"/>
  </r>
  <r>
    <n v="26"/>
    <x v="1"/>
    <s v="Travel_Rarely"/>
    <n v="652"/>
    <x v="1"/>
    <n v="7"/>
    <n v="3"/>
    <s v="Other"/>
    <n v="1417"/>
    <n v="3"/>
    <x v="1"/>
    <n v="100"/>
    <n v="4"/>
    <n v="1"/>
    <x v="2"/>
    <n v="1"/>
    <x v="0"/>
    <n v="3578"/>
    <n v="0"/>
    <x v="1"/>
    <n v="12"/>
    <n v="3"/>
    <n v="4"/>
    <n v="0"/>
    <n v="8"/>
    <n v="2"/>
    <n v="3"/>
    <n v="7"/>
    <n v="7"/>
    <n v="0"/>
    <n v="7"/>
    <x v="1"/>
    <x v="1"/>
    <x v="3"/>
    <x v="1"/>
    <x v="2"/>
    <x v="1"/>
    <x v="3"/>
    <x v="1"/>
    <s v="No Options"/>
    <x v="1"/>
    <x v="2"/>
    <x v="0"/>
    <x v="0"/>
  </r>
  <r>
    <n v="29"/>
    <x v="1"/>
    <s v="Travel_Rarely"/>
    <n v="332"/>
    <x v="2"/>
    <n v="17"/>
    <n v="3"/>
    <s v="Other"/>
    <n v="1419"/>
    <n v="2"/>
    <x v="1"/>
    <n v="51"/>
    <n v="2"/>
    <n v="3"/>
    <x v="8"/>
    <n v="1"/>
    <x v="0"/>
    <n v="7988"/>
    <n v="1"/>
    <x v="1"/>
    <n v="13"/>
    <n v="3"/>
    <n v="1"/>
    <n v="0"/>
    <n v="10"/>
    <n v="3"/>
    <n v="2"/>
    <n v="10"/>
    <n v="9"/>
    <n v="0"/>
    <n v="9"/>
    <x v="1"/>
    <x v="1"/>
    <x v="3"/>
    <x v="0"/>
    <x v="1"/>
    <x v="2"/>
    <x v="3"/>
    <x v="0"/>
    <s v="No Options"/>
    <x v="2"/>
    <x v="2"/>
    <x v="2"/>
    <x v="0"/>
  </r>
  <r>
    <n v="49"/>
    <x v="0"/>
    <s v="Travel_Frequently"/>
    <n v="1475"/>
    <x v="1"/>
    <n v="28"/>
    <n v="2"/>
    <s v="Life Sciences"/>
    <n v="1420"/>
    <n v="1"/>
    <x v="1"/>
    <n v="97"/>
    <n v="2"/>
    <n v="2"/>
    <x v="2"/>
    <n v="1"/>
    <x v="0"/>
    <n v="4284"/>
    <n v="3"/>
    <x v="1"/>
    <n v="20"/>
    <n v="4"/>
    <n v="1"/>
    <n v="0"/>
    <n v="20"/>
    <n v="2"/>
    <n v="3"/>
    <n v="4"/>
    <n v="3"/>
    <n v="1"/>
    <n v="3"/>
    <x v="0"/>
    <x v="1"/>
    <x v="0"/>
    <x v="3"/>
    <x v="1"/>
    <x v="0"/>
    <x v="3"/>
    <x v="0"/>
    <s v="No Options"/>
    <x v="1"/>
    <x v="1"/>
    <x v="0"/>
    <x v="2"/>
  </r>
  <r>
    <n v="29"/>
    <x v="0"/>
    <s v="Travel_Frequently"/>
    <n v="337"/>
    <x v="1"/>
    <n v="14"/>
    <n v="1"/>
    <s v="Other"/>
    <n v="1421"/>
    <n v="3"/>
    <x v="0"/>
    <n v="84"/>
    <n v="3"/>
    <n v="3"/>
    <x v="4"/>
    <n v="4"/>
    <x v="0"/>
    <n v="7553"/>
    <n v="0"/>
    <x v="0"/>
    <n v="12"/>
    <n v="3"/>
    <n v="1"/>
    <n v="0"/>
    <n v="9"/>
    <n v="1"/>
    <n v="3"/>
    <n v="8"/>
    <n v="7"/>
    <n v="7"/>
    <n v="7"/>
    <x v="0"/>
    <x v="0"/>
    <x v="1"/>
    <x v="1"/>
    <x v="0"/>
    <x v="2"/>
    <x v="0"/>
    <x v="0"/>
    <s v="No Options"/>
    <x v="1"/>
    <x v="2"/>
    <x v="2"/>
    <x v="0"/>
  </r>
  <r>
    <n v="54"/>
    <x v="1"/>
    <s v="Travel_Rarely"/>
    <n v="971"/>
    <x v="1"/>
    <n v="1"/>
    <n v="3"/>
    <s v="Medical"/>
    <n v="1422"/>
    <n v="4"/>
    <x v="0"/>
    <n v="54"/>
    <n v="3"/>
    <n v="4"/>
    <x v="7"/>
    <n v="4"/>
    <x v="0"/>
    <n v="17328"/>
    <n v="6"/>
    <x v="1"/>
    <n v="19"/>
    <n v="3"/>
    <n v="4"/>
    <n v="0"/>
    <n v="29"/>
    <n v="3"/>
    <n v="2"/>
    <n v="20"/>
    <n v="7"/>
    <n v="12"/>
    <n v="7"/>
    <x v="1"/>
    <x v="1"/>
    <x v="3"/>
    <x v="2"/>
    <x v="0"/>
    <x v="3"/>
    <x v="0"/>
    <x v="1"/>
    <s v="No Options"/>
    <x v="2"/>
    <x v="1"/>
    <x v="3"/>
    <x v="4"/>
  </r>
  <r>
    <n v="58"/>
    <x v="1"/>
    <s v="Travel_Rarely"/>
    <n v="1055"/>
    <x v="1"/>
    <n v="1"/>
    <n v="3"/>
    <s v="Medical"/>
    <n v="1423"/>
    <n v="4"/>
    <x v="0"/>
    <n v="76"/>
    <n v="3"/>
    <n v="5"/>
    <x v="7"/>
    <n v="1"/>
    <x v="1"/>
    <n v="19701"/>
    <n v="3"/>
    <x v="0"/>
    <n v="21"/>
    <n v="4"/>
    <n v="3"/>
    <n v="1"/>
    <n v="32"/>
    <n v="3"/>
    <n v="3"/>
    <n v="9"/>
    <n v="8"/>
    <n v="1"/>
    <n v="5"/>
    <x v="1"/>
    <x v="0"/>
    <x v="3"/>
    <x v="2"/>
    <x v="0"/>
    <x v="4"/>
    <x v="3"/>
    <x v="3"/>
    <s v="Low"/>
    <x v="1"/>
    <x v="3"/>
    <x v="3"/>
    <x v="0"/>
  </r>
  <r>
    <n v="55"/>
    <x v="1"/>
    <s v="Travel_Rarely"/>
    <n v="1136"/>
    <x v="1"/>
    <n v="1"/>
    <n v="4"/>
    <s v="Medical"/>
    <n v="1424"/>
    <n v="2"/>
    <x v="1"/>
    <n v="81"/>
    <n v="4"/>
    <n v="4"/>
    <x v="7"/>
    <n v="4"/>
    <x v="2"/>
    <n v="14732"/>
    <n v="2"/>
    <x v="1"/>
    <n v="13"/>
    <n v="3"/>
    <n v="4"/>
    <n v="2"/>
    <n v="31"/>
    <n v="4"/>
    <n v="4"/>
    <n v="7"/>
    <n v="7"/>
    <n v="0"/>
    <n v="0"/>
    <x v="1"/>
    <x v="1"/>
    <x v="2"/>
    <x v="0"/>
    <x v="2"/>
    <x v="3"/>
    <x v="0"/>
    <x v="1"/>
    <s v="Medium"/>
    <x v="3"/>
    <x v="3"/>
    <x v="3"/>
    <x v="0"/>
  </r>
  <r>
    <n v="36"/>
    <x v="1"/>
    <s v="Travel_Rarely"/>
    <n v="1174"/>
    <x v="0"/>
    <n v="3"/>
    <n v="4"/>
    <s v="Marketing"/>
    <n v="1425"/>
    <n v="1"/>
    <x v="0"/>
    <n v="99"/>
    <n v="3"/>
    <n v="2"/>
    <x v="0"/>
    <n v="2"/>
    <x v="0"/>
    <n v="9278"/>
    <n v="3"/>
    <x v="0"/>
    <n v="16"/>
    <n v="3"/>
    <n v="4"/>
    <n v="0"/>
    <n v="15"/>
    <n v="3"/>
    <n v="3"/>
    <n v="5"/>
    <n v="4"/>
    <n v="0"/>
    <n v="1"/>
    <x v="1"/>
    <x v="0"/>
    <x v="2"/>
    <x v="3"/>
    <x v="0"/>
    <x v="0"/>
    <x v="1"/>
    <x v="1"/>
    <s v="No Options"/>
    <x v="1"/>
    <x v="0"/>
    <x v="2"/>
    <x v="2"/>
  </r>
  <r>
    <n v="31"/>
    <x v="0"/>
    <s v="Travel_Frequently"/>
    <n v="667"/>
    <x v="0"/>
    <n v="1"/>
    <n v="4"/>
    <s v="Life Sciences"/>
    <n v="1427"/>
    <n v="2"/>
    <x v="0"/>
    <n v="50"/>
    <n v="1"/>
    <n v="1"/>
    <x v="6"/>
    <n v="3"/>
    <x v="0"/>
    <n v="1359"/>
    <n v="1"/>
    <x v="1"/>
    <n v="12"/>
    <n v="3"/>
    <n v="2"/>
    <n v="0"/>
    <n v="1"/>
    <n v="3"/>
    <n v="3"/>
    <n v="1"/>
    <n v="0"/>
    <n v="0"/>
    <n v="0"/>
    <x v="0"/>
    <x v="1"/>
    <x v="2"/>
    <x v="0"/>
    <x v="3"/>
    <x v="1"/>
    <x v="2"/>
    <x v="2"/>
    <s v="No Options"/>
    <x v="1"/>
    <x v="2"/>
    <x v="1"/>
    <x v="1"/>
  </r>
  <r>
    <n v="30"/>
    <x v="1"/>
    <s v="Travel_Rarely"/>
    <n v="855"/>
    <x v="0"/>
    <n v="7"/>
    <n v="4"/>
    <s v="Marketing"/>
    <n v="1428"/>
    <n v="4"/>
    <x v="0"/>
    <n v="73"/>
    <n v="3"/>
    <n v="2"/>
    <x v="0"/>
    <n v="1"/>
    <x v="2"/>
    <n v="4779"/>
    <n v="7"/>
    <x v="1"/>
    <n v="14"/>
    <n v="3"/>
    <n v="2"/>
    <n v="2"/>
    <n v="8"/>
    <n v="3"/>
    <n v="3"/>
    <n v="3"/>
    <n v="2"/>
    <n v="0"/>
    <n v="2"/>
    <x v="1"/>
    <x v="1"/>
    <x v="2"/>
    <x v="2"/>
    <x v="0"/>
    <x v="0"/>
    <x v="3"/>
    <x v="2"/>
    <s v="Medium"/>
    <x v="1"/>
    <x v="2"/>
    <x v="0"/>
    <x v="2"/>
  </r>
  <r>
    <n v="31"/>
    <x v="1"/>
    <s v="Travel_Rarely"/>
    <n v="182"/>
    <x v="1"/>
    <n v="8"/>
    <n v="5"/>
    <s v="Life Sciences"/>
    <n v="1430"/>
    <n v="1"/>
    <x v="0"/>
    <n v="93"/>
    <n v="3"/>
    <n v="4"/>
    <x v="7"/>
    <n v="2"/>
    <x v="0"/>
    <n v="16422"/>
    <n v="3"/>
    <x v="1"/>
    <n v="11"/>
    <n v="3"/>
    <n v="3"/>
    <n v="0"/>
    <n v="9"/>
    <n v="3"/>
    <n v="4"/>
    <n v="3"/>
    <n v="2"/>
    <n v="1"/>
    <n v="0"/>
    <x v="1"/>
    <x v="1"/>
    <x v="4"/>
    <x v="3"/>
    <x v="0"/>
    <x v="3"/>
    <x v="1"/>
    <x v="3"/>
    <s v="No Options"/>
    <x v="3"/>
    <x v="2"/>
    <x v="3"/>
    <x v="2"/>
  </r>
  <r>
    <n v="34"/>
    <x v="1"/>
    <s v="Travel_Frequently"/>
    <n v="560"/>
    <x v="1"/>
    <n v="1"/>
    <n v="4"/>
    <s v="Other"/>
    <n v="1431"/>
    <n v="4"/>
    <x v="1"/>
    <n v="91"/>
    <n v="3"/>
    <n v="1"/>
    <x v="1"/>
    <n v="1"/>
    <x v="2"/>
    <n v="2996"/>
    <n v="5"/>
    <x v="1"/>
    <n v="14"/>
    <n v="3"/>
    <n v="3"/>
    <n v="2"/>
    <n v="10"/>
    <n v="2"/>
    <n v="3"/>
    <n v="4"/>
    <n v="3"/>
    <n v="1"/>
    <n v="3"/>
    <x v="1"/>
    <x v="1"/>
    <x v="2"/>
    <x v="2"/>
    <x v="0"/>
    <x v="1"/>
    <x v="3"/>
    <x v="3"/>
    <s v="Medium"/>
    <x v="1"/>
    <x v="2"/>
    <x v="1"/>
    <x v="2"/>
  </r>
  <r>
    <n v="31"/>
    <x v="0"/>
    <s v="Travel_Rarely"/>
    <n v="202"/>
    <x v="1"/>
    <n v="8"/>
    <n v="3"/>
    <s v="Life Sciences"/>
    <n v="1433"/>
    <n v="1"/>
    <x v="0"/>
    <n v="34"/>
    <n v="2"/>
    <n v="1"/>
    <x v="1"/>
    <n v="2"/>
    <x v="0"/>
    <n v="1261"/>
    <n v="1"/>
    <x v="1"/>
    <n v="12"/>
    <n v="3"/>
    <n v="3"/>
    <n v="0"/>
    <n v="1"/>
    <n v="3"/>
    <n v="4"/>
    <n v="1"/>
    <n v="0"/>
    <n v="0"/>
    <n v="0"/>
    <x v="0"/>
    <x v="1"/>
    <x v="3"/>
    <x v="3"/>
    <x v="1"/>
    <x v="1"/>
    <x v="1"/>
    <x v="3"/>
    <s v="No Options"/>
    <x v="3"/>
    <x v="2"/>
    <x v="1"/>
    <x v="1"/>
  </r>
  <r>
    <n v="27"/>
    <x v="1"/>
    <s v="Travel_Rarely"/>
    <n v="1377"/>
    <x v="1"/>
    <n v="11"/>
    <n v="1"/>
    <s v="Life Sciences"/>
    <n v="1434"/>
    <n v="2"/>
    <x v="1"/>
    <n v="91"/>
    <n v="3"/>
    <n v="1"/>
    <x v="2"/>
    <n v="1"/>
    <x v="1"/>
    <n v="2099"/>
    <n v="0"/>
    <x v="1"/>
    <n v="14"/>
    <n v="3"/>
    <n v="2"/>
    <n v="0"/>
    <n v="6"/>
    <n v="3"/>
    <n v="4"/>
    <n v="5"/>
    <n v="0"/>
    <n v="1"/>
    <n v="4"/>
    <x v="1"/>
    <x v="1"/>
    <x v="1"/>
    <x v="0"/>
    <x v="0"/>
    <x v="1"/>
    <x v="3"/>
    <x v="2"/>
    <s v="No Options"/>
    <x v="3"/>
    <x v="2"/>
    <x v="1"/>
    <x v="2"/>
  </r>
  <r>
    <n v="36"/>
    <x v="1"/>
    <s v="Travel_Rarely"/>
    <n v="172"/>
    <x v="1"/>
    <n v="4"/>
    <n v="4"/>
    <s v="Life Sciences"/>
    <n v="1435"/>
    <n v="1"/>
    <x v="1"/>
    <n v="37"/>
    <n v="2"/>
    <n v="2"/>
    <x v="2"/>
    <n v="4"/>
    <x v="0"/>
    <n v="5810"/>
    <n v="1"/>
    <x v="1"/>
    <n v="16"/>
    <n v="3"/>
    <n v="3"/>
    <n v="0"/>
    <n v="10"/>
    <n v="2"/>
    <n v="2"/>
    <n v="10"/>
    <n v="4"/>
    <n v="1"/>
    <n v="8"/>
    <x v="1"/>
    <x v="1"/>
    <x v="2"/>
    <x v="3"/>
    <x v="1"/>
    <x v="0"/>
    <x v="0"/>
    <x v="3"/>
    <s v="No Options"/>
    <x v="2"/>
    <x v="0"/>
    <x v="0"/>
    <x v="0"/>
  </r>
  <r>
    <n v="36"/>
    <x v="1"/>
    <s v="Travel_Rarely"/>
    <n v="329"/>
    <x v="0"/>
    <n v="16"/>
    <n v="4"/>
    <s v="Marketing"/>
    <n v="1436"/>
    <n v="3"/>
    <x v="0"/>
    <n v="98"/>
    <n v="2"/>
    <n v="2"/>
    <x v="0"/>
    <n v="1"/>
    <x v="1"/>
    <n v="5647"/>
    <n v="4"/>
    <x v="1"/>
    <n v="13"/>
    <n v="3"/>
    <n v="1"/>
    <n v="2"/>
    <n v="11"/>
    <n v="3"/>
    <n v="2"/>
    <n v="3"/>
    <n v="2"/>
    <n v="0"/>
    <n v="2"/>
    <x v="1"/>
    <x v="1"/>
    <x v="2"/>
    <x v="1"/>
    <x v="1"/>
    <x v="0"/>
    <x v="3"/>
    <x v="0"/>
    <s v="Medium"/>
    <x v="2"/>
    <x v="0"/>
    <x v="0"/>
    <x v="2"/>
  </r>
  <r>
    <n v="47"/>
    <x v="1"/>
    <s v="Travel_Rarely"/>
    <n v="465"/>
    <x v="1"/>
    <n v="1"/>
    <n v="3"/>
    <s v="Technical Degree"/>
    <n v="1438"/>
    <n v="1"/>
    <x v="1"/>
    <n v="74"/>
    <n v="3"/>
    <n v="1"/>
    <x v="1"/>
    <n v="4"/>
    <x v="1"/>
    <n v="3420"/>
    <n v="7"/>
    <x v="1"/>
    <n v="12"/>
    <n v="3"/>
    <n v="3"/>
    <n v="1"/>
    <n v="17"/>
    <n v="2"/>
    <n v="2"/>
    <n v="6"/>
    <n v="5"/>
    <n v="1"/>
    <n v="2"/>
    <x v="1"/>
    <x v="1"/>
    <x v="3"/>
    <x v="3"/>
    <x v="0"/>
    <x v="1"/>
    <x v="0"/>
    <x v="3"/>
    <s v="Low"/>
    <x v="2"/>
    <x v="1"/>
    <x v="0"/>
    <x v="0"/>
  </r>
  <r>
    <n v="25"/>
    <x v="0"/>
    <s v="Travel_Rarely"/>
    <n v="383"/>
    <x v="0"/>
    <n v="9"/>
    <n v="2"/>
    <s v="Life Sciences"/>
    <n v="1439"/>
    <n v="1"/>
    <x v="1"/>
    <n v="68"/>
    <n v="2"/>
    <n v="1"/>
    <x v="6"/>
    <n v="1"/>
    <x v="1"/>
    <n v="4400"/>
    <n v="3"/>
    <x v="1"/>
    <n v="12"/>
    <n v="3"/>
    <n v="1"/>
    <n v="0"/>
    <n v="6"/>
    <n v="2"/>
    <n v="3"/>
    <n v="3"/>
    <n v="2"/>
    <n v="2"/>
    <n v="2"/>
    <x v="0"/>
    <x v="1"/>
    <x v="0"/>
    <x v="3"/>
    <x v="1"/>
    <x v="1"/>
    <x v="3"/>
    <x v="0"/>
    <s v="No Options"/>
    <x v="1"/>
    <x v="2"/>
    <x v="0"/>
    <x v="2"/>
  </r>
  <r>
    <n v="37"/>
    <x v="1"/>
    <s v="Non-Travel"/>
    <n v="1413"/>
    <x v="1"/>
    <n v="5"/>
    <n v="2"/>
    <s v="Technical Degree"/>
    <n v="1440"/>
    <n v="3"/>
    <x v="1"/>
    <n v="84"/>
    <n v="4"/>
    <n v="1"/>
    <x v="2"/>
    <n v="3"/>
    <x v="0"/>
    <n v="3500"/>
    <n v="0"/>
    <x v="1"/>
    <n v="14"/>
    <n v="3"/>
    <n v="1"/>
    <n v="0"/>
    <n v="7"/>
    <n v="2"/>
    <n v="1"/>
    <n v="6"/>
    <n v="5"/>
    <n v="1"/>
    <n v="3"/>
    <x v="1"/>
    <x v="1"/>
    <x v="0"/>
    <x v="1"/>
    <x v="2"/>
    <x v="1"/>
    <x v="2"/>
    <x v="0"/>
    <s v="No Options"/>
    <x v="0"/>
    <x v="0"/>
    <x v="0"/>
    <x v="0"/>
  </r>
  <r>
    <n v="56"/>
    <x v="1"/>
    <s v="Travel_Rarely"/>
    <n v="1255"/>
    <x v="1"/>
    <n v="1"/>
    <n v="2"/>
    <s v="Life Sciences"/>
    <n v="1441"/>
    <n v="1"/>
    <x v="0"/>
    <n v="90"/>
    <n v="3"/>
    <n v="1"/>
    <x v="1"/>
    <n v="1"/>
    <x v="1"/>
    <n v="2066"/>
    <n v="2"/>
    <x v="1"/>
    <n v="22"/>
    <n v="4"/>
    <n v="4"/>
    <n v="1"/>
    <n v="5"/>
    <n v="3"/>
    <n v="4"/>
    <n v="3"/>
    <n v="2"/>
    <n v="1"/>
    <n v="0"/>
    <x v="1"/>
    <x v="1"/>
    <x v="0"/>
    <x v="3"/>
    <x v="0"/>
    <x v="1"/>
    <x v="3"/>
    <x v="1"/>
    <s v="Low"/>
    <x v="3"/>
    <x v="3"/>
    <x v="1"/>
    <x v="2"/>
  </r>
  <r>
    <n v="47"/>
    <x v="1"/>
    <s v="Travel_Rarely"/>
    <n v="359"/>
    <x v="1"/>
    <n v="2"/>
    <n v="4"/>
    <s v="Medical"/>
    <n v="1443"/>
    <n v="1"/>
    <x v="0"/>
    <n v="82"/>
    <n v="3"/>
    <n v="4"/>
    <x v="7"/>
    <n v="3"/>
    <x v="1"/>
    <n v="17169"/>
    <n v="3"/>
    <x v="1"/>
    <n v="19"/>
    <n v="3"/>
    <n v="2"/>
    <n v="2"/>
    <n v="26"/>
    <n v="2"/>
    <n v="4"/>
    <n v="20"/>
    <n v="17"/>
    <n v="5"/>
    <n v="6"/>
    <x v="1"/>
    <x v="1"/>
    <x v="2"/>
    <x v="3"/>
    <x v="0"/>
    <x v="3"/>
    <x v="2"/>
    <x v="2"/>
    <s v="Medium"/>
    <x v="3"/>
    <x v="1"/>
    <x v="3"/>
    <x v="4"/>
  </r>
  <r>
    <n v="24"/>
    <x v="1"/>
    <s v="Travel_Rarely"/>
    <n v="1476"/>
    <x v="0"/>
    <n v="4"/>
    <n v="1"/>
    <s v="Medical"/>
    <n v="1445"/>
    <n v="4"/>
    <x v="0"/>
    <n v="42"/>
    <n v="3"/>
    <n v="2"/>
    <x v="0"/>
    <n v="3"/>
    <x v="1"/>
    <n v="4162"/>
    <n v="1"/>
    <x v="0"/>
    <n v="12"/>
    <n v="3"/>
    <n v="3"/>
    <n v="2"/>
    <n v="5"/>
    <n v="3"/>
    <n v="3"/>
    <n v="5"/>
    <n v="4"/>
    <n v="0"/>
    <n v="3"/>
    <x v="1"/>
    <x v="0"/>
    <x v="1"/>
    <x v="2"/>
    <x v="0"/>
    <x v="0"/>
    <x v="2"/>
    <x v="3"/>
    <s v="Medium"/>
    <x v="1"/>
    <x v="4"/>
    <x v="0"/>
    <x v="2"/>
  </r>
  <r>
    <n v="32"/>
    <x v="1"/>
    <s v="Travel_Rarely"/>
    <n v="601"/>
    <x v="0"/>
    <n v="7"/>
    <n v="5"/>
    <s v="Marketing"/>
    <n v="1446"/>
    <n v="4"/>
    <x v="1"/>
    <n v="97"/>
    <n v="3"/>
    <n v="2"/>
    <x v="0"/>
    <n v="4"/>
    <x v="1"/>
    <n v="9204"/>
    <n v="4"/>
    <x v="1"/>
    <n v="12"/>
    <n v="3"/>
    <n v="3"/>
    <n v="1"/>
    <n v="7"/>
    <n v="3"/>
    <n v="2"/>
    <n v="4"/>
    <n v="3"/>
    <n v="0"/>
    <n v="3"/>
    <x v="1"/>
    <x v="1"/>
    <x v="4"/>
    <x v="2"/>
    <x v="0"/>
    <x v="0"/>
    <x v="0"/>
    <x v="3"/>
    <s v="Low"/>
    <x v="2"/>
    <x v="2"/>
    <x v="2"/>
    <x v="2"/>
  </r>
  <r>
    <n v="34"/>
    <x v="1"/>
    <s v="Travel_Rarely"/>
    <n v="401"/>
    <x v="1"/>
    <n v="1"/>
    <n v="3"/>
    <s v="Life Sciences"/>
    <n v="1447"/>
    <n v="4"/>
    <x v="0"/>
    <n v="86"/>
    <n v="2"/>
    <n v="1"/>
    <x v="2"/>
    <n v="2"/>
    <x v="1"/>
    <n v="3294"/>
    <n v="5"/>
    <x v="1"/>
    <n v="17"/>
    <n v="3"/>
    <n v="1"/>
    <n v="1"/>
    <n v="7"/>
    <n v="2"/>
    <n v="2"/>
    <n v="5"/>
    <n v="4"/>
    <n v="0"/>
    <n v="2"/>
    <x v="1"/>
    <x v="1"/>
    <x v="3"/>
    <x v="2"/>
    <x v="1"/>
    <x v="1"/>
    <x v="1"/>
    <x v="0"/>
    <s v="Low"/>
    <x v="2"/>
    <x v="2"/>
    <x v="0"/>
    <x v="2"/>
  </r>
  <r>
    <n v="41"/>
    <x v="1"/>
    <s v="Travel_Rarely"/>
    <n v="1283"/>
    <x v="1"/>
    <n v="5"/>
    <n v="5"/>
    <s v="Medical"/>
    <n v="1448"/>
    <n v="2"/>
    <x v="1"/>
    <n v="90"/>
    <n v="4"/>
    <n v="1"/>
    <x v="1"/>
    <n v="3"/>
    <x v="1"/>
    <n v="2127"/>
    <n v="2"/>
    <x v="0"/>
    <n v="12"/>
    <n v="3"/>
    <n v="1"/>
    <n v="0"/>
    <n v="7"/>
    <n v="5"/>
    <n v="2"/>
    <n v="4"/>
    <n v="2"/>
    <n v="0"/>
    <n v="3"/>
    <x v="1"/>
    <x v="0"/>
    <x v="4"/>
    <x v="0"/>
    <x v="2"/>
    <x v="1"/>
    <x v="2"/>
    <x v="0"/>
    <s v="No Options"/>
    <x v="2"/>
    <x v="0"/>
    <x v="1"/>
    <x v="2"/>
  </r>
  <r>
    <n v="40"/>
    <x v="1"/>
    <s v="Non-Travel"/>
    <n v="663"/>
    <x v="1"/>
    <n v="9"/>
    <n v="4"/>
    <s v="Other"/>
    <n v="1449"/>
    <n v="3"/>
    <x v="1"/>
    <n v="81"/>
    <n v="3"/>
    <n v="2"/>
    <x v="2"/>
    <n v="3"/>
    <x v="2"/>
    <n v="3975"/>
    <n v="3"/>
    <x v="1"/>
    <n v="11"/>
    <n v="3"/>
    <n v="3"/>
    <n v="2"/>
    <n v="11"/>
    <n v="2"/>
    <n v="4"/>
    <n v="8"/>
    <n v="7"/>
    <n v="0"/>
    <n v="7"/>
    <x v="1"/>
    <x v="1"/>
    <x v="2"/>
    <x v="1"/>
    <x v="0"/>
    <x v="0"/>
    <x v="2"/>
    <x v="3"/>
    <s v="Medium"/>
    <x v="3"/>
    <x v="0"/>
    <x v="0"/>
    <x v="0"/>
  </r>
  <r>
    <n v="31"/>
    <x v="1"/>
    <s v="Travel_Rarely"/>
    <n v="326"/>
    <x v="0"/>
    <n v="8"/>
    <n v="2"/>
    <s v="Life Sciences"/>
    <n v="1453"/>
    <n v="1"/>
    <x v="1"/>
    <n v="31"/>
    <n v="3"/>
    <n v="3"/>
    <x v="0"/>
    <n v="4"/>
    <x v="2"/>
    <n v="10793"/>
    <n v="1"/>
    <x v="1"/>
    <n v="18"/>
    <n v="3"/>
    <n v="1"/>
    <n v="1"/>
    <n v="13"/>
    <n v="5"/>
    <n v="3"/>
    <n v="13"/>
    <n v="7"/>
    <n v="9"/>
    <n v="9"/>
    <x v="1"/>
    <x v="1"/>
    <x v="0"/>
    <x v="3"/>
    <x v="0"/>
    <x v="2"/>
    <x v="0"/>
    <x v="0"/>
    <s v="Low"/>
    <x v="1"/>
    <x v="2"/>
    <x v="2"/>
    <x v="4"/>
  </r>
  <r>
    <n v="46"/>
    <x v="0"/>
    <s v="Travel_Rarely"/>
    <n v="377"/>
    <x v="0"/>
    <n v="9"/>
    <n v="3"/>
    <s v="Marketing"/>
    <n v="1457"/>
    <n v="1"/>
    <x v="1"/>
    <n v="52"/>
    <n v="3"/>
    <n v="3"/>
    <x v="0"/>
    <n v="4"/>
    <x v="2"/>
    <n v="10096"/>
    <n v="4"/>
    <x v="1"/>
    <n v="11"/>
    <n v="3"/>
    <n v="1"/>
    <n v="1"/>
    <n v="28"/>
    <n v="1"/>
    <n v="4"/>
    <n v="7"/>
    <n v="7"/>
    <n v="4"/>
    <n v="3"/>
    <x v="0"/>
    <x v="1"/>
    <x v="3"/>
    <x v="3"/>
    <x v="0"/>
    <x v="2"/>
    <x v="0"/>
    <x v="0"/>
    <s v="Low"/>
    <x v="3"/>
    <x v="1"/>
    <x v="2"/>
    <x v="0"/>
  </r>
  <r>
    <n v="39"/>
    <x v="0"/>
    <s v="Non-Travel"/>
    <n v="592"/>
    <x v="1"/>
    <n v="2"/>
    <n v="3"/>
    <s v="Life Sciences"/>
    <n v="1458"/>
    <n v="1"/>
    <x v="0"/>
    <n v="54"/>
    <n v="2"/>
    <n v="1"/>
    <x v="2"/>
    <n v="1"/>
    <x v="0"/>
    <n v="3646"/>
    <n v="2"/>
    <x v="0"/>
    <n v="23"/>
    <n v="4"/>
    <n v="2"/>
    <n v="0"/>
    <n v="11"/>
    <n v="2"/>
    <n v="4"/>
    <n v="1"/>
    <n v="0"/>
    <n v="0"/>
    <n v="0"/>
    <x v="0"/>
    <x v="0"/>
    <x v="3"/>
    <x v="3"/>
    <x v="1"/>
    <x v="1"/>
    <x v="3"/>
    <x v="2"/>
    <s v="No Options"/>
    <x v="3"/>
    <x v="0"/>
    <x v="0"/>
    <x v="1"/>
  </r>
  <r>
    <n v="31"/>
    <x v="0"/>
    <s v="Travel_Frequently"/>
    <n v="1445"/>
    <x v="1"/>
    <n v="1"/>
    <n v="5"/>
    <s v="Life Sciences"/>
    <n v="1459"/>
    <n v="3"/>
    <x v="0"/>
    <n v="100"/>
    <n v="4"/>
    <n v="3"/>
    <x v="3"/>
    <n v="2"/>
    <x v="0"/>
    <n v="7446"/>
    <n v="1"/>
    <x v="1"/>
    <n v="11"/>
    <n v="3"/>
    <n v="1"/>
    <n v="0"/>
    <n v="10"/>
    <n v="2"/>
    <n v="3"/>
    <n v="10"/>
    <n v="8"/>
    <n v="4"/>
    <n v="7"/>
    <x v="0"/>
    <x v="1"/>
    <x v="4"/>
    <x v="1"/>
    <x v="2"/>
    <x v="2"/>
    <x v="1"/>
    <x v="0"/>
    <s v="No Options"/>
    <x v="1"/>
    <x v="2"/>
    <x v="2"/>
    <x v="0"/>
  </r>
  <r>
    <n v="45"/>
    <x v="1"/>
    <s v="Travel_Rarely"/>
    <n v="1038"/>
    <x v="1"/>
    <n v="20"/>
    <n v="3"/>
    <s v="Medical"/>
    <n v="1460"/>
    <n v="2"/>
    <x v="1"/>
    <n v="95"/>
    <n v="1"/>
    <n v="3"/>
    <x v="4"/>
    <n v="1"/>
    <x v="2"/>
    <n v="10851"/>
    <n v="2"/>
    <x v="0"/>
    <n v="18"/>
    <n v="3"/>
    <n v="2"/>
    <n v="1"/>
    <n v="24"/>
    <n v="2"/>
    <n v="3"/>
    <n v="7"/>
    <n v="7"/>
    <n v="0"/>
    <n v="7"/>
    <x v="1"/>
    <x v="0"/>
    <x v="3"/>
    <x v="0"/>
    <x v="3"/>
    <x v="2"/>
    <x v="3"/>
    <x v="2"/>
    <s v="Low"/>
    <x v="1"/>
    <x v="1"/>
    <x v="2"/>
    <x v="0"/>
  </r>
  <r>
    <n v="31"/>
    <x v="1"/>
    <s v="Travel_Rarely"/>
    <n v="1398"/>
    <x v="2"/>
    <n v="8"/>
    <n v="2"/>
    <s v="Medical"/>
    <n v="1461"/>
    <n v="4"/>
    <x v="0"/>
    <n v="96"/>
    <n v="4"/>
    <n v="1"/>
    <x v="8"/>
    <n v="2"/>
    <x v="0"/>
    <n v="2109"/>
    <n v="9"/>
    <x v="1"/>
    <n v="18"/>
    <n v="3"/>
    <n v="4"/>
    <n v="0"/>
    <n v="8"/>
    <n v="3"/>
    <n v="3"/>
    <n v="3"/>
    <n v="2"/>
    <n v="0"/>
    <n v="2"/>
    <x v="1"/>
    <x v="1"/>
    <x v="0"/>
    <x v="2"/>
    <x v="2"/>
    <x v="1"/>
    <x v="1"/>
    <x v="1"/>
    <s v="No Options"/>
    <x v="1"/>
    <x v="2"/>
    <x v="1"/>
    <x v="2"/>
  </r>
  <r>
    <n v="31"/>
    <x v="0"/>
    <s v="Travel_Frequently"/>
    <n v="523"/>
    <x v="1"/>
    <n v="2"/>
    <n v="3"/>
    <s v="Life Sciences"/>
    <n v="1464"/>
    <n v="2"/>
    <x v="1"/>
    <n v="94"/>
    <n v="3"/>
    <n v="1"/>
    <x v="2"/>
    <n v="4"/>
    <x v="1"/>
    <n v="3722"/>
    <n v="6"/>
    <x v="0"/>
    <n v="13"/>
    <n v="3"/>
    <n v="3"/>
    <n v="1"/>
    <n v="7"/>
    <n v="2"/>
    <n v="1"/>
    <n v="2"/>
    <n v="2"/>
    <n v="2"/>
    <n v="2"/>
    <x v="0"/>
    <x v="0"/>
    <x v="3"/>
    <x v="0"/>
    <x v="0"/>
    <x v="1"/>
    <x v="0"/>
    <x v="3"/>
    <s v="Low"/>
    <x v="0"/>
    <x v="2"/>
    <x v="0"/>
    <x v="1"/>
  </r>
  <r>
    <n v="45"/>
    <x v="1"/>
    <s v="Travel_Rarely"/>
    <n v="1448"/>
    <x v="1"/>
    <n v="29"/>
    <n v="3"/>
    <s v="Technical Degree"/>
    <n v="1465"/>
    <n v="2"/>
    <x v="1"/>
    <n v="55"/>
    <n v="3"/>
    <n v="3"/>
    <x v="3"/>
    <n v="4"/>
    <x v="1"/>
    <n v="9380"/>
    <n v="4"/>
    <x v="0"/>
    <n v="18"/>
    <n v="3"/>
    <n v="4"/>
    <n v="2"/>
    <n v="10"/>
    <n v="4"/>
    <n v="4"/>
    <n v="3"/>
    <n v="1"/>
    <n v="1"/>
    <n v="2"/>
    <x v="1"/>
    <x v="0"/>
    <x v="3"/>
    <x v="0"/>
    <x v="0"/>
    <x v="2"/>
    <x v="0"/>
    <x v="1"/>
    <s v="Medium"/>
    <x v="3"/>
    <x v="1"/>
    <x v="2"/>
    <x v="2"/>
  </r>
  <r>
    <n v="48"/>
    <x v="1"/>
    <s v="Travel_Rarely"/>
    <n v="1221"/>
    <x v="0"/>
    <n v="7"/>
    <n v="3"/>
    <s v="Marketing"/>
    <n v="1466"/>
    <n v="3"/>
    <x v="1"/>
    <n v="96"/>
    <n v="3"/>
    <n v="2"/>
    <x v="0"/>
    <n v="1"/>
    <x v="2"/>
    <n v="5486"/>
    <n v="4"/>
    <x v="1"/>
    <n v="11"/>
    <n v="3"/>
    <n v="1"/>
    <n v="3"/>
    <n v="15"/>
    <n v="3"/>
    <n v="3"/>
    <n v="2"/>
    <n v="2"/>
    <n v="2"/>
    <n v="2"/>
    <x v="1"/>
    <x v="1"/>
    <x v="3"/>
    <x v="1"/>
    <x v="0"/>
    <x v="0"/>
    <x v="3"/>
    <x v="0"/>
    <s v="High"/>
    <x v="1"/>
    <x v="1"/>
    <x v="0"/>
    <x v="1"/>
  </r>
  <r>
    <n v="34"/>
    <x v="0"/>
    <s v="Travel_Rarely"/>
    <n v="1107"/>
    <x v="2"/>
    <n v="9"/>
    <n v="4"/>
    <s v="Technical Degree"/>
    <n v="1467"/>
    <n v="1"/>
    <x v="0"/>
    <n v="52"/>
    <n v="3"/>
    <n v="1"/>
    <x v="8"/>
    <n v="3"/>
    <x v="1"/>
    <n v="2742"/>
    <n v="1"/>
    <x v="1"/>
    <n v="15"/>
    <n v="3"/>
    <n v="4"/>
    <n v="0"/>
    <n v="2"/>
    <n v="0"/>
    <n v="3"/>
    <n v="2"/>
    <n v="2"/>
    <n v="2"/>
    <n v="2"/>
    <x v="0"/>
    <x v="1"/>
    <x v="2"/>
    <x v="3"/>
    <x v="0"/>
    <x v="1"/>
    <x v="2"/>
    <x v="1"/>
    <s v="No Options"/>
    <x v="1"/>
    <x v="2"/>
    <x v="1"/>
    <x v="1"/>
  </r>
  <r>
    <n v="40"/>
    <x v="1"/>
    <s v="Non-Travel"/>
    <n v="218"/>
    <x v="1"/>
    <n v="8"/>
    <n v="1"/>
    <s v="Medical"/>
    <n v="1468"/>
    <n v="4"/>
    <x v="1"/>
    <n v="55"/>
    <n v="2"/>
    <n v="3"/>
    <x v="7"/>
    <n v="2"/>
    <x v="2"/>
    <n v="13757"/>
    <n v="2"/>
    <x v="1"/>
    <n v="11"/>
    <n v="3"/>
    <n v="3"/>
    <n v="1"/>
    <n v="16"/>
    <n v="5"/>
    <n v="3"/>
    <n v="9"/>
    <n v="8"/>
    <n v="4"/>
    <n v="8"/>
    <x v="1"/>
    <x v="1"/>
    <x v="1"/>
    <x v="2"/>
    <x v="1"/>
    <x v="2"/>
    <x v="1"/>
    <x v="3"/>
    <s v="Low"/>
    <x v="1"/>
    <x v="0"/>
    <x v="3"/>
    <x v="0"/>
  </r>
  <r>
    <n v="28"/>
    <x v="1"/>
    <s v="Travel_Rarely"/>
    <n v="866"/>
    <x v="0"/>
    <n v="5"/>
    <n v="3"/>
    <s v="Medical"/>
    <n v="1469"/>
    <n v="4"/>
    <x v="1"/>
    <n v="84"/>
    <n v="3"/>
    <n v="2"/>
    <x v="0"/>
    <n v="1"/>
    <x v="0"/>
    <n v="8463"/>
    <n v="0"/>
    <x v="1"/>
    <n v="18"/>
    <n v="3"/>
    <n v="4"/>
    <n v="0"/>
    <n v="6"/>
    <n v="4"/>
    <n v="3"/>
    <n v="5"/>
    <n v="4"/>
    <n v="1"/>
    <n v="3"/>
    <x v="1"/>
    <x v="1"/>
    <x v="3"/>
    <x v="2"/>
    <x v="0"/>
    <x v="0"/>
    <x v="3"/>
    <x v="1"/>
    <s v="No Options"/>
    <x v="1"/>
    <x v="2"/>
    <x v="2"/>
    <x v="2"/>
  </r>
  <r>
    <n v="44"/>
    <x v="1"/>
    <s v="Non-Travel"/>
    <n v="981"/>
    <x v="1"/>
    <n v="5"/>
    <n v="3"/>
    <s v="Life Sciences"/>
    <n v="1471"/>
    <n v="3"/>
    <x v="1"/>
    <n v="90"/>
    <n v="2"/>
    <n v="1"/>
    <x v="2"/>
    <n v="3"/>
    <x v="0"/>
    <n v="3162"/>
    <n v="3"/>
    <x v="1"/>
    <n v="14"/>
    <n v="3"/>
    <n v="4"/>
    <n v="0"/>
    <n v="7"/>
    <n v="5"/>
    <n v="3"/>
    <n v="5"/>
    <n v="2"/>
    <n v="0"/>
    <n v="3"/>
    <x v="1"/>
    <x v="1"/>
    <x v="3"/>
    <x v="1"/>
    <x v="1"/>
    <x v="1"/>
    <x v="2"/>
    <x v="1"/>
    <s v="No Options"/>
    <x v="1"/>
    <x v="0"/>
    <x v="0"/>
    <x v="2"/>
  </r>
  <r>
    <n v="53"/>
    <x v="1"/>
    <s v="Travel_Rarely"/>
    <n v="447"/>
    <x v="1"/>
    <n v="2"/>
    <n v="3"/>
    <s v="Medical"/>
    <n v="1472"/>
    <n v="4"/>
    <x v="1"/>
    <n v="39"/>
    <n v="4"/>
    <n v="4"/>
    <x v="7"/>
    <n v="2"/>
    <x v="0"/>
    <n v="16598"/>
    <n v="4"/>
    <x v="1"/>
    <n v="12"/>
    <n v="3"/>
    <n v="2"/>
    <n v="0"/>
    <n v="35"/>
    <n v="2"/>
    <n v="2"/>
    <n v="9"/>
    <n v="8"/>
    <n v="8"/>
    <n v="8"/>
    <x v="1"/>
    <x v="1"/>
    <x v="3"/>
    <x v="2"/>
    <x v="2"/>
    <x v="3"/>
    <x v="1"/>
    <x v="2"/>
    <s v="No Options"/>
    <x v="2"/>
    <x v="1"/>
    <x v="3"/>
    <x v="0"/>
  </r>
  <r>
    <n v="49"/>
    <x v="1"/>
    <s v="Travel_Rarely"/>
    <n v="1495"/>
    <x v="1"/>
    <n v="5"/>
    <n v="4"/>
    <s v="Technical Degree"/>
    <n v="1473"/>
    <n v="1"/>
    <x v="1"/>
    <n v="96"/>
    <n v="3"/>
    <n v="2"/>
    <x v="4"/>
    <n v="3"/>
    <x v="1"/>
    <n v="6651"/>
    <n v="2"/>
    <x v="1"/>
    <n v="14"/>
    <n v="3"/>
    <n v="2"/>
    <n v="1"/>
    <n v="20"/>
    <n v="0"/>
    <n v="2"/>
    <n v="3"/>
    <n v="2"/>
    <n v="1"/>
    <n v="2"/>
    <x v="1"/>
    <x v="1"/>
    <x v="2"/>
    <x v="3"/>
    <x v="0"/>
    <x v="0"/>
    <x v="2"/>
    <x v="2"/>
    <s v="Low"/>
    <x v="2"/>
    <x v="1"/>
    <x v="0"/>
    <x v="2"/>
  </r>
  <r>
    <n v="40"/>
    <x v="1"/>
    <s v="Travel_Rarely"/>
    <n v="896"/>
    <x v="1"/>
    <n v="2"/>
    <n v="3"/>
    <s v="Medical"/>
    <n v="1474"/>
    <n v="3"/>
    <x v="1"/>
    <n v="68"/>
    <n v="3"/>
    <n v="1"/>
    <x v="1"/>
    <n v="3"/>
    <x v="2"/>
    <n v="2345"/>
    <n v="2"/>
    <x v="1"/>
    <n v="14"/>
    <n v="3"/>
    <n v="3"/>
    <n v="1"/>
    <n v="8"/>
    <n v="3"/>
    <n v="4"/>
    <n v="3"/>
    <n v="1"/>
    <n v="1"/>
    <n v="2"/>
    <x v="1"/>
    <x v="1"/>
    <x v="3"/>
    <x v="1"/>
    <x v="0"/>
    <x v="1"/>
    <x v="2"/>
    <x v="3"/>
    <s v="Low"/>
    <x v="3"/>
    <x v="0"/>
    <x v="1"/>
    <x v="2"/>
  </r>
  <r>
    <n v="44"/>
    <x v="1"/>
    <s v="Travel_Rarely"/>
    <n v="1467"/>
    <x v="1"/>
    <n v="20"/>
    <n v="3"/>
    <s v="Life Sciences"/>
    <n v="1475"/>
    <n v="4"/>
    <x v="1"/>
    <n v="49"/>
    <n v="3"/>
    <n v="1"/>
    <x v="1"/>
    <n v="2"/>
    <x v="0"/>
    <n v="3420"/>
    <n v="1"/>
    <x v="1"/>
    <n v="13"/>
    <n v="3"/>
    <n v="3"/>
    <n v="0"/>
    <n v="6"/>
    <n v="3"/>
    <n v="2"/>
    <n v="5"/>
    <n v="2"/>
    <n v="1"/>
    <n v="3"/>
    <x v="1"/>
    <x v="1"/>
    <x v="3"/>
    <x v="2"/>
    <x v="0"/>
    <x v="1"/>
    <x v="1"/>
    <x v="3"/>
    <s v="No Options"/>
    <x v="2"/>
    <x v="0"/>
    <x v="0"/>
    <x v="2"/>
  </r>
  <r>
    <n v="33"/>
    <x v="1"/>
    <s v="Travel_Frequently"/>
    <n v="430"/>
    <x v="0"/>
    <n v="7"/>
    <n v="3"/>
    <s v="Medical"/>
    <n v="1477"/>
    <n v="4"/>
    <x v="1"/>
    <n v="54"/>
    <n v="3"/>
    <n v="2"/>
    <x v="0"/>
    <n v="1"/>
    <x v="1"/>
    <n v="4373"/>
    <n v="0"/>
    <x v="1"/>
    <n v="14"/>
    <n v="3"/>
    <n v="1"/>
    <n v="2"/>
    <n v="5"/>
    <n v="2"/>
    <n v="3"/>
    <n v="4"/>
    <n v="3"/>
    <n v="0"/>
    <n v="3"/>
    <x v="1"/>
    <x v="1"/>
    <x v="3"/>
    <x v="2"/>
    <x v="0"/>
    <x v="0"/>
    <x v="3"/>
    <x v="0"/>
    <s v="Medium"/>
    <x v="1"/>
    <x v="2"/>
    <x v="0"/>
    <x v="2"/>
  </r>
  <r>
    <n v="34"/>
    <x v="1"/>
    <s v="Travel_Rarely"/>
    <n v="1326"/>
    <x v="0"/>
    <n v="3"/>
    <n v="3"/>
    <s v="Other"/>
    <n v="1478"/>
    <n v="4"/>
    <x v="1"/>
    <n v="81"/>
    <n v="1"/>
    <n v="2"/>
    <x v="0"/>
    <n v="1"/>
    <x v="0"/>
    <n v="4759"/>
    <n v="3"/>
    <x v="1"/>
    <n v="18"/>
    <n v="3"/>
    <n v="4"/>
    <n v="0"/>
    <n v="15"/>
    <n v="2"/>
    <n v="3"/>
    <n v="13"/>
    <n v="9"/>
    <n v="3"/>
    <n v="12"/>
    <x v="1"/>
    <x v="1"/>
    <x v="3"/>
    <x v="2"/>
    <x v="3"/>
    <x v="0"/>
    <x v="3"/>
    <x v="1"/>
    <s v="No Options"/>
    <x v="1"/>
    <x v="2"/>
    <x v="0"/>
    <x v="4"/>
  </r>
  <r>
    <n v="30"/>
    <x v="1"/>
    <s v="Travel_Rarely"/>
    <n v="1358"/>
    <x v="0"/>
    <n v="16"/>
    <n v="1"/>
    <s v="Life Sciences"/>
    <n v="1479"/>
    <n v="4"/>
    <x v="1"/>
    <n v="96"/>
    <n v="3"/>
    <n v="2"/>
    <x v="0"/>
    <n v="3"/>
    <x v="1"/>
    <n v="5301"/>
    <n v="8"/>
    <x v="1"/>
    <n v="15"/>
    <n v="3"/>
    <n v="3"/>
    <n v="2"/>
    <n v="4"/>
    <n v="2"/>
    <n v="2"/>
    <n v="2"/>
    <n v="1"/>
    <n v="2"/>
    <n v="2"/>
    <x v="1"/>
    <x v="1"/>
    <x v="1"/>
    <x v="2"/>
    <x v="0"/>
    <x v="0"/>
    <x v="2"/>
    <x v="3"/>
    <s v="Medium"/>
    <x v="2"/>
    <x v="2"/>
    <x v="0"/>
    <x v="1"/>
  </r>
  <r>
    <n v="42"/>
    <x v="1"/>
    <s v="Travel_Frequently"/>
    <n v="748"/>
    <x v="1"/>
    <n v="9"/>
    <n v="2"/>
    <s v="Medical"/>
    <n v="1480"/>
    <n v="1"/>
    <x v="0"/>
    <n v="74"/>
    <n v="3"/>
    <n v="1"/>
    <x v="2"/>
    <n v="4"/>
    <x v="0"/>
    <n v="3673"/>
    <n v="1"/>
    <x v="1"/>
    <n v="13"/>
    <n v="3"/>
    <n v="3"/>
    <n v="0"/>
    <n v="12"/>
    <n v="3"/>
    <n v="3"/>
    <n v="12"/>
    <n v="9"/>
    <n v="5"/>
    <n v="8"/>
    <x v="1"/>
    <x v="1"/>
    <x v="0"/>
    <x v="3"/>
    <x v="0"/>
    <x v="1"/>
    <x v="0"/>
    <x v="3"/>
    <s v="No Options"/>
    <x v="1"/>
    <x v="0"/>
    <x v="0"/>
    <x v="4"/>
  </r>
  <r>
    <n v="44"/>
    <x v="1"/>
    <s v="Travel_Frequently"/>
    <n v="383"/>
    <x v="0"/>
    <n v="1"/>
    <n v="5"/>
    <s v="Marketing"/>
    <n v="1481"/>
    <n v="1"/>
    <x v="0"/>
    <n v="79"/>
    <n v="3"/>
    <n v="2"/>
    <x v="0"/>
    <n v="3"/>
    <x v="1"/>
    <n v="4768"/>
    <n v="7"/>
    <x v="1"/>
    <n v="12"/>
    <n v="3"/>
    <n v="3"/>
    <n v="1"/>
    <n v="11"/>
    <n v="4"/>
    <n v="2"/>
    <n v="1"/>
    <n v="0"/>
    <n v="0"/>
    <n v="0"/>
    <x v="1"/>
    <x v="1"/>
    <x v="4"/>
    <x v="3"/>
    <x v="0"/>
    <x v="0"/>
    <x v="2"/>
    <x v="3"/>
    <s v="Low"/>
    <x v="2"/>
    <x v="0"/>
    <x v="0"/>
    <x v="1"/>
  </r>
  <r>
    <n v="30"/>
    <x v="1"/>
    <s v="Non-Travel"/>
    <n v="990"/>
    <x v="1"/>
    <n v="7"/>
    <n v="3"/>
    <s v="Technical Degree"/>
    <n v="1482"/>
    <n v="3"/>
    <x v="1"/>
    <n v="64"/>
    <n v="3"/>
    <n v="1"/>
    <x v="1"/>
    <n v="3"/>
    <x v="2"/>
    <n v="1274"/>
    <n v="1"/>
    <x v="1"/>
    <n v="13"/>
    <n v="3"/>
    <n v="2"/>
    <n v="2"/>
    <n v="1"/>
    <n v="2"/>
    <n v="2"/>
    <n v="1"/>
    <n v="0"/>
    <n v="0"/>
    <n v="0"/>
    <x v="1"/>
    <x v="1"/>
    <x v="3"/>
    <x v="1"/>
    <x v="0"/>
    <x v="1"/>
    <x v="2"/>
    <x v="2"/>
    <s v="Medium"/>
    <x v="2"/>
    <x v="2"/>
    <x v="1"/>
    <x v="1"/>
  </r>
  <r>
    <n v="57"/>
    <x v="1"/>
    <s v="Travel_Rarely"/>
    <n v="405"/>
    <x v="1"/>
    <n v="1"/>
    <n v="2"/>
    <s v="Life Sciences"/>
    <n v="1483"/>
    <n v="2"/>
    <x v="1"/>
    <n v="93"/>
    <n v="4"/>
    <n v="2"/>
    <x v="1"/>
    <n v="3"/>
    <x v="1"/>
    <n v="4900"/>
    <n v="0"/>
    <x v="1"/>
    <n v="24"/>
    <n v="4"/>
    <n v="1"/>
    <n v="1"/>
    <n v="13"/>
    <n v="2"/>
    <n v="2"/>
    <n v="12"/>
    <n v="9"/>
    <n v="2"/>
    <n v="8"/>
    <x v="1"/>
    <x v="1"/>
    <x v="0"/>
    <x v="0"/>
    <x v="2"/>
    <x v="0"/>
    <x v="2"/>
    <x v="0"/>
    <s v="Low"/>
    <x v="2"/>
    <x v="3"/>
    <x v="0"/>
    <x v="4"/>
  </r>
  <r>
    <n v="49"/>
    <x v="1"/>
    <s v="Travel_Rarely"/>
    <n v="1490"/>
    <x v="1"/>
    <n v="7"/>
    <n v="4"/>
    <s v="Life Sciences"/>
    <n v="1484"/>
    <n v="3"/>
    <x v="1"/>
    <n v="35"/>
    <n v="3"/>
    <n v="3"/>
    <x v="4"/>
    <n v="2"/>
    <x v="2"/>
    <n v="10466"/>
    <n v="3"/>
    <x v="1"/>
    <n v="14"/>
    <n v="3"/>
    <n v="2"/>
    <n v="2"/>
    <n v="29"/>
    <n v="3"/>
    <n v="3"/>
    <n v="8"/>
    <n v="7"/>
    <n v="0"/>
    <n v="7"/>
    <x v="1"/>
    <x v="1"/>
    <x v="2"/>
    <x v="1"/>
    <x v="0"/>
    <x v="2"/>
    <x v="1"/>
    <x v="2"/>
    <s v="Medium"/>
    <x v="1"/>
    <x v="1"/>
    <x v="2"/>
    <x v="0"/>
  </r>
  <r>
    <n v="34"/>
    <x v="1"/>
    <s v="Travel_Frequently"/>
    <n v="829"/>
    <x v="1"/>
    <n v="15"/>
    <n v="3"/>
    <s v="Medical"/>
    <n v="1485"/>
    <n v="2"/>
    <x v="1"/>
    <n v="71"/>
    <n v="3"/>
    <n v="4"/>
    <x v="7"/>
    <n v="1"/>
    <x v="2"/>
    <n v="17007"/>
    <n v="7"/>
    <x v="1"/>
    <n v="14"/>
    <n v="3"/>
    <n v="4"/>
    <n v="2"/>
    <n v="16"/>
    <n v="3"/>
    <n v="2"/>
    <n v="14"/>
    <n v="8"/>
    <n v="6"/>
    <n v="9"/>
    <x v="1"/>
    <x v="1"/>
    <x v="3"/>
    <x v="0"/>
    <x v="0"/>
    <x v="3"/>
    <x v="3"/>
    <x v="1"/>
    <s v="Medium"/>
    <x v="2"/>
    <x v="2"/>
    <x v="3"/>
    <x v="4"/>
  </r>
  <r>
    <n v="28"/>
    <x v="0"/>
    <s v="Travel_Frequently"/>
    <n v="1496"/>
    <x v="0"/>
    <n v="1"/>
    <n v="3"/>
    <s v="Technical Degree"/>
    <n v="1486"/>
    <n v="1"/>
    <x v="1"/>
    <n v="92"/>
    <n v="3"/>
    <n v="1"/>
    <x v="6"/>
    <n v="3"/>
    <x v="1"/>
    <n v="2909"/>
    <n v="3"/>
    <x v="1"/>
    <n v="15"/>
    <n v="3"/>
    <n v="4"/>
    <n v="1"/>
    <n v="5"/>
    <n v="3"/>
    <n v="4"/>
    <n v="3"/>
    <n v="2"/>
    <n v="1"/>
    <n v="2"/>
    <x v="0"/>
    <x v="1"/>
    <x v="3"/>
    <x v="3"/>
    <x v="0"/>
    <x v="1"/>
    <x v="2"/>
    <x v="1"/>
    <s v="Low"/>
    <x v="3"/>
    <x v="2"/>
    <x v="1"/>
    <x v="2"/>
  </r>
  <r>
    <n v="29"/>
    <x v="0"/>
    <s v="Travel_Frequently"/>
    <n v="115"/>
    <x v="0"/>
    <n v="13"/>
    <n v="3"/>
    <s v="Technical Degree"/>
    <n v="1487"/>
    <n v="1"/>
    <x v="0"/>
    <n v="51"/>
    <n v="3"/>
    <n v="2"/>
    <x v="0"/>
    <n v="2"/>
    <x v="0"/>
    <n v="5765"/>
    <n v="5"/>
    <x v="1"/>
    <n v="11"/>
    <n v="3"/>
    <n v="1"/>
    <n v="0"/>
    <n v="7"/>
    <n v="4"/>
    <n v="1"/>
    <n v="5"/>
    <n v="3"/>
    <n v="0"/>
    <n v="0"/>
    <x v="0"/>
    <x v="1"/>
    <x v="3"/>
    <x v="3"/>
    <x v="0"/>
    <x v="0"/>
    <x v="1"/>
    <x v="0"/>
    <s v="No Options"/>
    <x v="0"/>
    <x v="2"/>
    <x v="0"/>
    <x v="2"/>
  </r>
  <r>
    <n v="34"/>
    <x v="0"/>
    <s v="Travel_Rarely"/>
    <n v="790"/>
    <x v="0"/>
    <n v="24"/>
    <n v="4"/>
    <s v="Medical"/>
    <n v="1489"/>
    <n v="1"/>
    <x v="0"/>
    <n v="40"/>
    <n v="2"/>
    <n v="2"/>
    <x v="0"/>
    <n v="2"/>
    <x v="0"/>
    <n v="4599"/>
    <n v="0"/>
    <x v="0"/>
    <n v="23"/>
    <n v="4"/>
    <n v="3"/>
    <n v="0"/>
    <n v="16"/>
    <n v="2"/>
    <n v="4"/>
    <n v="15"/>
    <n v="9"/>
    <n v="10"/>
    <n v="10"/>
    <x v="0"/>
    <x v="0"/>
    <x v="2"/>
    <x v="3"/>
    <x v="1"/>
    <x v="0"/>
    <x v="1"/>
    <x v="3"/>
    <s v="No Options"/>
    <x v="3"/>
    <x v="2"/>
    <x v="0"/>
    <x v="4"/>
  </r>
  <r>
    <n v="35"/>
    <x v="1"/>
    <s v="Travel_Rarely"/>
    <n v="660"/>
    <x v="0"/>
    <n v="7"/>
    <n v="1"/>
    <s v="Life Sciences"/>
    <n v="1492"/>
    <n v="4"/>
    <x v="1"/>
    <n v="76"/>
    <n v="3"/>
    <n v="1"/>
    <x v="6"/>
    <n v="3"/>
    <x v="1"/>
    <n v="2404"/>
    <n v="1"/>
    <x v="1"/>
    <n v="13"/>
    <n v="3"/>
    <n v="1"/>
    <n v="1"/>
    <n v="1"/>
    <n v="3"/>
    <n v="3"/>
    <n v="1"/>
    <n v="0"/>
    <n v="0"/>
    <n v="0"/>
    <x v="1"/>
    <x v="1"/>
    <x v="1"/>
    <x v="2"/>
    <x v="0"/>
    <x v="1"/>
    <x v="2"/>
    <x v="0"/>
    <s v="Low"/>
    <x v="1"/>
    <x v="0"/>
    <x v="1"/>
    <x v="1"/>
  </r>
  <r>
    <n v="24"/>
    <x v="0"/>
    <s v="Travel_Frequently"/>
    <n v="381"/>
    <x v="1"/>
    <n v="9"/>
    <n v="3"/>
    <s v="Medical"/>
    <n v="1494"/>
    <n v="2"/>
    <x v="1"/>
    <n v="89"/>
    <n v="3"/>
    <n v="1"/>
    <x v="2"/>
    <n v="1"/>
    <x v="0"/>
    <n v="3172"/>
    <n v="2"/>
    <x v="0"/>
    <n v="11"/>
    <n v="3"/>
    <n v="3"/>
    <n v="0"/>
    <n v="4"/>
    <n v="2"/>
    <n v="2"/>
    <n v="0"/>
    <n v="0"/>
    <n v="0"/>
    <n v="0"/>
    <x v="0"/>
    <x v="0"/>
    <x v="3"/>
    <x v="0"/>
    <x v="0"/>
    <x v="1"/>
    <x v="3"/>
    <x v="3"/>
    <s v="No Options"/>
    <x v="2"/>
    <x v="4"/>
    <x v="0"/>
    <x v="1"/>
  </r>
  <r>
    <n v="24"/>
    <x v="1"/>
    <s v="Non-Travel"/>
    <n v="830"/>
    <x v="0"/>
    <n v="13"/>
    <n v="2"/>
    <s v="Life Sciences"/>
    <n v="1495"/>
    <n v="4"/>
    <x v="0"/>
    <n v="78"/>
    <n v="3"/>
    <n v="1"/>
    <x v="6"/>
    <n v="2"/>
    <x v="1"/>
    <n v="2033"/>
    <n v="1"/>
    <x v="1"/>
    <n v="13"/>
    <n v="3"/>
    <n v="3"/>
    <n v="1"/>
    <n v="1"/>
    <n v="2"/>
    <n v="3"/>
    <n v="1"/>
    <n v="0"/>
    <n v="0"/>
    <n v="0"/>
    <x v="1"/>
    <x v="1"/>
    <x v="0"/>
    <x v="2"/>
    <x v="0"/>
    <x v="1"/>
    <x v="1"/>
    <x v="3"/>
    <s v="Low"/>
    <x v="1"/>
    <x v="4"/>
    <x v="1"/>
    <x v="1"/>
  </r>
  <r>
    <n v="44"/>
    <x v="1"/>
    <s v="Travel_Frequently"/>
    <n v="1193"/>
    <x v="1"/>
    <n v="2"/>
    <n v="1"/>
    <s v="Medical"/>
    <n v="1496"/>
    <n v="2"/>
    <x v="1"/>
    <n v="86"/>
    <n v="3"/>
    <n v="3"/>
    <x v="3"/>
    <n v="3"/>
    <x v="0"/>
    <n v="10209"/>
    <n v="5"/>
    <x v="0"/>
    <n v="18"/>
    <n v="3"/>
    <n v="2"/>
    <n v="0"/>
    <n v="16"/>
    <n v="2"/>
    <n v="2"/>
    <n v="2"/>
    <n v="2"/>
    <n v="2"/>
    <n v="2"/>
    <x v="1"/>
    <x v="0"/>
    <x v="1"/>
    <x v="0"/>
    <x v="0"/>
    <x v="2"/>
    <x v="2"/>
    <x v="2"/>
    <s v="No Options"/>
    <x v="2"/>
    <x v="0"/>
    <x v="2"/>
    <x v="1"/>
  </r>
  <r>
    <n v="29"/>
    <x v="1"/>
    <s v="Travel_Rarely"/>
    <n v="1246"/>
    <x v="0"/>
    <n v="19"/>
    <n v="3"/>
    <s v="Life Sciences"/>
    <n v="1497"/>
    <n v="3"/>
    <x v="1"/>
    <n v="77"/>
    <n v="2"/>
    <n v="2"/>
    <x v="0"/>
    <n v="3"/>
    <x v="2"/>
    <n v="8620"/>
    <n v="1"/>
    <x v="1"/>
    <n v="14"/>
    <n v="3"/>
    <n v="3"/>
    <n v="2"/>
    <n v="10"/>
    <n v="3"/>
    <n v="3"/>
    <n v="10"/>
    <n v="7"/>
    <n v="0"/>
    <n v="4"/>
    <x v="1"/>
    <x v="1"/>
    <x v="3"/>
    <x v="1"/>
    <x v="1"/>
    <x v="0"/>
    <x v="2"/>
    <x v="3"/>
    <s v="Medium"/>
    <x v="1"/>
    <x v="2"/>
    <x v="2"/>
    <x v="0"/>
  </r>
  <r>
    <n v="30"/>
    <x v="1"/>
    <s v="Travel_Rarely"/>
    <n v="330"/>
    <x v="2"/>
    <n v="1"/>
    <n v="3"/>
    <s v="Life Sciences"/>
    <n v="1499"/>
    <n v="3"/>
    <x v="1"/>
    <n v="46"/>
    <n v="3"/>
    <n v="1"/>
    <x v="8"/>
    <n v="3"/>
    <x v="2"/>
    <n v="2064"/>
    <n v="0"/>
    <x v="1"/>
    <n v="21"/>
    <n v="4"/>
    <n v="1"/>
    <n v="1"/>
    <n v="6"/>
    <n v="3"/>
    <n v="4"/>
    <n v="5"/>
    <n v="3"/>
    <n v="1"/>
    <n v="3"/>
    <x v="1"/>
    <x v="1"/>
    <x v="3"/>
    <x v="1"/>
    <x v="0"/>
    <x v="1"/>
    <x v="2"/>
    <x v="0"/>
    <s v="Low"/>
    <x v="3"/>
    <x v="2"/>
    <x v="1"/>
    <x v="2"/>
  </r>
  <r>
    <n v="55"/>
    <x v="1"/>
    <s v="Travel_Rarely"/>
    <n v="1229"/>
    <x v="1"/>
    <n v="4"/>
    <n v="4"/>
    <s v="Life Sciences"/>
    <n v="1501"/>
    <n v="4"/>
    <x v="1"/>
    <n v="30"/>
    <n v="3"/>
    <n v="2"/>
    <x v="4"/>
    <n v="3"/>
    <x v="1"/>
    <n v="4035"/>
    <n v="0"/>
    <x v="0"/>
    <n v="16"/>
    <n v="3"/>
    <n v="2"/>
    <n v="0"/>
    <n v="4"/>
    <n v="2"/>
    <n v="3"/>
    <n v="3"/>
    <n v="2"/>
    <n v="1"/>
    <n v="2"/>
    <x v="1"/>
    <x v="0"/>
    <x v="2"/>
    <x v="2"/>
    <x v="0"/>
    <x v="0"/>
    <x v="2"/>
    <x v="2"/>
    <s v="No Options"/>
    <x v="1"/>
    <x v="3"/>
    <x v="0"/>
    <x v="2"/>
  </r>
  <r>
    <n v="33"/>
    <x v="1"/>
    <s v="Travel_Rarely"/>
    <n v="1099"/>
    <x v="1"/>
    <n v="4"/>
    <n v="4"/>
    <s v="Medical"/>
    <n v="1502"/>
    <n v="1"/>
    <x v="0"/>
    <n v="82"/>
    <n v="2"/>
    <n v="1"/>
    <x v="2"/>
    <n v="2"/>
    <x v="1"/>
    <n v="3838"/>
    <n v="8"/>
    <x v="1"/>
    <n v="11"/>
    <n v="3"/>
    <n v="4"/>
    <n v="0"/>
    <n v="8"/>
    <n v="5"/>
    <n v="3"/>
    <n v="5"/>
    <n v="4"/>
    <n v="0"/>
    <n v="2"/>
    <x v="1"/>
    <x v="1"/>
    <x v="2"/>
    <x v="3"/>
    <x v="1"/>
    <x v="1"/>
    <x v="1"/>
    <x v="1"/>
    <s v="No Options"/>
    <x v="1"/>
    <x v="2"/>
    <x v="0"/>
    <x v="2"/>
  </r>
  <r>
    <n v="47"/>
    <x v="1"/>
    <s v="Travel_Rarely"/>
    <n v="571"/>
    <x v="0"/>
    <n v="14"/>
    <n v="3"/>
    <s v="Medical"/>
    <n v="1503"/>
    <n v="3"/>
    <x v="0"/>
    <n v="78"/>
    <n v="3"/>
    <n v="2"/>
    <x v="0"/>
    <n v="3"/>
    <x v="1"/>
    <n v="4591"/>
    <n v="3"/>
    <x v="0"/>
    <n v="17"/>
    <n v="3"/>
    <n v="3"/>
    <n v="1"/>
    <n v="11"/>
    <n v="4"/>
    <n v="2"/>
    <n v="5"/>
    <n v="4"/>
    <n v="1"/>
    <n v="2"/>
    <x v="1"/>
    <x v="0"/>
    <x v="3"/>
    <x v="1"/>
    <x v="0"/>
    <x v="0"/>
    <x v="2"/>
    <x v="3"/>
    <s v="Low"/>
    <x v="2"/>
    <x v="1"/>
    <x v="0"/>
    <x v="2"/>
  </r>
  <r>
    <n v="28"/>
    <x v="0"/>
    <s v="Travel_Frequently"/>
    <n v="289"/>
    <x v="1"/>
    <n v="2"/>
    <n v="2"/>
    <s v="Medical"/>
    <n v="1504"/>
    <n v="3"/>
    <x v="1"/>
    <n v="38"/>
    <n v="2"/>
    <n v="1"/>
    <x v="2"/>
    <n v="1"/>
    <x v="0"/>
    <n v="2561"/>
    <n v="7"/>
    <x v="1"/>
    <n v="11"/>
    <n v="3"/>
    <n v="3"/>
    <n v="0"/>
    <n v="8"/>
    <n v="2"/>
    <n v="2"/>
    <n v="0"/>
    <n v="0"/>
    <n v="0"/>
    <n v="0"/>
    <x v="0"/>
    <x v="1"/>
    <x v="0"/>
    <x v="1"/>
    <x v="1"/>
    <x v="1"/>
    <x v="3"/>
    <x v="3"/>
    <s v="No Options"/>
    <x v="2"/>
    <x v="2"/>
    <x v="1"/>
    <x v="1"/>
  </r>
  <r>
    <n v="28"/>
    <x v="1"/>
    <s v="Travel_Rarely"/>
    <n v="1423"/>
    <x v="1"/>
    <n v="1"/>
    <n v="3"/>
    <s v="Life Sciences"/>
    <n v="1506"/>
    <n v="1"/>
    <x v="1"/>
    <n v="72"/>
    <n v="2"/>
    <n v="1"/>
    <x v="1"/>
    <n v="3"/>
    <x v="2"/>
    <n v="1563"/>
    <n v="1"/>
    <x v="1"/>
    <n v="14"/>
    <n v="3"/>
    <n v="4"/>
    <n v="1"/>
    <n v="1"/>
    <n v="2"/>
    <n v="1"/>
    <n v="1"/>
    <n v="0"/>
    <n v="0"/>
    <n v="0"/>
    <x v="1"/>
    <x v="1"/>
    <x v="3"/>
    <x v="3"/>
    <x v="1"/>
    <x v="1"/>
    <x v="2"/>
    <x v="1"/>
    <s v="Low"/>
    <x v="0"/>
    <x v="2"/>
    <x v="1"/>
    <x v="1"/>
  </r>
  <r>
    <n v="28"/>
    <x v="1"/>
    <s v="Travel_Frequently"/>
    <n v="467"/>
    <x v="0"/>
    <n v="7"/>
    <n v="3"/>
    <s v="Life Sciences"/>
    <n v="1507"/>
    <n v="3"/>
    <x v="1"/>
    <n v="55"/>
    <n v="3"/>
    <n v="2"/>
    <x v="0"/>
    <n v="1"/>
    <x v="0"/>
    <n v="4898"/>
    <n v="0"/>
    <x v="1"/>
    <n v="14"/>
    <n v="3"/>
    <n v="4"/>
    <n v="0"/>
    <n v="5"/>
    <n v="5"/>
    <n v="3"/>
    <n v="4"/>
    <n v="2"/>
    <n v="1"/>
    <n v="3"/>
    <x v="1"/>
    <x v="1"/>
    <x v="3"/>
    <x v="1"/>
    <x v="0"/>
    <x v="0"/>
    <x v="3"/>
    <x v="1"/>
    <s v="No Options"/>
    <x v="1"/>
    <x v="2"/>
    <x v="0"/>
    <x v="2"/>
  </r>
  <r>
    <n v="49"/>
    <x v="1"/>
    <s v="Travel_Rarely"/>
    <n v="271"/>
    <x v="1"/>
    <n v="3"/>
    <n v="2"/>
    <s v="Medical"/>
    <n v="1509"/>
    <n v="3"/>
    <x v="0"/>
    <n v="43"/>
    <n v="2"/>
    <n v="2"/>
    <x v="2"/>
    <n v="1"/>
    <x v="1"/>
    <n v="4789"/>
    <n v="4"/>
    <x v="1"/>
    <n v="25"/>
    <n v="4"/>
    <n v="1"/>
    <n v="1"/>
    <n v="10"/>
    <n v="3"/>
    <n v="3"/>
    <n v="3"/>
    <n v="2"/>
    <n v="1"/>
    <n v="2"/>
    <x v="1"/>
    <x v="1"/>
    <x v="0"/>
    <x v="1"/>
    <x v="1"/>
    <x v="0"/>
    <x v="3"/>
    <x v="0"/>
    <s v="Low"/>
    <x v="1"/>
    <x v="1"/>
    <x v="0"/>
    <x v="2"/>
  </r>
  <r>
    <n v="29"/>
    <x v="1"/>
    <s v="Travel_Frequently"/>
    <n v="410"/>
    <x v="1"/>
    <n v="2"/>
    <n v="1"/>
    <s v="Life Sciences"/>
    <n v="1513"/>
    <n v="4"/>
    <x v="0"/>
    <n v="97"/>
    <n v="3"/>
    <n v="1"/>
    <x v="2"/>
    <n v="2"/>
    <x v="1"/>
    <n v="3180"/>
    <n v="0"/>
    <x v="1"/>
    <n v="13"/>
    <n v="3"/>
    <n v="3"/>
    <n v="3"/>
    <n v="4"/>
    <n v="3"/>
    <n v="3"/>
    <n v="3"/>
    <n v="2"/>
    <n v="0"/>
    <n v="2"/>
    <x v="1"/>
    <x v="1"/>
    <x v="1"/>
    <x v="2"/>
    <x v="0"/>
    <x v="1"/>
    <x v="1"/>
    <x v="3"/>
    <s v="High"/>
    <x v="1"/>
    <x v="2"/>
    <x v="0"/>
    <x v="2"/>
  </r>
  <r>
    <n v="28"/>
    <x v="1"/>
    <s v="Travel_Rarely"/>
    <n v="1083"/>
    <x v="1"/>
    <n v="29"/>
    <n v="1"/>
    <s v="Life Sciences"/>
    <n v="1514"/>
    <n v="3"/>
    <x v="1"/>
    <n v="96"/>
    <n v="1"/>
    <n v="2"/>
    <x v="3"/>
    <n v="2"/>
    <x v="1"/>
    <n v="6549"/>
    <n v="1"/>
    <x v="1"/>
    <n v="14"/>
    <n v="3"/>
    <n v="2"/>
    <n v="2"/>
    <n v="8"/>
    <n v="2"/>
    <n v="2"/>
    <n v="8"/>
    <n v="6"/>
    <n v="1"/>
    <n v="7"/>
    <x v="1"/>
    <x v="1"/>
    <x v="1"/>
    <x v="1"/>
    <x v="3"/>
    <x v="0"/>
    <x v="1"/>
    <x v="2"/>
    <s v="Medium"/>
    <x v="2"/>
    <x v="2"/>
    <x v="0"/>
    <x v="0"/>
  </r>
  <r>
    <n v="33"/>
    <x v="1"/>
    <s v="Travel_Rarely"/>
    <n v="516"/>
    <x v="1"/>
    <n v="8"/>
    <n v="5"/>
    <s v="Life Sciences"/>
    <n v="1515"/>
    <n v="4"/>
    <x v="1"/>
    <n v="69"/>
    <n v="3"/>
    <n v="2"/>
    <x v="4"/>
    <n v="3"/>
    <x v="0"/>
    <n v="6388"/>
    <n v="2"/>
    <x v="0"/>
    <n v="17"/>
    <n v="3"/>
    <n v="1"/>
    <n v="0"/>
    <n v="14"/>
    <n v="6"/>
    <n v="3"/>
    <n v="0"/>
    <n v="0"/>
    <n v="0"/>
    <n v="0"/>
    <x v="1"/>
    <x v="0"/>
    <x v="4"/>
    <x v="2"/>
    <x v="0"/>
    <x v="0"/>
    <x v="2"/>
    <x v="0"/>
    <s v="No Options"/>
    <x v="1"/>
    <x v="2"/>
    <x v="0"/>
    <x v="1"/>
  </r>
  <r>
    <n v="32"/>
    <x v="1"/>
    <s v="Travel_Rarely"/>
    <n v="495"/>
    <x v="1"/>
    <n v="10"/>
    <n v="3"/>
    <s v="Medical"/>
    <n v="1516"/>
    <n v="3"/>
    <x v="1"/>
    <n v="64"/>
    <n v="3"/>
    <n v="3"/>
    <x v="5"/>
    <n v="4"/>
    <x v="0"/>
    <n v="11244"/>
    <n v="2"/>
    <x v="1"/>
    <n v="25"/>
    <n v="4"/>
    <n v="2"/>
    <n v="0"/>
    <n v="10"/>
    <n v="5"/>
    <n v="4"/>
    <n v="5"/>
    <n v="2"/>
    <n v="0"/>
    <n v="0"/>
    <x v="1"/>
    <x v="1"/>
    <x v="3"/>
    <x v="1"/>
    <x v="0"/>
    <x v="2"/>
    <x v="0"/>
    <x v="2"/>
    <s v="No Options"/>
    <x v="3"/>
    <x v="2"/>
    <x v="2"/>
    <x v="2"/>
  </r>
  <r>
    <n v="54"/>
    <x v="1"/>
    <s v="Travel_Frequently"/>
    <n v="1050"/>
    <x v="1"/>
    <n v="11"/>
    <n v="4"/>
    <s v="Medical"/>
    <n v="1520"/>
    <n v="2"/>
    <x v="0"/>
    <n v="87"/>
    <n v="3"/>
    <n v="4"/>
    <x v="5"/>
    <n v="4"/>
    <x v="2"/>
    <n v="16032"/>
    <n v="3"/>
    <x v="1"/>
    <n v="20"/>
    <n v="4"/>
    <n v="1"/>
    <n v="1"/>
    <n v="26"/>
    <n v="2"/>
    <n v="3"/>
    <n v="14"/>
    <n v="9"/>
    <n v="1"/>
    <n v="12"/>
    <x v="1"/>
    <x v="1"/>
    <x v="2"/>
    <x v="0"/>
    <x v="0"/>
    <x v="3"/>
    <x v="0"/>
    <x v="0"/>
    <s v="Low"/>
    <x v="1"/>
    <x v="1"/>
    <x v="3"/>
    <x v="4"/>
  </r>
  <r>
    <n v="29"/>
    <x v="0"/>
    <s v="Travel_Rarely"/>
    <n v="224"/>
    <x v="1"/>
    <n v="1"/>
    <n v="4"/>
    <s v="Technical Degree"/>
    <n v="1522"/>
    <n v="1"/>
    <x v="1"/>
    <n v="100"/>
    <n v="2"/>
    <n v="1"/>
    <x v="1"/>
    <n v="1"/>
    <x v="0"/>
    <n v="2362"/>
    <n v="6"/>
    <x v="1"/>
    <n v="13"/>
    <n v="3"/>
    <n v="3"/>
    <n v="0"/>
    <n v="11"/>
    <n v="2"/>
    <n v="1"/>
    <n v="9"/>
    <n v="7"/>
    <n v="0"/>
    <n v="7"/>
    <x v="0"/>
    <x v="1"/>
    <x v="2"/>
    <x v="3"/>
    <x v="1"/>
    <x v="1"/>
    <x v="3"/>
    <x v="3"/>
    <s v="No Options"/>
    <x v="0"/>
    <x v="2"/>
    <x v="1"/>
    <x v="0"/>
  </r>
  <r>
    <n v="44"/>
    <x v="1"/>
    <s v="Travel_Rarely"/>
    <n v="136"/>
    <x v="1"/>
    <n v="28"/>
    <n v="3"/>
    <s v="Life Sciences"/>
    <n v="1523"/>
    <n v="4"/>
    <x v="1"/>
    <n v="32"/>
    <n v="3"/>
    <n v="4"/>
    <x v="7"/>
    <n v="1"/>
    <x v="1"/>
    <n v="16328"/>
    <n v="3"/>
    <x v="1"/>
    <n v="13"/>
    <n v="3"/>
    <n v="3"/>
    <n v="1"/>
    <n v="24"/>
    <n v="1"/>
    <n v="4"/>
    <n v="20"/>
    <n v="6"/>
    <n v="14"/>
    <n v="17"/>
    <x v="1"/>
    <x v="1"/>
    <x v="3"/>
    <x v="2"/>
    <x v="0"/>
    <x v="3"/>
    <x v="3"/>
    <x v="3"/>
    <s v="Low"/>
    <x v="3"/>
    <x v="0"/>
    <x v="3"/>
    <x v="4"/>
  </r>
  <r>
    <n v="39"/>
    <x v="1"/>
    <s v="Travel_Rarely"/>
    <n v="1089"/>
    <x v="1"/>
    <n v="6"/>
    <n v="3"/>
    <s v="Life Sciences"/>
    <n v="1525"/>
    <n v="2"/>
    <x v="0"/>
    <n v="32"/>
    <n v="3"/>
    <n v="3"/>
    <x v="3"/>
    <n v="2"/>
    <x v="0"/>
    <n v="8376"/>
    <n v="4"/>
    <x v="1"/>
    <n v="18"/>
    <n v="3"/>
    <n v="4"/>
    <n v="0"/>
    <n v="9"/>
    <n v="3"/>
    <n v="3"/>
    <n v="2"/>
    <n v="0"/>
    <n v="2"/>
    <n v="2"/>
    <x v="1"/>
    <x v="1"/>
    <x v="3"/>
    <x v="0"/>
    <x v="0"/>
    <x v="2"/>
    <x v="1"/>
    <x v="1"/>
    <s v="No Options"/>
    <x v="1"/>
    <x v="0"/>
    <x v="2"/>
    <x v="1"/>
  </r>
  <r>
    <n v="46"/>
    <x v="1"/>
    <s v="Travel_Rarely"/>
    <n v="228"/>
    <x v="0"/>
    <n v="3"/>
    <n v="3"/>
    <s v="Life Sciences"/>
    <n v="1527"/>
    <n v="3"/>
    <x v="0"/>
    <n v="51"/>
    <n v="3"/>
    <n v="4"/>
    <x v="5"/>
    <n v="2"/>
    <x v="1"/>
    <n v="16606"/>
    <n v="8"/>
    <x v="1"/>
    <n v="12"/>
    <n v="3"/>
    <n v="4"/>
    <n v="1"/>
    <n v="23"/>
    <n v="2"/>
    <n v="4"/>
    <n v="13"/>
    <n v="12"/>
    <n v="5"/>
    <n v="1"/>
    <x v="1"/>
    <x v="1"/>
    <x v="3"/>
    <x v="1"/>
    <x v="0"/>
    <x v="3"/>
    <x v="1"/>
    <x v="1"/>
    <s v="Low"/>
    <x v="3"/>
    <x v="1"/>
    <x v="3"/>
    <x v="4"/>
  </r>
  <r>
    <n v="35"/>
    <x v="1"/>
    <s v="Travel_Rarely"/>
    <n v="1029"/>
    <x v="1"/>
    <n v="16"/>
    <n v="3"/>
    <s v="Life Sciences"/>
    <n v="1529"/>
    <n v="4"/>
    <x v="0"/>
    <n v="91"/>
    <n v="2"/>
    <n v="3"/>
    <x v="4"/>
    <n v="2"/>
    <x v="0"/>
    <n v="8606"/>
    <n v="1"/>
    <x v="1"/>
    <n v="19"/>
    <n v="3"/>
    <n v="4"/>
    <n v="0"/>
    <n v="11"/>
    <n v="3"/>
    <n v="1"/>
    <n v="11"/>
    <n v="8"/>
    <n v="3"/>
    <n v="3"/>
    <x v="1"/>
    <x v="1"/>
    <x v="3"/>
    <x v="2"/>
    <x v="1"/>
    <x v="2"/>
    <x v="1"/>
    <x v="1"/>
    <s v="No Options"/>
    <x v="0"/>
    <x v="0"/>
    <x v="2"/>
    <x v="4"/>
  </r>
  <r>
    <n v="23"/>
    <x v="1"/>
    <s v="Travel_Rarely"/>
    <n v="507"/>
    <x v="1"/>
    <n v="20"/>
    <n v="1"/>
    <s v="Life Sciences"/>
    <n v="1533"/>
    <n v="1"/>
    <x v="1"/>
    <n v="97"/>
    <n v="3"/>
    <n v="2"/>
    <x v="2"/>
    <n v="3"/>
    <x v="0"/>
    <n v="2272"/>
    <n v="0"/>
    <x v="1"/>
    <n v="14"/>
    <n v="3"/>
    <n v="2"/>
    <n v="0"/>
    <n v="5"/>
    <n v="2"/>
    <n v="3"/>
    <n v="4"/>
    <n v="3"/>
    <n v="1"/>
    <n v="2"/>
    <x v="1"/>
    <x v="1"/>
    <x v="1"/>
    <x v="3"/>
    <x v="0"/>
    <x v="0"/>
    <x v="2"/>
    <x v="2"/>
    <s v="No Options"/>
    <x v="1"/>
    <x v="4"/>
    <x v="1"/>
    <x v="2"/>
  </r>
  <r>
    <n v="40"/>
    <x v="0"/>
    <s v="Travel_Rarely"/>
    <n v="676"/>
    <x v="1"/>
    <n v="9"/>
    <n v="4"/>
    <s v="Life Sciences"/>
    <n v="1534"/>
    <n v="4"/>
    <x v="1"/>
    <n v="86"/>
    <n v="3"/>
    <n v="1"/>
    <x v="2"/>
    <n v="1"/>
    <x v="0"/>
    <n v="2018"/>
    <n v="3"/>
    <x v="1"/>
    <n v="14"/>
    <n v="3"/>
    <n v="2"/>
    <n v="0"/>
    <n v="15"/>
    <n v="3"/>
    <n v="1"/>
    <n v="5"/>
    <n v="4"/>
    <n v="1"/>
    <n v="0"/>
    <x v="0"/>
    <x v="1"/>
    <x v="2"/>
    <x v="2"/>
    <x v="0"/>
    <x v="1"/>
    <x v="3"/>
    <x v="2"/>
    <s v="No Options"/>
    <x v="0"/>
    <x v="0"/>
    <x v="1"/>
    <x v="2"/>
  </r>
  <r>
    <n v="34"/>
    <x v="1"/>
    <s v="Travel_Rarely"/>
    <n v="971"/>
    <x v="0"/>
    <n v="1"/>
    <n v="3"/>
    <s v="Technical Degree"/>
    <n v="1535"/>
    <n v="4"/>
    <x v="1"/>
    <n v="64"/>
    <n v="2"/>
    <n v="3"/>
    <x v="0"/>
    <n v="3"/>
    <x v="1"/>
    <n v="7083"/>
    <n v="1"/>
    <x v="0"/>
    <n v="14"/>
    <n v="3"/>
    <n v="4"/>
    <n v="0"/>
    <n v="10"/>
    <n v="3"/>
    <n v="3"/>
    <n v="10"/>
    <n v="9"/>
    <n v="8"/>
    <n v="6"/>
    <x v="1"/>
    <x v="0"/>
    <x v="3"/>
    <x v="2"/>
    <x v="1"/>
    <x v="2"/>
    <x v="2"/>
    <x v="1"/>
    <s v="No Options"/>
    <x v="1"/>
    <x v="2"/>
    <x v="2"/>
    <x v="0"/>
  </r>
  <r>
    <n v="31"/>
    <x v="0"/>
    <s v="Travel_Frequently"/>
    <n v="561"/>
    <x v="1"/>
    <n v="3"/>
    <n v="3"/>
    <s v="Life Sciences"/>
    <n v="1537"/>
    <n v="4"/>
    <x v="0"/>
    <n v="33"/>
    <n v="3"/>
    <n v="1"/>
    <x v="1"/>
    <n v="3"/>
    <x v="0"/>
    <n v="4084"/>
    <n v="1"/>
    <x v="1"/>
    <n v="12"/>
    <n v="3"/>
    <n v="1"/>
    <n v="0"/>
    <n v="7"/>
    <n v="2"/>
    <n v="1"/>
    <n v="7"/>
    <n v="2"/>
    <n v="7"/>
    <n v="7"/>
    <x v="0"/>
    <x v="1"/>
    <x v="3"/>
    <x v="2"/>
    <x v="0"/>
    <x v="1"/>
    <x v="2"/>
    <x v="0"/>
    <s v="No Options"/>
    <x v="0"/>
    <x v="2"/>
    <x v="0"/>
    <x v="0"/>
  </r>
  <r>
    <n v="50"/>
    <x v="1"/>
    <s v="Travel_Frequently"/>
    <n v="333"/>
    <x v="1"/>
    <n v="22"/>
    <n v="5"/>
    <s v="Medical"/>
    <n v="1539"/>
    <n v="3"/>
    <x v="1"/>
    <n v="88"/>
    <n v="1"/>
    <n v="4"/>
    <x v="7"/>
    <n v="4"/>
    <x v="0"/>
    <n v="14411"/>
    <n v="1"/>
    <x v="0"/>
    <n v="13"/>
    <n v="3"/>
    <n v="4"/>
    <n v="0"/>
    <n v="32"/>
    <n v="2"/>
    <n v="3"/>
    <n v="32"/>
    <n v="6"/>
    <n v="13"/>
    <n v="9"/>
    <x v="1"/>
    <x v="0"/>
    <x v="4"/>
    <x v="1"/>
    <x v="3"/>
    <x v="3"/>
    <x v="0"/>
    <x v="1"/>
    <s v="No Options"/>
    <x v="1"/>
    <x v="1"/>
    <x v="3"/>
    <x v="3"/>
  </r>
  <r>
    <n v="34"/>
    <x v="1"/>
    <s v="Travel_Rarely"/>
    <n v="1440"/>
    <x v="0"/>
    <n v="7"/>
    <n v="2"/>
    <s v="Technical Degree"/>
    <n v="1541"/>
    <n v="2"/>
    <x v="1"/>
    <n v="55"/>
    <n v="3"/>
    <n v="1"/>
    <x v="6"/>
    <n v="3"/>
    <x v="1"/>
    <n v="2308"/>
    <n v="0"/>
    <x v="0"/>
    <n v="25"/>
    <n v="4"/>
    <n v="2"/>
    <n v="1"/>
    <n v="12"/>
    <n v="4"/>
    <n v="3"/>
    <n v="11"/>
    <n v="10"/>
    <n v="5"/>
    <n v="7"/>
    <x v="1"/>
    <x v="0"/>
    <x v="0"/>
    <x v="0"/>
    <x v="0"/>
    <x v="1"/>
    <x v="2"/>
    <x v="2"/>
    <s v="Low"/>
    <x v="1"/>
    <x v="2"/>
    <x v="1"/>
    <x v="4"/>
  </r>
  <r>
    <n v="42"/>
    <x v="1"/>
    <s v="Travel_Rarely"/>
    <n v="1210"/>
    <x v="1"/>
    <n v="2"/>
    <n v="3"/>
    <s v="Medical"/>
    <n v="1542"/>
    <n v="3"/>
    <x v="1"/>
    <n v="68"/>
    <n v="2"/>
    <n v="1"/>
    <x v="2"/>
    <n v="2"/>
    <x v="1"/>
    <n v="4841"/>
    <n v="4"/>
    <x v="1"/>
    <n v="14"/>
    <n v="3"/>
    <n v="2"/>
    <n v="1"/>
    <n v="4"/>
    <n v="3"/>
    <n v="3"/>
    <n v="1"/>
    <n v="0"/>
    <n v="0"/>
    <n v="0"/>
    <x v="1"/>
    <x v="1"/>
    <x v="3"/>
    <x v="1"/>
    <x v="1"/>
    <x v="1"/>
    <x v="1"/>
    <x v="2"/>
    <s v="Low"/>
    <x v="1"/>
    <x v="0"/>
    <x v="0"/>
    <x v="1"/>
  </r>
  <r>
    <n v="37"/>
    <x v="1"/>
    <s v="Travel_Rarely"/>
    <n v="674"/>
    <x v="1"/>
    <n v="13"/>
    <n v="3"/>
    <s v="Medical"/>
    <n v="1543"/>
    <n v="1"/>
    <x v="1"/>
    <n v="47"/>
    <n v="3"/>
    <n v="2"/>
    <x v="1"/>
    <n v="4"/>
    <x v="1"/>
    <n v="4285"/>
    <n v="1"/>
    <x v="1"/>
    <n v="17"/>
    <n v="3"/>
    <n v="1"/>
    <n v="0"/>
    <n v="10"/>
    <n v="2"/>
    <n v="3"/>
    <n v="10"/>
    <n v="8"/>
    <n v="3"/>
    <n v="7"/>
    <x v="1"/>
    <x v="1"/>
    <x v="3"/>
    <x v="3"/>
    <x v="0"/>
    <x v="0"/>
    <x v="0"/>
    <x v="0"/>
    <s v="No Options"/>
    <x v="1"/>
    <x v="0"/>
    <x v="0"/>
    <x v="0"/>
  </r>
  <r>
    <n v="29"/>
    <x v="1"/>
    <s v="Travel_Rarely"/>
    <n v="441"/>
    <x v="1"/>
    <n v="8"/>
    <n v="1"/>
    <s v="Other"/>
    <n v="1544"/>
    <n v="3"/>
    <x v="0"/>
    <n v="39"/>
    <n v="1"/>
    <n v="2"/>
    <x v="4"/>
    <n v="1"/>
    <x v="1"/>
    <n v="9715"/>
    <n v="3"/>
    <x v="1"/>
    <n v="13"/>
    <n v="3"/>
    <n v="3"/>
    <n v="1"/>
    <n v="9"/>
    <n v="3"/>
    <n v="3"/>
    <n v="7"/>
    <n v="7"/>
    <n v="0"/>
    <n v="7"/>
    <x v="1"/>
    <x v="1"/>
    <x v="1"/>
    <x v="1"/>
    <x v="3"/>
    <x v="0"/>
    <x v="3"/>
    <x v="3"/>
    <s v="Low"/>
    <x v="1"/>
    <x v="2"/>
    <x v="2"/>
    <x v="0"/>
  </r>
  <r>
    <n v="33"/>
    <x v="1"/>
    <s v="Travel_Rarely"/>
    <n v="575"/>
    <x v="1"/>
    <n v="25"/>
    <n v="3"/>
    <s v="Life Sciences"/>
    <n v="1545"/>
    <n v="4"/>
    <x v="1"/>
    <n v="44"/>
    <n v="2"/>
    <n v="2"/>
    <x v="3"/>
    <n v="2"/>
    <x v="0"/>
    <n v="4320"/>
    <n v="1"/>
    <x v="1"/>
    <n v="13"/>
    <n v="3"/>
    <n v="4"/>
    <n v="0"/>
    <n v="5"/>
    <n v="2"/>
    <n v="3"/>
    <n v="5"/>
    <n v="3"/>
    <n v="0"/>
    <n v="2"/>
    <x v="1"/>
    <x v="1"/>
    <x v="3"/>
    <x v="2"/>
    <x v="1"/>
    <x v="0"/>
    <x v="1"/>
    <x v="1"/>
    <s v="No Options"/>
    <x v="1"/>
    <x v="2"/>
    <x v="0"/>
    <x v="2"/>
  </r>
  <r>
    <n v="45"/>
    <x v="1"/>
    <s v="Travel_Rarely"/>
    <n v="950"/>
    <x v="1"/>
    <n v="28"/>
    <n v="3"/>
    <s v="Technical Degree"/>
    <n v="1546"/>
    <n v="4"/>
    <x v="1"/>
    <n v="97"/>
    <n v="3"/>
    <n v="1"/>
    <x v="1"/>
    <n v="4"/>
    <x v="1"/>
    <n v="2132"/>
    <n v="4"/>
    <x v="1"/>
    <n v="20"/>
    <n v="4"/>
    <n v="4"/>
    <n v="1"/>
    <n v="8"/>
    <n v="3"/>
    <n v="3"/>
    <n v="5"/>
    <n v="4"/>
    <n v="0"/>
    <n v="3"/>
    <x v="1"/>
    <x v="1"/>
    <x v="3"/>
    <x v="2"/>
    <x v="0"/>
    <x v="1"/>
    <x v="0"/>
    <x v="1"/>
    <s v="Low"/>
    <x v="1"/>
    <x v="1"/>
    <x v="1"/>
    <x v="2"/>
  </r>
  <r>
    <n v="42"/>
    <x v="1"/>
    <s v="Travel_Frequently"/>
    <n v="288"/>
    <x v="1"/>
    <n v="2"/>
    <n v="3"/>
    <s v="Life Sciences"/>
    <n v="1547"/>
    <n v="4"/>
    <x v="1"/>
    <n v="40"/>
    <n v="3"/>
    <n v="3"/>
    <x v="4"/>
    <n v="4"/>
    <x v="1"/>
    <n v="10124"/>
    <n v="2"/>
    <x v="0"/>
    <n v="14"/>
    <n v="3"/>
    <n v="3"/>
    <n v="1"/>
    <n v="24"/>
    <n v="3"/>
    <n v="1"/>
    <n v="20"/>
    <n v="8"/>
    <n v="13"/>
    <n v="9"/>
    <x v="1"/>
    <x v="0"/>
    <x v="3"/>
    <x v="2"/>
    <x v="0"/>
    <x v="2"/>
    <x v="0"/>
    <x v="3"/>
    <s v="Low"/>
    <x v="0"/>
    <x v="0"/>
    <x v="2"/>
    <x v="4"/>
  </r>
  <r>
    <n v="40"/>
    <x v="1"/>
    <s v="Travel_Rarely"/>
    <n v="1342"/>
    <x v="0"/>
    <n v="9"/>
    <n v="2"/>
    <s v="Medical"/>
    <n v="1548"/>
    <n v="1"/>
    <x v="1"/>
    <n v="47"/>
    <n v="3"/>
    <n v="2"/>
    <x v="0"/>
    <n v="1"/>
    <x v="1"/>
    <n v="5473"/>
    <n v="0"/>
    <x v="1"/>
    <n v="12"/>
    <n v="3"/>
    <n v="4"/>
    <n v="0"/>
    <n v="9"/>
    <n v="5"/>
    <n v="4"/>
    <n v="8"/>
    <n v="4"/>
    <n v="7"/>
    <n v="1"/>
    <x v="1"/>
    <x v="1"/>
    <x v="0"/>
    <x v="3"/>
    <x v="0"/>
    <x v="0"/>
    <x v="3"/>
    <x v="1"/>
    <s v="No Options"/>
    <x v="3"/>
    <x v="0"/>
    <x v="0"/>
    <x v="0"/>
  </r>
  <r>
    <n v="33"/>
    <x v="1"/>
    <s v="Travel_Rarely"/>
    <n v="589"/>
    <x v="1"/>
    <n v="28"/>
    <n v="4"/>
    <s v="Life Sciences"/>
    <n v="1549"/>
    <n v="2"/>
    <x v="1"/>
    <n v="79"/>
    <n v="3"/>
    <n v="2"/>
    <x v="2"/>
    <n v="3"/>
    <x v="1"/>
    <n v="5207"/>
    <n v="1"/>
    <x v="0"/>
    <n v="12"/>
    <n v="3"/>
    <n v="2"/>
    <n v="1"/>
    <n v="15"/>
    <n v="3"/>
    <n v="3"/>
    <n v="15"/>
    <n v="14"/>
    <n v="5"/>
    <n v="7"/>
    <x v="1"/>
    <x v="0"/>
    <x v="2"/>
    <x v="0"/>
    <x v="0"/>
    <x v="0"/>
    <x v="2"/>
    <x v="2"/>
    <s v="Low"/>
    <x v="1"/>
    <x v="2"/>
    <x v="0"/>
    <x v="4"/>
  </r>
  <r>
    <n v="40"/>
    <x v="1"/>
    <s v="Travel_Rarely"/>
    <n v="898"/>
    <x v="2"/>
    <n v="6"/>
    <n v="2"/>
    <s v="Medical"/>
    <n v="1550"/>
    <n v="3"/>
    <x v="1"/>
    <n v="38"/>
    <n v="3"/>
    <n v="4"/>
    <x v="5"/>
    <n v="4"/>
    <x v="0"/>
    <n v="16437"/>
    <n v="1"/>
    <x v="0"/>
    <n v="21"/>
    <n v="4"/>
    <n v="4"/>
    <n v="0"/>
    <n v="21"/>
    <n v="2"/>
    <n v="3"/>
    <n v="21"/>
    <n v="7"/>
    <n v="7"/>
    <n v="7"/>
    <x v="1"/>
    <x v="0"/>
    <x v="0"/>
    <x v="1"/>
    <x v="0"/>
    <x v="3"/>
    <x v="0"/>
    <x v="1"/>
    <s v="No Options"/>
    <x v="1"/>
    <x v="0"/>
    <x v="3"/>
    <x v="3"/>
  </r>
  <r>
    <n v="24"/>
    <x v="1"/>
    <s v="Travel_Rarely"/>
    <n v="350"/>
    <x v="1"/>
    <n v="21"/>
    <n v="2"/>
    <s v="Technical Degree"/>
    <n v="1551"/>
    <n v="3"/>
    <x v="1"/>
    <n v="57"/>
    <n v="2"/>
    <n v="1"/>
    <x v="2"/>
    <n v="1"/>
    <x v="2"/>
    <n v="2296"/>
    <n v="0"/>
    <x v="1"/>
    <n v="14"/>
    <n v="3"/>
    <n v="2"/>
    <n v="3"/>
    <n v="2"/>
    <n v="3"/>
    <n v="3"/>
    <n v="1"/>
    <n v="1"/>
    <n v="0"/>
    <n v="0"/>
    <x v="1"/>
    <x v="1"/>
    <x v="0"/>
    <x v="1"/>
    <x v="1"/>
    <x v="1"/>
    <x v="3"/>
    <x v="2"/>
    <s v="High"/>
    <x v="1"/>
    <x v="4"/>
    <x v="1"/>
    <x v="1"/>
  </r>
  <r>
    <n v="40"/>
    <x v="1"/>
    <s v="Non-Travel"/>
    <n v="1142"/>
    <x v="1"/>
    <n v="8"/>
    <n v="2"/>
    <s v="Life Sciences"/>
    <n v="1552"/>
    <n v="4"/>
    <x v="1"/>
    <n v="72"/>
    <n v="3"/>
    <n v="2"/>
    <x v="4"/>
    <n v="4"/>
    <x v="2"/>
    <n v="4069"/>
    <n v="3"/>
    <x v="0"/>
    <n v="18"/>
    <n v="3"/>
    <n v="3"/>
    <n v="0"/>
    <n v="8"/>
    <n v="2"/>
    <n v="3"/>
    <n v="2"/>
    <n v="2"/>
    <n v="2"/>
    <n v="2"/>
    <x v="1"/>
    <x v="0"/>
    <x v="0"/>
    <x v="2"/>
    <x v="0"/>
    <x v="0"/>
    <x v="0"/>
    <x v="3"/>
    <s v="No Options"/>
    <x v="1"/>
    <x v="0"/>
    <x v="0"/>
    <x v="1"/>
  </r>
  <r>
    <n v="45"/>
    <x v="1"/>
    <s v="Travel_Rarely"/>
    <n v="538"/>
    <x v="1"/>
    <n v="1"/>
    <n v="4"/>
    <s v="Technical Degree"/>
    <n v="1553"/>
    <n v="1"/>
    <x v="1"/>
    <n v="66"/>
    <n v="3"/>
    <n v="3"/>
    <x v="4"/>
    <n v="2"/>
    <x v="2"/>
    <n v="7441"/>
    <n v="1"/>
    <x v="1"/>
    <n v="12"/>
    <n v="3"/>
    <n v="1"/>
    <n v="3"/>
    <n v="10"/>
    <n v="4"/>
    <n v="3"/>
    <n v="10"/>
    <n v="8"/>
    <n v="7"/>
    <n v="7"/>
    <x v="1"/>
    <x v="1"/>
    <x v="2"/>
    <x v="3"/>
    <x v="0"/>
    <x v="2"/>
    <x v="1"/>
    <x v="0"/>
    <s v="High"/>
    <x v="1"/>
    <x v="1"/>
    <x v="2"/>
    <x v="0"/>
  </r>
  <r>
    <n v="35"/>
    <x v="1"/>
    <s v="Travel_Rarely"/>
    <n v="1402"/>
    <x v="0"/>
    <n v="28"/>
    <n v="4"/>
    <s v="Life Sciences"/>
    <n v="1554"/>
    <n v="2"/>
    <x v="0"/>
    <n v="98"/>
    <n v="2"/>
    <n v="1"/>
    <x v="6"/>
    <n v="3"/>
    <x v="1"/>
    <n v="2430"/>
    <n v="0"/>
    <x v="1"/>
    <n v="23"/>
    <n v="4"/>
    <n v="1"/>
    <n v="2"/>
    <n v="6"/>
    <n v="5"/>
    <n v="3"/>
    <n v="5"/>
    <n v="3"/>
    <n v="4"/>
    <n v="2"/>
    <x v="1"/>
    <x v="1"/>
    <x v="2"/>
    <x v="0"/>
    <x v="1"/>
    <x v="1"/>
    <x v="2"/>
    <x v="0"/>
    <s v="Medium"/>
    <x v="1"/>
    <x v="0"/>
    <x v="1"/>
    <x v="2"/>
  </r>
  <r>
    <n v="32"/>
    <x v="1"/>
    <s v="Travel_Rarely"/>
    <n v="824"/>
    <x v="1"/>
    <n v="5"/>
    <n v="2"/>
    <s v="Life Sciences"/>
    <n v="1555"/>
    <n v="4"/>
    <x v="0"/>
    <n v="67"/>
    <n v="2"/>
    <n v="2"/>
    <x v="1"/>
    <n v="2"/>
    <x v="1"/>
    <n v="5878"/>
    <n v="3"/>
    <x v="1"/>
    <n v="12"/>
    <n v="3"/>
    <n v="1"/>
    <n v="1"/>
    <n v="12"/>
    <n v="2"/>
    <n v="3"/>
    <n v="7"/>
    <n v="1"/>
    <n v="2"/>
    <n v="5"/>
    <x v="1"/>
    <x v="1"/>
    <x v="0"/>
    <x v="2"/>
    <x v="1"/>
    <x v="0"/>
    <x v="1"/>
    <x v="0"/>
    <s v="Low"/>
    <x v="1"/>
    <x v="2"/>
    <x v="0"/>
    <x v="0"/>
  </r>
  <r>
    <n v="36"/>
    <x v="1"/>
    <s v="Travel_Rarely"/>
    <n v="1157"/>
    <x v="0"/>
    <n v="2"/>
    <n v="4"/>
    <s v="Life Sciences"/>
    <n v="1556"/>
    <n v="3"/>
    <x v="1"/>
    <n v="70"/>
    <n v="3"/>
    <n v="1"/>
    <x v="6"/>
    <n v="4"/>
    <x v="0"/>
    <n v="2644"/>
    <n v="3"/>
    <x v="0"/>
    <n v="21"/>
    <n v="4"/>
    <n v="4"/>
    <n v="0"/>
    <n v="7"/>
    <n v="3"/>
    <n v="2"/>
    <n v="3"/>
    <n v="2"/>
    <n v="1"/>
    <n v="2"/>
    <x v="1"/>
    <x v="0"/>
    <x v="2"/>
    <x v="1"/>
    <x v="0"/>
    <x v="1"/>
    <x v="0"/>
    <x v="1"/>
    <s v="No Options"/>
    <x v="2"/>
    <x v="0"/>
    <x v="1"/>
    <x v="2"/>
  </r>
  <r>
    <n v="48"/>
    <x v="1"/>
    <s v="Travel_Rarely"/>
    <n v="492"/>
    <x v="0"/>
    <n v="16"/>
    <n v="4"/>
    <s v="Life Sciences"/>
    <n v="1557"/>
    <n v="3"/>
    <x v="0"/>
    <n v="96"/>
    <n v="3"/>
    <n v="2"/>
    <x v="0"/>
    <n v="3"/>
    <x v="2"/>
    <n v="6439"/>
    <n v="8"/>
    <x v="1"/>
    <n v="14"/>
    <n v="3"/>
    <n v="3"/>
    <n v="1"/>
    <n v="18"/>
    <n v="2"/>
    <n v="3"/>
    <n v="8"/>
    <n v="7"/>
    <n v="7"/>
    <n v="7"/>
    <x v="1"/>
    <x v="1"/>
    <x v="2"/>
    <x v="1"/>
    <x v="0"/>
    <x v="0"/>
    <x v="2"/>
    <x v="3"/>
    <s v="Low"/>
    <x v="1"/>
    <x v="1"/>
    <x v="0"/>
    <x v="0"/>
  </r>
  <r>
    <n v="29"/>
    <x v="1"/>
    <s v="Travel_Rarely"/>
    <n v="598"/>
    <x v="1"/>
    <n v="9"/>
    <n v="3"/>
    <s v="Life Sciences"/>
    <n v="1558"/>
    <n v="3"/>
    <x v="1"/>
    <n v="91"/>
    <n v="4"/>
    <n v="1"/>
    <x v="1"/>
    <n v="3"/>
    <x v="1"/>
    <n v="2451"/>
    <n v="6"/>
    <x v="1"/>
    <n v="18"/>
    <n v="3"/>
    <n v="1"/>
    <n v="2"/>
    <n v="5"/>
    <n v="2"/>
    <n v="2"/>
    <n v="1"/>
    <n v="0"/>
    <n v="0"/>
    <n v="0"/>
    <x v="1"/>
    <x v="1"/>
    <x v="3"/>
    <x v="1"/>
    <x v="2"/>
    <x v="1"/>
    <x v="2"/>
    <x v="0"/>
    <s v="Medium"/>
    <x v="2"/>
    <x v="2"/>
    <x v="1"/>
    <x v="1"/>
  </r>
  <r>
    <n v="33"/>
    <x v="1"/>
    <s v="Travel_Rarely"/>
    <n v="1242"/>
    <x v="0"/>
    <n v="8"/>
    <n v="4"/>
    <s v="Life Sciences"/>
    <n v="1560"/>
    <n v="1"/>
    <x v="1"/>
    <n v="46"/>
    <n v="3"/>
    <n v="2"/>
    <x v="0"/>
    <n v="1"/>
    <x v="1"/>
    <n v="6392"/>
    <n v="2"/>
    <x v="1"/>
    <n v="13"/>
    <n v="3"/>
    <n v="4"/>
    <n v="1"/>
    <n v="8"/>
    <n v="6"/>
    <n v="1"/>
    <n v="2"/>
    <n v="2"/>
    <n v="2"/>
    <n v="2"/>
    <x v="1"/>
    <x v="1"/>
    <x v="2"/>
    <x v="3"/>
    <x v="0"/>
    <x v="0"/>
    <x v="3"/>
    <x v="1"/>
    <s v="Low"/>
    <x v="0"/>
    <x v="2"/>
    <x v="0"/>
    <x v="1"/>
  </r>
  <r>
    <n v="30"/>
    <x v="0"/>
    <s v="Travel_Rarely"/>
    <n v="740"/>
    <x v="0"/>
    <n v="1"/>
    <n v="3"/>
    <s v="Life Sciences"/>
    <n v="1562"/>
    <n v="2"/>
    <x v="1"/>
    <n v="64"/>
    <n v="2"/>
    <n v="2"/>
    <x v="0"/>
    <n v="1"/>
    <x v="1"/>
    <n v="9714"/>
    <n v="1"/>
    <x v="1"/>
    <n v="11"/>
    <n v="3"/>
    <n v="4"/>
    <n v="1"/>
    <n v="10"/>
    <n v="4"/>
    <n v="3"/>
    <n v="10"/>
    <n v="8"/>
    <n v="6"/>
    <n v="7"/>
    <x v="0"/>
    <x v="1"/>
    <x v="3"/>
    <x v="0"/>
    <x v="1"/>
    <x v="0"/>
    <x v="3"/>
    <x v="1"/>
    <s v="Low"/>
    <x v="1"/>
    <x v="2"/>
    <x v="2"/>
    <x v="0"/>
  </r>
  <r>
    <n v="38"/>
    <x v="1"/>
    <s v="Travel_Frequently"/>
    <n v="888"/>
    <x v="2"/>
    <n v="10"/>
    <n v="4"/>
    <s v="Human Resources"/>
    <n v="1563"/>
    <n v="3"/>
    <x v="1"/>
    <n v="71"/>
    <n v="3"/>
    <n v="2"/>
    <x v="8"/>
    <n v="3"/>
    <x v="1"/>
    <n v="6077"/>
    <n v="3"/>
    <x v="1"/>
    <n v="11"/>
    <n v="3"/>
    <n v="3"/>
    <n v="0"/>
    <n v="10"/>
    <n v="2"/>
    <n v="3"/>
    <n v="6"/>
    <n v="3"/>
    <n v="1"/>
    <n v="2"/>
    <x v="1"/>
    <x v="1"/>
    <x v="2"/>
    <x v="1"/>
    <x v="0"/>
    <x v="0"/>
    <x v="2"/>
    <x v="3"/>
    <s v="No Options"/>
    <x v="1"/>
    <x v="0"/>
    <x v="0"/>
    <x v="0"/>
  </r>
  <r>
    <n v="35"/>
    <x v="1"/>
    <s v="Travel_Rarely"/>
    <n v="992"/>
    <x v="1"/>
    <n v="1"/>
    <n v="3"/>
    <s v="Medical"/>
    <n v="1564"/>
    <n v="4"/>
    <x v="1"/>
    <n v="68"/>
    <n v="2"/>
    <n v="1"/>
    <x v="2"/>
    <n v="1"/>
    <x v="0"/>
    <n v="2450"/>
    <n v="1"/>
    <x v="1"/>
    <n v="19"/>
    <n v="3"/>
    <n v="2"/>
    <n v="0"/>
    <n v="3"/>
    <n v="3"/>
    <n v="3"/>
    <n v="3"/>
    <n v="0"/>
    <n v="1"/>
    <n v="2"/>
    <x v="1"/>
    <x v="1"/>
    <x v="3"/>
    <x v="2"/>
    <x v="1"/>
    <x v="1"/>
    <x v="3"/>
    <x v="2"/>
    <s v="No Options"/>
    <x v="1"/>
    <x v="0"/>
    <x v="1"/>
    <x v="2"/>
  </r>
  <r>
    <n v="30"/>
    <x v="1"/>
    <s v="Travel_Rarely"/>
    <n v="1288"/>
    <x v="0"/>
    <n v="29"/>
    <n v="4"/>
    <s v="Technical Degree"/>
    <n v="1568"/>
    <n v="3"/>
    <x v="1"/>
    <n v="33"/>
    <n v="3"/>
    <n v="3"/>
    <x v="0"/>
    <n v="2"/>
    <x v="1"/>
    <n v="9250"/>
    <n v="3"/>
    <x v="1"/>
    <n v="12"/>
    <n v="3"/>
    <n v="2"/>
    <n v="1"/>
    <n v="9"/>
    <n v="3"/>
    <n v="3"/>
    <n v="4"/>
    <n v="2"/>
    <n v="1"/>
    <n v="3"/>
    <x v="1"/>
    <x v="1"/>
    <x v="2"/>
    <x v="1"/>
    <x v="0"/>
    <x v="2"/>
    <x v="1"/>
    <x v="2"/>
    <s v="Low"/>
    <x v="1"/>
    <x v="2"/>
    <x v="2"/>
    <x v="2"/>
  </r>
  <r>
    <n v="35"/>
    <x v="0"/>
    <s v="Travel_Rarely"/>
    <n v="104"/>
    <x v="1"/>
    <n v="2"/>
    <n v="3"/>
    <s v="Life Sciences"/>
    <n v="1569"/>
    <n v="1"/>
    <x v="0"/>
    <n v="69"/>
    <n v="3"/>
    <n v="1"/>
    <x v="2"/>
    <n v="1"/>
    <x v="2"/>
    <n v="2074"/>
    <n v="1"/>
    <x v="0"/>
    <n v="12"/>
    <n v="3"/>
    <n v="4"/>
    <n v="1"/>
    <n v="1"/>
    <n v="2"/>
    <n v="3"/>
    <n v="1"/>
    <n v="0"/>
    <n v="0"/>
    <n v="0"/>
    <x v="0"/>
    <x v="0"/>
    <x v="3"/>
    <x v="3"/>
    <x v="0"/>
    <x v="1"/>
    <x v="3"/>
    <x v="1"/>
    <s v="Low"/>
    <x v="1"/>
    <x v="0"/>
    <x v="1"/>
    <x v="1"/>
  </r>
  <r>
    <n v="53"/>
    <x v="0"/>
    <s v="Travel_Rarely"/>
    <n v="607"/>
    <x v="1"/>
    <n v="2"/>
    <n v="5"/>
    <s v="Technical Degree"/>
    <n v="1572"/>
    <n v="3"/>
    <x v="0"/>
    <n v="78"/>
    <n v="2"/>
    <n v="3"/>
    <x v="3"/>
    <n v="4"/>
    <x v="1"/>
    <n v="10169"/>
    <n v="0"/>
    <x v="1"/>
    <n v="16"/>
    <n v="3"/>
    <n v="2"/>
    <n v="1"/>
    <n v="34"/>
    <n v="4"/>
    <n v="3"/>
    <n v="33"/>
    <n v="7"/>
    <n v="1"/>
    <n v="9"/>
    <x v="0"/>
    <x v="1"/>
    <x v="4"/>
    <x v="1"/>
    <x v="1"/>
    <x v="2"/>
    <x v="0"/>
    <x v="2"/>
    <s v="Low"/>
    <x v="1"/>
    <x v="1"/>
    <x v="2"/>
    <x v="3"/>
  </r>
  <r>
    <n v="38"/>
    <x v="0"/>
    <s v="Travel_Rarely"/>
    <n v="903"/>
    <x v="1"/>
    <n v="2"/>
    <n v="3"/>
    <s v="Medical"/>
    <n v="1573"/>
    <n v="3"/>
    <x v="1"/>
    <n v="81"/>
    <n v="3"/>
    <n v="2"/>
    <x v="3"/>
    <n v="2"/>
    <x v="1"/>
    <n v="4855"/>
    <n v="4"/>
    <x v="1"/>
    <n v="11"/>
    <n v="3"/>
    <n v="1"/>
    <n v="2"/>
    <n v="7"/>
    <n v="2"/>
    <n v="3"/>
    <n v="5"/>
    <n v="2"/>
    <n v="1"/>
    <n v="4"/>
    <x v="0"/>
    <x v="1"/>
    <x v="3"/>
    <x v="1"/>
    <x v="0"/>
    <x v="0"/>
    <x v="1"/>
    <x v="0"/>
    <s v="Medium"/>
    <x v="1"/>
    <x v="0"/>
    <x v="0"/>
    <x v="2"/>
  </r>
  <r>
    <n v="32"/>
    <x v="1"/>
    <s v="Non-Travel"/>
    <n v="1200"/>
    <x v="1"/>
    <n v="1"/>
    <n v="4"/>
    <s v="Technical Degree"/>
    <n v="1574"/>
    <n v="4"/>
    <x v="1"/>
    <n v="62"/>
    <n v="3"/>
    <n v="2"/>
    <x v="1"/>
    <n v="1"/>
    <x v="1"/>
    <n v="4087"/>
    <n v="4"/>
    <x v="1"/>
    <n v="14"/>
    <n v="3"/>
    <n v="2"/>
    <n v="1"/>
    <n v="9"/>
    <n v="3"/>
    <n v="2"/>
    <n v="6"/>
    <n v="5"/>
    <n v="1"/>
    <n v="2"/>
    <x v="1"/>
    <x v="1"/>
    <x v="2"/>
    <x v="2"/>
    <x v="0"/>
    <x v="0"/>
    <x v="3"/>
    <x v="2"/>
    <s v="Low"/>
    <x v="2"/>
    <x v="2"/>
    <x v="0"/>
    <x v="0"/>
  </r>
  <r>
    <n v="48"/>
    <x v="1"/>
    <s v="Travel_Rarely"/>
    <n v="1108"/>
    <x v="1"/>
    <n v="15"/>
    <n v="4"/>
    <s v="Other"/>
    <n v="1576"/>
    <n v="3"/>
    <x v="0"/>
    <n v="65"/>
    <n v="3"/>
    <n v="1"/>
    <x v="1"/>
    <n v="1"/>
    <x v="1"/>
    <n v="2367"/>
    <n v="8"/>
    <x v="1"/>
    <n v="12"/>
    <n v="3"/>
    <n v="4"/>
    <n v="1"/>
    <n v="10"/>
    <n v="3"/>
    <n v="2"/>
    <n v="8"/>
    <n v="2"/>
    <n v="7"/>
    <n v="6"/>
    <x v="1"/>
    <x v="1"/>
    <x v="2"/>
    <x v="1"/>
    <x v="0"/>
    <x v="1"/>
    <x v="3"/>
    <x v="1"/>
    <s v="Low"/>
    <x v="2"/>
    <x v="1"/>
    <x v="1"/>
    <x v="0"/>
  </r>
  <r>
    <n v="34"/>
    <x v="1"/>
    <s v="Travel_Rarely"/>
    <n v="479"/>
    <x v="1"/>
    <n v="7"/>
    <n v="4"/>
    <s v="Medical"/>
    <n v="1577"/>
    <n v="1"/>
    <x v="1"/>
    <n v="35"/>
    <n v="3"/>
    <n v="1"/>
    <x v="1"/>
    <n v="4"/>
    <x v="0"/>
    <n v="2972"/>
    <n v="1"/>
    <x v="1"/>
    <n v="13"/>
    <n v="3"/>
    <n v="3"/>
    <n v="0"/>
    <n v="1"/>
    <n v="4"/>
    <n v="1"/>
    <n v="1"/>
    <n v="0"/>
    <n v="0"/>
    <n v="0"/>
    <x v="1"/>
    <x v="1"/>
    <x v="2"/>
    <x v="3"/>
    <x v="0"/>
    <x v="1"/>
    <x v="0"/>
    <x v="3"/>
    <s v="No Options"/>
    <x v="0"/>
    <x v="2"/>
    <x v="1"/>
    <x v="1"/>
  </r>
  <r>
    <n v="55"/>
    <x v="1"/>
    <s v="Travel_Rarely"/>
    <n v="685"/>
    <x v="0"/>
    <n v="26"/>
    <n v="5"/>
    <s v="Marketing"/>
    <n v="1578"/>
    <n v="3"/>
    <x v="1"/>
    <n v="60"/>
    <n v="2"/>
    <n v="5"/>
    <x v="5"/>
    <n v="4"/>
    <x v="1"/>
    <n v="19586"/>
    <n v="1"/>
    <x v="1"/>
    <n v="21"/>
    <n v="4"/>
    <n v="3"/>
    <n v="1"/>
    <n v="36"/>
    <n v="3"/>
    <n v="3"/>
    <n v="36"/>
    <n v="6"/>
    <n v="2"/>
    <n v="13"/>
    <x v="1"/>
    <x v="1"/>
    <x v="4"/>
    <x v="1"/>
    <x v="1"/>
    <x v="4"/>
    <x v="0"/>
    <x v="3"/>
    <s v="Low"/>
    <x v="1"/>
    <x v="3"/>
    <x v="3"/>
    <x v="3"/>
  </r>
  <r>
    <n v="34"/>
    <x v="1"/>
    <s v="Travel_Rarely"/>
    <n v="1351"/>
    <x v="1"/>
    <n v="1"/>
    <n v="4"/>
    <s v="Life Sciences"/>
    <n v="1580"/>
    <n v="2"/>
    <x v="1"/>
    <n v="45"/>
    <n v="3"/>
    <n v="2"/>
    <x v="1"/>
    <n v="4"/>
    <x v="1"/>
    <n v="5484"/>
    <n v="9"/>
    <x v="1"/>
    <n v="17"/>
    <n v="3"/>
    <n v="2"/>
    <n v="1"/>
    <n v="9"/>
    <n v="3"/>
    <n v="2"/>
    <n v="2"/>
    <n v="2"/>
    <n v="2"/>
    <n v="1"/>
    <x v="1"/>
    <x v="1"/>
    <x v="2"/>
    <x v="0"/>
    <x v="0"/>
    <x v="0"/>
    <x v="0"/>
    <x v="2"/>
    <s v="Low"/>
    <x v="2"/>
    <x v="2"/>
    <x v="0"/>
    <x v="1"/>
  </r>
  <r>
    <n v="26"/>
    <x v="1"/>
    <s v="Travel_Rarely"/>
    <n v="474"/>
    <x v="1"/>
    <n v="3"/>
    <n v="3"/>
    <s v="Life Sciences"/>
    <n v="1581"/>
    <n v="1"/>
    <x v="0"/>
    <n v="89"/>
    <n v="3"/>
    <n v="1"/>
    <x v="1"/>
    <n v="4"/>
    <x v="1"/>
    <n v="2061"/>
    <n v="1"/>
    <x v="1"/>
    <n v="21"/>
    <n v="4"/>
    <n v="1"/>
    <n v="0"/>
    <n v="1"/>
    <n v="5"/>
    <n v="3"/>
    <n v="1"/>
    <n v="0"/>
    <n v="0"/>
    <n v="0"/>
    <x v="1"/>
    <x v="1"/>
    <x v="3"/>
    <x v="3"/>
    <x v="0"/>
    <x v="1"/>
    <x v="0"/>
    <x v="0"/>
    <s v="No Options"/>
    <x v="1"/>
    <x v="2"/>
    <x v="1"/>
    <x v="1"/>
  </r>
  <r>
    <n v="38"/>
    <x v="1"/>
    <s v="Travel_Rarely"/>
    <n v="1245"/>
    <x v="0"/>
    <n v="14"/>
    <n v="3"/>
    <s v="Life Sciences"/>
    <n v="1582"/>
    <n v="3"/>
    <x v="1"/>
    <n v="80"/>
    <n v="3"/>
    <n v="2"/>
    <x v="0"/>
    <n v="2"/>
    <x v="1"/>
    <n v="9924"/>
    <n v="0"/>
    <x v="1"/>
    <n v="11"/>
    <n v="3"/>
    <n v="4"/>
    <n v="1"/>
    <n v="10"/>
    <n v="3"/>
    <n v="3"/>
    <n v="9"/>
    <n v="8"/>
    <n v="7"/>
    <n v="7"/>
    <x v="1"/>
    <x v="1"/>
    <x v="3"/>
    <x v="1"/>
    <x v="0"/>
    <x v="0"/>
    <x v="1"/>
    <x v="1"/>
    <s v="Low"/>
    <x v="1"/>
    <x v="0"/>
    <x v="2"/>
    <x v="0"/>
  </r>
  <r>
    <n v="38"/>
    <x v="1"/>
    <s v="Travel_Rarely"/>
    <n v="437"/>
    <x v="0"/>
    <n v="16"/>
    <n v="3"/>
    <s v="Life Sciences"/>
    <n v="1583"/>
    <n v="2"/>
    <x v="0"/>
    <n v="90"/>
    <n v="3"/>
    <n v="2"/>
    <x v="0"/>
    <n v="2"/>
    <x v="0"/>
    <n v="4198"/>
    <n v="2"/>
    <x v="1"/>
    <n v="12"/>
    <n v="3"/>
    <n v="2"/>
    <n v="0"/>
    <n v="8"/>
    <n v="5"/>
    <n v="4"/>
    <n v="3"/>
    <n v="2"/>
    <n v="1"/>
    <n v="2"/>
    <x v="1"/>
    <x v="1"/>
    <x v="3"/>
    <x v="0"/>
    <x v="0"/>
    <x v="0"/>
    <x v="1"/>
    <x v="2"/>
    <s v="No Options"/>
    <x v="3"/>
    <x v="0"/>
    <x v="0"/>
    <x v="2"/>
  </r>
  <r>
    <n v="36"/>
    <x v="1"/>
    <s v="Travel_Rarely"/>
    <n v="884"/>
    <x v="0"/>
    <n v="1"/>
    <n v="4"/>
    <s v="Life Sciences"/>
    <n v="1585"/>
    <n v="2"/>
    <x v="0"/>
    <n v="73"/>
    <n v="3"/>
    <n v="2"/>
    <x v="0"/>
    <n v="3"/>
    <x v="0"/>
    <n v="6815"/>
    <n v="6"/>
    <x v="1"/>
    <n v="13"/>
    <n v="3"/>
    <n v="1"/>
    <n v="0"/>
    <n v="15"/>
    <n v="5"/>
    <n v="3"/>
    <n v="1"/>
    <n v="0"/>
    <n v="0"/>
    <n v="0"/>
    <x v="1"/>
    <x v="1"/>
    <x v="2"/>
    <x v="0"/>
    <x v="0"/>
    <x v="0"/>
    <x v="2"/>
    <x v="0"/>
    <s v="No Options"/>
    <x v="1"/>
    <x v="0"/>
    <x v="0"/>
    <x v="1"/>
  </r>
  <r>
    <n v="29"/>
    <x v="1"/>
    <s v="Travel_Rarely"/>
    <n v="1370"/>
    <x v="1"/>
    <n v="3"/>
    <n v="1"/>
    <s v="Medical"/>
    <n v="1586"/>
    <n v="2"/>
    <x v="1"/>
    <n v="87"/>
    <n v="3"/>
    <n v="1"/>
    <x v="2"/>
    <n v="1"/>
    <x v="0"/>
    <n v="4723"/>
    <n v="1"/>
    <x v="0"/>
    <n v="18"/>
    <n v="3"/>
    <n v="4"/>
    <n v="0"/>
    <n v="10"/>
    <n v="3"/>
    <n v="3"/>
    <n v="10"/>
    <n v="9"/>
    <n v="1"/>
    <n v="5"/>
    <x v="1"/>
    <x v="0"/>
    <x v="1"/>
    <x v="0"/>
    <x v="0"/>
    <x v="1"/>
    <x v="3"/>
    <x v="1"/>
    <s v="No Options"/>
    <x v="1"/>
    <x v="2"/>
    <x v="0"/>
    <x v="0"/>
  </r>
  <r>
    <n v="35"/>
    <x v="1"/>
    <s v="Travel_Rarely"/>
    <n v="670"/>
    <x v="1"/>
    <n v="10"/>
    <n v="4"/>
    <s v="Medical"/>
    <n v="1587"/>
    <n v="1"/>
    <x v="0"/>
    <n v="51"/>
    <n v="3"/>
    <n v="2"/>
    <x v="4"/>
    <n v="3"/>
    <x v="0"/>
    <n v="6142"/>
    <n v="3"/>
    <x v="0"/>
    <n v="16"/>
    <n v="3"/>
    <n v="3"/>
    <n v="0"/>
    <n v="10"/>
    <n v="4"/>
    <n v="3"/>
    <n v="5"/>
    <n v="2"/>
    <n v="0"/>
    <n v="4"/>
    <x v="1"/>
    <x v="0"/>
    <x v="2"/>
    <x v="3"/>
    <x v="0"/>
    <x v="0"/>
    <x v="2"/>
    <x v="3"/>
    <s v="No Options"/>
    <x v="1"/>
    <x v="0"/>
    <x v="0"/>
    <x v="2"/>
  </r>
  <r>
    <n v="39"/>
    <x v="1"/>
    <s v="Travel_Rarely"/>
    <n v="1462"/>
    <x v="0"/>
    <n v="6"/>
    <n v="3"/>
    <s v="Medical"/>
    <n v="1588"/>
    <n v="4"/>
    <x v="1"/>
    <n v="38"/>
    <n v="4"/>
    <n v="3"/>
    <x v="0"/>
    <n v="3"/>
    <x v="1"/>
    <n v="8237"/>
    <n v="2"/>
    <x v="1"/>
    <n v="11"/>
    <n v="3"/>
    <n v="1"/>
    <n v="1"/>
    <n v="11"/>
    <n v="3"/>
    <n v="3"/>
    <n v="7"/>
    <n v="6"/>
    <n v="7"/>
    <n v="6"/>
    <x v="1"/>
    <x v="1"/>
    <x v="3"/>
    <x v="2"/>
    <x v="2"/>
    <x v="2"/>
    <x v="2"/>
    <x v="0"/>
    <s v="Low"/>
    <x v="1"/>
    <x v="0"/>
    <x v="2"/>
    <x v="0"/>
  </r>
  <r>
    <n v="29"/>
    <x v="1"/>
    <s v="Travel_Frequently"/>
    <n v="995"/>
    <x v="1"/>
    <n v="2"/>
    <n v="1"/>
    <s v="Life Sciences"/>
    <n v="1590"/>
    <n v="1"/>
    <x v="1"/>
    <n v="87"/>
    <n v="3"/>
    <n v="2"/>
    <x v="4"/>
    <n v="4"/>
    <x v="2"/>
    <n v="8853"/>
    <n v="1"/>
    <x v="1"/>
    <n v="19"/>
    <n v="3"/>
    <n v="4"/>
    <n v="1"/>
    <n v="6"/>
    <n v="0"/>
    <n v="4"/>
    <n v="6"/>
    <n v="4"/>
    <n v="1"/>
    <n v="3"/>
    <x v="1"/>
    <x v="1"/>
    <x v="1"/>
    <x v="3"/>
    <x v="0"/>
    <x v="0"/>
    <x v="0"/>
    <x v="1"/>
    <s v="Low"/>
    <x v="3"/>
    <x v="2"/>
    <x v="2"/>
    <x v="0"/>
  </r>
  <r>
    <n v="50"/>
    <x v="1"/>
    <s v="Travel_Rarely"/>
    <n v="264"/>
    <x v="0"/>
    <n v="9"/>
    <n v="3"/>
    <s v="Marketing"/>
    <n v="1591"/>
    <n v="3"/>
    <x v="1"/>
    <n v="59"/>
    <n v="3"/>
    <n v="5"/>
    <x v="5"/>
    <n v="3"/>
    <x v="1"/>
    <n v="19331"/>
    <n v="4"/>
    <x v="0"/>
    <n v="16"/>
    <n v="3"/>
    <n v="3"/>
    <n v="1"/>
    <n v="27"/>
    <n v="2"/>
    <n v="3"/>
    <n v="1"/>
    <n v="0"/>
    <n v="0"/>
    <n v="0"/>
    <x v="1"/>
    <x v="0"/>
    <x v="3"/>
    <x v="1"/>
    <x v="0"/>
    <x v="4"/>
    <x v="2"/>
    <x v="3"/>
    <s v="Low"/>
    <x v="1"/>
    <x v="1"/>
    <x v="3"/>
    <x v="1"/>
  </r>
  <r>
    <n v="23"/>
    <x v="1"/>
    <s v="Travel_Rarely"/>
    <n v="977"/>
    <x v="1"/>
    <n v="10"/>
    <n v="3"/>
    <s v="Technical Degree"/>
    <n v="1592"/>
    <n v="4"/>
    <x v="1"/>
    <n v="45"/>
    <n v="4"/>
    <n v="1"/>
    <x v="1"/>
    <n v="3"/>
    <x v="1"/>
    <n v="2073"/>
    <n v="2"/>
    <x v="1"/>
    <n v="16"/>
    <n v="3"/>
    <n v="4"/>
    <n v="1"/>
    <n v="4"/>
    <n v="2"/>
    <n v="3"/>
    <n v="2"/>
    <n v="2"/>
    <n v="2"/>
    <n v="2"/>
    <x v="1"/>
    <x v="1"/>
    <x v="3"/>
    <x v="2"/>
    <x v="2"/>
    <x v="1"/>
    <x v="2"/>
    <x v="1"/>
    <s v="Low"/>
    <x v="1"/>
    <x v="4"/>
    <x v="1"/>
    <x v="1"/>
  </r>
  <r>
    <n v="36"/>
    <x v="1"/>
    <s v="Travel_Frequently"/>
    <n v="1302"/>
    <x v="1"/>
    <n v="6"/>
    <n v="4"/>
    <s v="Life Sciences"/>
    <n v="1594"/>
    <n v="1"/>
    <x v="1"/>
    <n v="80"/>
    <n v="4"/>
    <n v="2"/>
    <x v="2"/>
    <n v="1"/>
    <x v="1"/>
    <n v="5562"/>
    <n v="3"/>
    <x v="0"/>
    <n v="13"/>
    <n v="3"/>
    <n v="4"/>
    <n v="1"/>
    <n v="9"/>
    <n v="3"/>
    <n v="3"/>
    <n v="3"/>
    <n v="2"/>
    <n v="0"/>
    <n v="2"/>
    <x v="1"/>
    <x v="0"/>
    <x v="2"/>
    <x v="3"/>
    <x v="2"/>
    <x v="0"/>
    <x v="3"/>
    <x v="1"/>
    <s v="Low"/>
    <x v="1"/>
    <x v="0"/>
    <x v="0"/>
    <x v="2"/>
  </r>
  <r>
    <n v="42"/>
    <x v="1"/>
    <s v="Travel_Rarely"/>
    <n v="1059"/>
    <x v="1"/>
    <n v="9"/>
    <n v="2"/>
    <s v="Other"/>
    <n v="1595"/>
    <n v="4"/>
    <x v="1"/>
    <n v="93"/>
    <n v="2"/>
    <n v="5"/>
    <x v="5"/>
    <n v="4"/>
    <x v="0"/>
    <n v="19613"/>
    <n v="8"/>
    <x v="1"/>
    <n v="22"/>
    <n v="4"/>
    <n v="4"/>
    <n v="0"/>
    <n v="24"/>
    <n v="2"/>
    <n v="3"/>
    <n v="1"/>
    <n v="0"/>
    <n v="0"/>
    <n v="1"/>
    <x v="1"/>
    <x v="1"/>
    <x v="0"/>
    <x v="2"/>
    <x v="1"/>
    <x v="4"/>
    <x v="0"/>
    <x v="1"/>
    <s v="No Options"/>
    <x v="1"/>
    <x v="0"/>
    <x v="3"/>
    <x v="1"/>
  </r>
  <r>
    <n v="35"/>
    <x v="1"/>
    <s v="Travel_Rarely"/>
    <n v="750"/>
    <x v="1"/>
    <n v="28"/>
    <n v="3"/>
    <s v="Life Sciences"/>
    <n v="1596"/>
    <n v="2"/>
    <x v="1"/>
    <n v="46"/>
    <n v="4"/>
    <n v="2"/>
    <x v="2"/>
    <n v="3"/>
    <x v="1"/>
    <n v="3407"/>
    <n v="1"/>
    <x v="1"/>
    <n v="17"/>
    <n v="3"/>
    <n v="4"/>
    <n v="2"/>
    <n v="10"/>
    <n v="3"/>
    <n v="2"/>
    <n v="10"/>
    <n v="9"/>
    <n v="6"/>
    <n v="8"/>
    <x v="1"/>
    <x v="1"/>
    <x v="3"/>
    <x v="0"/>
    <x v="2"/>
    <x v="0"/>
    <x v="2"/>
    <x v="1"/>
    <s v="Medium"/>
    <x v="2"/>
    <x v="0"/>
    <x v="0"/>
    <x v="0"/>
  </r>
  <r>
    <n v="34"/>
    <x v="1"/>
    <s v="Travel_Frequently"/>
    <n v="653"/>
    <x v="1"/>
    <n v="10"/>
    <n v="4"/>
    <s v="Technical Degree"/>
    <n v="1597"/>
    <n v="4"/>
    <x v="1"/>
    <n v="92"/>
    <n v="2"/>
    <n v="2"/>
    <x v="4"/>
    <n v="3"/>
    <x v="1"/>
    <n v="5063"/>
    <n v="1"/>
    <x v="1"/>
    <n v="14"/>
    <n v="3"/>
    <n v="2"/>
    <n v="1"/>
    <n v="8"/>
    <n v="3"/>
    <n v="2"/>
    <n v="8"/>
    <n v="2"/>
    <n v="7"/>
    <n v="7"/>
    <x v="1"/>
    <x v="1"/>
    <x v="2"/>
    <x v="2"/>
    <x v="1"/>
    <x v="0"/>
    <x v="2"/>
    <x v="2"/>
    <s v="Low"/>
    <x v="2"/>
    <x v="2"/>
    <x v="0"/>
    <x v="0"/>
  </r>
  <r>
    <n v="40"/>
    <x v="1"/>
    <s v="Travel_Rarely"/>
    <n v="118"/>
    <x v="0"/>
    <n v="14"/>
    <n v="2"/>
    <s v="Life Sciences"/>
    <n v="1598"/>
    <n v="4"/>
    <x v="0"/>
    <n v="84"/>
    <n v="3"/>
    <n v="2"/>
    <x v="0"/>
    <n v="1"/>
    <x v="1"/>
    <n v="4639"/>
    <n v="1"/>
    <x v="1"/>
    <n v="15"/>
    <n v="3"/>
    <n v="3"/>
    <n v="1"/>
    <n v="5"/>
    <n v="2"/>
    <n v="3"/>
    <n v="5"/>
    <n v="4"/>
    <n v="1"/>
    <n v="2"/>
    <x v="1"/>
    <x v="1"/>
    <x v="0"/>
    <x v="2"/>
    <x v="0"/>
    <x v="0"/>
    <x v="3"/>
    <x v="3"/>
    <s v="Low"/>
    <x v="1"/>
    <x v="0"/>
    <x v="0"/>
    <x v="2"/>
  </r>
  <r>
    <n v="43"/>
    <x v="1"/>
    <s v="Travel_Rarely"/>
    <n v="990"/>
    <x v="1"/>
    <n v="27"/>
    <n v="3"/>
    <s v="Technical Degree"/>
    <n v="1599"/>
    <n v="4"/>
    <x v="1"/>
    <n v="87"/>
    <n v="4"/>
    <n v="1"/>
    <x v="2"/>
    <n v="2"/>
    <x v="2"/>
    <n v="4876"/>
    <n v="5"/>
    <x v="1"/>
    <n v="12"/>
    <n v="3"/>
    <n v="3"/>
    <n v="1"/>
    <n v="8"/>
    <n v="0"/>
    <n v="3"/>
    <n v="6"/>
    <n v="4"/>
    <n v="0"/>
    <n v="2"/>
    <x v="1"/>
    <x v="1"/>
    <x v="3"/>
    <x v="2"/>
    <x v="2"/>
    <x v="1"/>
    <x v="1"/>
    <x v="3"/>
    <s v="Low"/>
    <x v="1"/>
    <x v="0"/>
    <x v="0"/>
    <x v="0"/>
  </r>
  <r>
    <n v="35"/>
    <x v="1"/>
    <s v="Travel_Rarely"/>
    <n v="1349"/>
    <x v="1"/>
    <n v="7"/>
    <n v="2"/>
    <s v="Life Sciences"/>
    <n v="1601"/>
    <n v="3"/>
    <x v="1"/>
    <n v="63"/>
    <n v="2"/>
    <n v="1"/>
    <x v="2"/>
    <n v="4"/>
    <x v="1"/>
    <n v="2690"/>
    <n v="1"/>
    <x v="1"/>
    <n v="18"/>
    <n v="3"/>
    <n v="4"/>
    <n v="1"/>
    <n v="1"/>
    <n v="5"/>
    <n v="2"/>
    <n v="1"/>
    <n v="0"/>
    <n v="0"/>
    <n v="1"/>
    <x v="1"/>
    <x v="1"/>
    <x v="0"/>
    <x v="1"/>
    <x v="1"/>
    <x v="1"/>
    <x v="0"/>
    <x v="1"/>
    <s v="Low"/>
    <x v="2"/>
    <x v="0"/>
    <x v="1"/>
    <x v="1"/>
  </r>
  <r>
    <n v="46"/>
    <x v="1"/>
    <s v="Travel_Rarely"/>
    <n v="563"/>
    <x v="0"/>
    <n v="1"/>
    <n v="4"/>
    <s v="Life Sciences"/>
    <n v="1602"/>
    <n v="4"/>
    <x v="1"/>
    <n v="56"/>
    <n v="4"/>
    <n v="4"/>
    <x v="5"/>
    <n v="1"/>
    <x v="0"/>
    <n v="17567"/>
    <n v="1"/>
    <x v="1"/>
    <n v="15"/>
    <n v="3"/>
    <n v="2"/>
    <n v="0"/>
    <n v="27"/>
    <n v="5"/>
    <n v="1"/>
    <n v="26"/>
    <n v="0"/>
    <n v="0"/>
    <n v="12"/>
    <x v="1"/>
    <x v="1"/>
    <x v="2"/>
    <x v="2"/>
    <x v="2"/>
    <x v="3"/>
    <x v="3"/>
    <x v="2"/>
    <s v="No Options"/>
    <x v="0"/>
    <x v="1"/>
    <x v="3"/>
    <x v="3"/>
  </r>
  <r>
    <n v="28"/>
    <x v="0"/>
    <s v="Travel_Rarely"/>
    <n v="329"/>
    <x v="1"/>
    <n v="24"/>
    <n v="3"/>
    <s v="Medical"/>
    <n v="1604"/>
    <n v="3"/>
    <x v="1"/>
    <n v="51"/>
    <n v="3"/>
    <n v="1"/>
    <x v="2"/>
    <n v="2"/>
    <x v="1"/>
    <n v="2408"/>
    <n v="1"/>
    <x v="0"/>
    <n v="17"/>
    <n v="3"/>
    <n v="3"/>
    <n v="3"/>
    <n v="1"/>
    <n v="3"/>
    <n v="3"/>
    <n v="1"/>
    <n v="1"/>
    <n v="0"/>
    <n v="0"/>
    <x v="0"/>
    <x v="0"/>
    <x v="3"/>
    <x v="1"/>
    <x v="0"/>
    <x v="1"/>
    <x v="1"/>
    <x v="3"/>
    <s v="High"/>
    <x v="1"/>
    <x v="2"/>
    <x v="1"/>
    <x v="1"/>
  </r>
  <r>
    <n v="22"/>
    <x v="1"/>
    <s v="Non-Travel"/>
    <n v="457"/>
    <x v="1"/>
    <n v="26"/>
    <n v="2"/>
    <s v="Other"/>
    <n v="1605"/>
    <n v="2"/>
    <x v="0"/>
    <n v="85"/>
    <n v="2"/>
    <n v="1"/>
    <x v="1"/>
    <n v="3"/>
    <x v="1"/>
    <n v="2814"/>
    <n v="1"/>
    <x v="0"/>
    <n v="14"/>
    <n v="3"/>
    <n v="2"/>
    <n v="0"/>
    <n v="4"/>
    <n v="2"/>
    <n v="2"/>
    <n v="4"/>
    <n v="2"/>
    <n v="1"/>
    <n v="3"/>
    <x v="1"/>
    <x v="0"/>
    <x v="0"/>
    <x v="0"/>
    <x v="1"/>
    <x v="1"/>
    <x v="2"/>
    <x v="2"/>
    <s v="No Options"/>
    <x v="2"/>
    <x v="4"/>
    <x v="1"/>
    <x v="2"/>
  </r>
  <r>
    <n v="50"/>
    <x v="1"/>
    <s v="Travel_Frequently"/>
    <n v="1234"/>
    <x v="1"/>
    <n v="20"/>
    <n v="5"/>
    <s v="Medical"/>
    <n v="1606"/>
    <n v="2"/>
    <x v="1"/>
    <n v="41"/>
    <n v="3"/>
    <n v="4"/>
    <x v="4"/>
    <n v="3"/>
    <x v="1"/>
    <n v="11245"/>
    <n v="2"/>
    <x v="0"/>
    <n v="15"/>
    <n v="3"/>
    <n v="3"/>
    <n v="1"/>
    <n v="32"/>
    <n v="3"/>
    <n v="3"/>
    <n v="30"/>
    <n v="8"/>
    <n v="12"/>
    <n v="13"/>
    <x v="1"/>
    <x v="0"/>
    <x v="4"/>
    <x v="0"/>
    <x v="0"/>
    <x v="3"/>
    <x v="2"/>
    <x v="3"/>
    <s v="Low"/>
    <x v="1"/>
    <x v="1"/>
    <x v="2"/>
    <x v="3"/>
  </r>
  <r>
    <n v="32"/>
    <x v="1"/>
    <s v="Travel_Rarely"/>
    <n v="634"/>
    <x v="1"/>
    <n v="5"/>
    <n v="4"/>
    <s v="Other"/>
    <n v="1607"/>
    <n v="2"/>
    <x v="0"/>
    <n v="35"/>
    <n v="4"/>
    <n v="1"/>
    <x v="1"/>
    <n v="4"/>
    <x v="1"/>
    <n v="3312"/>
    <n v="3"/>
    <x v="1"/>
    <n v="17"/>
    <n v="3"/>
    <n v="4"/>
    <n v="2"/>
    <n v="6"/>
    <n v="3"/>
    <n v="3"/>
    <n v="3"/>
    <n v="2"/>
    <n v="0"/>
    <n v="2"/>
    <x v="1"/>
    <x v="1"/>
    <x v="2"/>
    <x v="0"/>
    <x v="2"/>
    <x v="1"/>
    <x v="0"/>
    <x v="1"/>
    <s v="Medium"/>
    <x v="1"/>
    <x v="2"/>
    <x v="0"/>
    <x v="2"/>
  </r>
  <r>
    <n v="44"/>
    <x v="1"/>
    <s v="Travel_Rarely"/>
    <n v="1313"/>
    <x v="1"/>
    <n v="7"/>
    <n v="3"/>
    <s v="Medical"/>
    <n v="1608"/>
    <n v="2"/>
    <x v="0"/>
    <n v="31"/>
    <n v="3"/>
    <n v="5"/>
    <x v="7"/>
    <n v="4"/>
    <x v="2"/>
    <n v="19049"/>
    <n v="0"/>
    <x v="0"/>
    <n v="14"/>
    <n v="3"/>
    <n v="4"/>
    <n v="1"/>
    <n v="23"/>
    <n v="4"/>
    <n v="2"/>
    <n v="22"/>
    <n v="7"/>
    <n v="1"/>
    <n v="10"/>
    <x v="1"/>
    <x v="0"/>
    <x v="3"/>
    <x v="0"/>
    <x v="0"/>
    <x v="4"/>
    <x v="0"/>
    <x v="1"/>
    <s v="Low"/>
    <x v="2"/>
    <x v="0"/>
    <x v="3"/>
    <x v="3"/>
  </r>
  <r>
    <n v="30"/>
    <x v="1"/>
    <s v="Travel_Rarely"/>
    <n v="241"/>
    <x v="1"/>
    <n v="7"/>
    <n v="3"/>
    <s v="Medical"/>
    <n v="1609"/>
    <n v="2"/>
    <x v="1"/>
    <n v="48"/>
    <n v="2"/>
    <n v="1"/>
    <x v="1"/>
    <n v="2"/>
    <x v="1"/>
    <n v="2141"/>
    <n v="1"/>
    <x v="1"/>
    <n v="12"/>
    <n v="3"/>
    <n v="2"/>
    <n v="1"/>
    <n v="6"/>
    <n v="3"/>
    <n v="2"/>
    <n v="6"/>
    <n v="4"/>
    <n v="1"/>
    <n v="1"/>
    <x v="1"/>
    <x v="1"/>
    <x v="3"/>
    <x v="0"/>
    <x v="1"/>
    <x v="1"/>
    <x v="1"/>
    <x v="2"/>
    <s v="Low"/>
    <x v="2"/>
    <x v="2"/>
    <x v="1"/>
    <x v="0"/>
  </r>
  <r>
    <n v="45"/>
    <x v="1"/>
    <s v="Travel_Rarely"/>
    <n v="1015"/>
    <x v="1"/>
    <n v="5"/>
    <n v="5"/>
    <s v="Medical"/>
    <n v="1611"/>
    <n v="3"/>
    <x v="0"/>
    <n v="50"/>
    <n v="1"/>
    <n v="2"/>
    <x v="2"/>
    <n v="1"/>
    <x v="0"/>
    <n v="5769"/>
    <n v="1"/>
    <x v="0"/>
    <n v="14"/>
    <n v="3"/>
    <n v="1"/>
    <n v="0"/>
    <n v="10"/>
    <n v="3"/>
    <n v="3"/>
    <n v="10"/>
    <n v="7"/>
    <n v="1"/>
    <n v="4"/>
    <x v="1"/>
    <x v="0"/>
    <x v="4"/>
    <x v="1"/>
    <x v="3"/>
    <x v="0"/>
    <x v="3"/>
    <x v="0"/>
    <s v="No Options"/>
    <x v="1"/>
    <x v="1"/>
    <x v="0"/>
    <x v="0"/>
  </r>
  <r>
    <n v="45"/>
    <x v="1"/>
    <s v="Non-Travel"/>
    <n v="336"/>
    <x v="0"/>
    <n v="26"/>
    <n v="3"/>
    <s v="Marketing"/>
    <n v="1612"/>
    <n v="1"/>
    <x v="1"/>
    <n v="52"/>
    <n v="2"/>
    <n v="2"/>
    <x v="0"/>
    <n v="1"/>
    <x v="1"/>
    <n v="4385"/>
    <n v="1"/>
    <x v="1"/>
    <n v="15"/>
    <n v="3"/>
    <n v="1"/>
    <n v="1"/>
    <n v="10"/>
    <n v="2"/>
    <n v="3"/>
    <n v="10"/>
    <n v="7"/>
    <n v="4"/>
    <n v="5"/>
    <x v="1"/>
    <x v="1"/>
    <x v="3"/>
    <x v="3"/>
    <x v="1"/>
    <x v="0"/>
    <x v="3"/>
    <x v="0"/>
    <s v="Low"/>
    <x v="1"/>
    <x v="1"/>
    <x v="0"/>
    <x v="0"/>
  </r>
  <r>
    <n v="31"/>
    <x v="1"/>
    <s v="Travel_Frequently"/>
    <n v="715"/>
    <x v="0"/>
    <n v="2"/>
    <n v="4"/>
    <s v="Other"/>
    <n v="1613"/>
    <n v="4"/>
    <x v="1"/>
    <n v="54"/>
    <n v="3"/>
    <n v="2"/>
    <x v="0"/>
    <n v="1"/>
    <x v="0"/>
    <n v="5332"/>
    <n v="7"/>
    <x v="1"/>
    <n v="13"/>
    <n v="3"/>
    <n v="4"/>
    <n v="0"/>
    <n v="10"/>
    <n v="3"/>
    <n v="3"/>
    <n v="5"/>
    <n v="2"/>
    <n v="0"/>
    <n v="3"/>
    <x v="1"/>
    <x v="1"/>
    <x v="2"/>
    <x v="2"/>
    <x v="0"/>
    <x v="0"/>
    <x v="3"/>
    <x v="1"/>
    <s v="No Options"/>
    <x v="1"/>
    <x v="2"/>
    <x v="0"/>
    <x v="2"/>
  </r>
  <r>
    <n v="36"/>
    <x v="1"/>
    <s v="Travel_Rarely"/>
    <n v="559"/>
    <x v="1"/>
    <n v="12"/>
    <n v="4"/>
    <s v="Life Sciences"/>
    <n v="1614"/>
    <n v="3"/>
    <x v="0"/>
    <n v="76"/>
    <n v="3"/>
    <n v="2"/>
    <x v="3"/>
    <n v="3"/>
    <x v="1"/>
    <n v="4663"/>
    <n v="9"/>
    <x v="0"/>
    <n v="12"/>
    <n v="3"/>
    <n v="2"/>
    <n v="2"/>
    <n v="7"/>
    <n v="2"/>
    <n v="3"/>
    <n v="3"/>
    <n v="2"/>
    <n v="1"/>
    <n v="1"/>
    <x v="1"/>
    <x v="0"/>
    <x v="2"/>
    <x v="1"/>
    <x v="0"/>
    <x v="0"/>
    <x v="2"/>
    <x v="2"/>
    <s v="Medium"/>
    <x v="1"/>
    <x v="0"/>
    <x v="0"/>
    <x v="2"/>
  </r>
  <r>
    <n v="34"/>
    <x v="1"/>
    <s v="Travel_Frequently"/>
    <n v="426"/>
    <x v="1"/>
    <n v="10"/>
    <n v="4"/>
    <s v="Life Sciences"/>
    <n v="1615"/>
    <n v="3"/>
    <x v="1"/>
    <n v="42"/>
    <n v="4"/>
    <n v="2"/>
    <x v="3"/>
    <n v="4"/>
    <x v="2"/>
    <n v="4724"/>
    <n v="1"/>
    <x v="1"/>
    <n v="13"/>
    <n v="3"/>
    <n v="1"/>
    <n v="1"/>
    <n v="9"/>
    <n v="3"/>
    <n v="3"/>
    <n v="9"/>
    <n v="7"/>
    <n v="7"/>
    <n v="2"/>
    <x v="1"/>
    <x v="1"/>
    <x v="2"/>
    <x v="1"/>
    <x v="2"/>
    <x v="0"/>
    <x v="0"/>
    <x v="0"/>
    <s v="Low"/>
    <x v="1"/>
    <x v="2"/>
    <x v="0"/>
    <x v="0"/>
  </r>
  <r>
    <n v="49"/>
    <x v="1"/>
    <s v="Travel_Rarely"/>
    <n v="722"/>
    <x v="1"/>
    <n v="25"/>
    <n v="4"/>
    <s v="Life Sciences"/>
    <n v="1617"/>
    <n v="3"/>
    <x v="0"/>
    <n v="84"/>
    <n v="3"/>
    <n v="1"/>
    <x v="2"/>
    <n v="1"/>
    <x v="1"/>
    <n v="3211"/>
    <n v="1"/>
    <x v="1"/>
    <n v="14"/>
    <n v="3"/>
    <n v="4"/>
    <n v="1"/>
    <n v="10"/>
    <n v="3"/>
    <n v="2"/>
    <n v="9"/>
    <n v="6"/>
    <n v="1"/>
    <n v="4"/>
    <x v="1"/>
    <x v="1"/>
    <x v="2"/>
    <x v="1"/>
    <x v="0"/>
    <x v="1"/>
    <x v="3"/>
    <x v="1"/>
    <s v="Low"/>
    <x v="2"/>
    <x v="1"/>
    <x v="0"/>
    <x v="0"/>
  </r>
  <r>
    <n v="39"/>
    <x v="1"/>
    <s v="Travel_Rarely"/>
    <n v="1387"/>
    <x v="1"/>
    <n v="10"/>
    <n v="5"/>
    <s v="Medical"/>
    <n v="1618"/>
    <n v="2"/>
    <x v="1"/>
    <n v="76"/>
    <n v="3"/>
    <n v="2"/>
    <x v="3"/>
    <n v="1"/>
    <x v="1"/>
    <n v="5377"/>
    <n v="2"/>
    <x v="1"/>
    <n v="13"/>
    <n v="3"/>
    <n v="4"/>
    <n v="3"/>
    <n v="10"/>
    <n v="3"/>
    <n v="3"/>
    <n v="7"/>
    <n v="7"/>
    <n v="7"/>
    <n v="7"/>
    <x v="1"/>
    <x v="1"/>
    <x v="4"/>
    <x v="0"/>
    <x v="0"/>
    <x v="0"/>
    <x v="3"/>
    <x v="1"/>
    <s v="High"/>
    <x v="1"/>
    <x v="0"/>
    <x v="0"/>
    <x v="0"/>
  </r>
  <r>
    <n v="27"/>
    <x v="1"/>
    <s v="Travel_Rarely"/>
    <n v="1302"/>
    <x v="1"/>
    <n v="19"/>
    <n v="3"/>
    <s v="Other"/>
    <n v="1619"/>
    <n v="4"/>
    <x v="1"/>
    <n v="67"/>
    <n v="2"/>
    <n v="1"/>
    <x v="2"/>
    <n v="1"/>
    <x v="2"/>
    <n v="4066"/>
    <n v="1"/>
    <x v="1"/>
    <n v="11"/>
    <n v="3"/>
    <n v="1"/>
    <n v="2"/>
    <n v="7"/>
    <n v="3"/>
    <n v="3"/>
    <n v="7"/>
    <n v="7"/>
    <n v="0"/>
    <n v="7"/>
    <x v="1"/>
    <x v="1"/>
    <x v="3"/>
    <x v="2"/>
    <x v="1"/>
    <x v="1"/>
    <x v="3"/>
    <x v="0"/>
    <s v="Medium"/>
    <x v="1"/>
    <x v="2"/>
    <x v="0"/>
    <x v="0"/>
  </r>
  <r>
    <n v="35"/>
    <x v="1"/>
    <s v="Travel_Rarely"/>
    <n v="819"/>
    <x v="1"/>
    <n v="18"/>
    <n v="5"/>
    <s v="Life Sciences"/>
    <n v="1621"/>
    <n v="2"/>
    <x v="1"/>
    <n v="48"/>
    <n v="4"/>
    <n v="2"/>
    <x v="1"/>
    <n v="1"/>
    <x v="1"/>
    <n v="5208"/>
    <n v="1"/>
    <x v="1"/>
    <n v="11"/>
    <n v="3"/>
    <n v="4"/>
    <n v="0"/>
    <n v="16"/>
    <n v="2"/>
    <n v="3"/>
    <n v="16"/>
    <n v="15"/>
    <n v="1"/>
    <n v="10"/>
    <x v="1"/>
    <x v="1"/>
    <x v="4"/>
    <x v="0"/>
    <x v="2"/>
    <x v="0"/>
    <x v="3"/>
    <x v="1"/>
    <s v="No Options"/>
    <x v="1"/>
    <x v="0"/>
    <x v="0"/>
    <x v="4"/>
  </r>
  <r>
    <n v="28"/>
    <x v="1"/>
    <s v="Travel_Rarely"/>
    <n v="580"/>
    <x v="1"/>
    <n v="27"/>
    <n v="3"/>
    <s v="Medical"/>
    <n v="1622"/>
    <n v="2"/>
    <x v="0"/>
    <n v="39"/>
    <n v="1"/>
    <n v="2"/>
    <x v="3"/>
    <n v="1"/>
    <x v="2"/>
    <n v="4877"/>
    <n v="0"/>
    <x v="1"/>
    <n v="21"/>
    <n v="4"/>
    <n v="2"/>
    <n v="1"/>
    <n v="6"/>
    <n v="5"/>
    <n v="2"/>
    <n v="5"/>
    <n v="3"/>
    <n v="0"/>
    <n v="0"/>
    <x v="1"/>
    <x v="1"/>
    <x v="3"/>
    <x v="0"/>
    <x v="3"/>
    <x v="0"/>
    <x v="3"/>
    <x v="2"/>
    <s v="Low"/>
    <x v="2"/>
    <x v="2"/>
    <x v="0"/>
    <x v="2"/>
  </r>
  <r>
    <n v="21"/>
    <x v="1"/>
    <s v="Travel_Rarely"/>
    <n v="546"/>
    <x v="1"/>
    <n v="5"/>
    <n v="1"/>
    <s v="Medical"/>
    <n v="1623"/>
    <n v="3"/>
    <x v="1"/>
    <n v="97"/>
    <n v="3"/>
    <n v="1"/>
    <x v="1"/>
    <n v="4"/>
    <x v="0"/>
    <n v="3117"/>
    <n v="1"/>
    <x v="1"/>
    <n v="18"/>
    <n v="3"/>
    <n v="3"/>
    <n v="0"/>
    <n v="3"/>
    <n v="2"/>
    <n v="3"/>
    <n v="2"/>
    <n v="2"/>
    <n v="2"/>
    <n v="2"/>
    <x v="1"/>
    <x v="1"/>
    <x v="1"/>
    <x v="1"/>
    <x v="0"/>
    <x v="1"/>
    <x v="0"/>
    <x v="3"/>
    <s v="No Options"/>
    <x v="1"/>
    <x v="4"/>
    <x v="0"/>
    <x v="1"/>
  </r>
  <r>
    <n v="18"/>
    <x v="0"/>
    <s v="Travel_Frequently"/>
    <n v="544"/>
    <x v="0"/>
    <n v="3"/>
    <n v="2"/>
    <s v="Medical"/>
    <n v="1624"/>
    <n v="2"/>
    <x v="0"/>
    <n v="70"/>
    <n v="3"/>
    <n v="1"/>
    <x v="6"/>
    <n v="4"/>
    <x v="0"/>
    <n v="1569"/>
    <n v="1"/>
    <x v="0"/>
    <n v="12"/>
    <n v="3"/>
    <n v="3"/>
    <n v="0"/>
    <n v="0"/>
    <n v="2"/>
    <n v="4"/>
    <n v="0"/>
    <n v="0"/>
    <n v="0"/>
    <n v="0"/>
    <x v="0"/>
    <x v="0"/>
    <x v="0"/>
    <x v="0"/>
    <x v="0"/>
    <x v="1"/>
    <x v="0"/>
    <x v="3"/>
    <s v="No Options"/>
    <x v="3"/>
    <x v="4"/>
    <x v="1"/>
    <x v="1"/>
  </r>
  <r>
    <n v="47"/>
    <x v="1"/>
    <s v="Travel_Rarely"/>
    <n v="1176"/>
    <x v="2"/>
    <n v="26"/>
    <n v="4"/>
    <s v="Life Sciences"/>
    <n v="1625"/>
    <n v="4"/>
    <x v="0"/>
    <n v="98"/>
    <n v="3"/>
    <n v="5"/>
    <x v="5"/>
    <n v="3"/>
    <x v="1"/>
    <n v="19658"/>
    <n v="3"/>
    <x v="1"/>
    <n v="11"/>
    <n v="3"/>
    <n v="3"/>
    <n v="1"/>
    <n v="27"/>
    <n v="2"/>
    <n v="3"/>
    <n v="5"/>
    <n v="2"/>
    <n v="1"/>
    <n v="0"/>
    <x v="1"/>
    <x v="1"/>
    <x v="2"/>
    <x v="2"/>
    <x v="0"/>
    <x v="4"/>
    <x v="2"/>
    <x v="3"/>
    <s v="Low"/>
    <x v="1"/>
    <x v="1"/>
    <x v="3"/>
    <x v="2"/>
  </r>
  <r>
    <n v="39"/>
    <x v="1"/>
    <s v="Travel_Rarely"/>
    <n v="170"/>
    <x v="1"/>
    <n v="3"/>
    <n v="2"/>
    <s v="Medical"/>
    <n v="1627"/>
    <n v="3"/>
    <x v="1"/>
    <n v="76"/>
    <n v="2"/>
    <n v="2"/>
    <x v="2"/>
    <n v="3"/>
    <x v="2"/>
    <n v="3069"/>
    <n v="0"/>
    <x v="1"/>
    <n v="15"/>
    <n v="3"/>
    <n v="4"/>
    <n v="1"/>
    <n v="11"/>
    <n v="3"/>
    <n v="3"/>
    <n v="10"/>
    <n v="8"/>
    <n v="0"/>
    <n v="7"/>
    <x v="1"/>
    <x v="1"/>
    <x v="0"/>
    <x v="1"/>
    <x v="1"/>
    <x v="0"/>
    <x v="2"/>
    <x v="1"/>
    <s v="Low"/>
    <x v="1"/>
    <x v="0"/>
    <x v="0"/>
    <x v="0"/>
  </r>
  <r>
    <n v="40"/>
    <x v="1"/>
    <s v="Travel_Rarely"/>
    <n v="884"/>
    <x v="1"/>
    <n v="15"/>
    <n v="3"/>
    <s v="Life Sciences"/>
    <n v="1628"/>
    <n v="1"/>
    <x v="0"/>
    <n v="80"/>
    <n v="2"/>
    <n v="3"/>
    <x v="3"/>
    <n v="3"/>
    <x v="1"/>
    <n v="10435"/>
    <n v="1"/>
    <x v="1"/>
    <n v="13"/>
    <n v="3"/>
    <n v="4"/>
    <n v="2"/>
    <n v="18"/>
    <n v="2"/>
    <n v="3"/>
    <n v="18"/>
    <n v="15"/>
    <n v="14"/>
    <n v="12"/>
    <x v="1"/>
    <x v="1"/>
    <x v="3"/>
    <x v="3"/>
    <x v="1"/>
    <x v="2"/>
    <x v="2"/>
    <x v="1"/>
    <s v="Medium"/>
    <x v="1"/>
    <x v="0"/>
    <x v="2"/>
    <x v="4"/>
  </r>
  <r>
    <n v="35"/>
    <x v="1"/>
    <s v="Non-Travel"/>
    <n v="208"/>
    <x v="1"/>
    <n v="8"/>
    <n v="4"/>
    <s v="Life Sciences"/>
    <n v="1630"/>
    <n v="3"/>
    <x v="0"/>
    <n v="52"/>
    <n v="3"/>
    <n v="2"/>
    <x v="4"/>
    <n v="3"/>
    <x v="1"/>
    <n v="4148"/>
    <n v="1"/>
    <x v="1"/>
    <n v="12"/>
    <n v="3"/>
    <n v="4"/>
    <n v="1"/>
    <n v="15"/>
    <n v="5"/>
    <n v="3"/>
    <n v="14"/>
    <n v="11"/>
    <n v="2"/>
    <n v="9"/>
    <x v="1"/>
    <x v="1"/>
    <x v="2"/>
    <x v="1"/>
    <x v="0"/>
    <x v="0"/>
    <x v="2"/>
    <x v="1"/>
    <s v="Low"/>
    <x v="1"/>
    <x v="0"/>
    <x v="0"/>
    <x v="4"/>
  </r>
  <r>
    <n v="37"/>
    <x v="1"/>
    <s v="Travel_Rarely"/>
    <n v="671"/>
    <x v="1"/>
    <n v="19"/>
    <n v="3"/>
    <s v="Life Sciences"/>
    <n v="1631"/>
    <n v="3"/>
    <x v="1"/>
    <n v="85"/>
    <n v="3"/>
    <n v="2"/>
    <x v="3"/>
    <n v="3"/>
    <x v="1"/>
    <n v="5768"/>
    <n v="3"/>
    <x v="1"/>
    <n v="17"/>
    <n v="3"/>
    <n v="1"/>
    <n v="3"/>
    <n v="9"/>
    <n v="2"/>
    <n v="2"/>
    <n v="4"/>
    <n v="3"/>
    <n v="0"/>
    <n v="2"/>
    <x v="1"/>
    <x v="1"/>
    <x v="3"/>
    <x v="1"/>
    <x v="0"/>
    <x v="0"/>
    <x v="2"/>
    <x v="0"/>
    <s v="High"/>
    <x v="2"/>
    <x v="0"/>
    <x v="0"/>
    <x v="2"/>
  </r>
  <r>
    <n v="39"/>
    <x v="1"/>
    <s v="Travel_Frequently"/>
    <n v="711"/>
    <x v="1"/>
    <n v="4"/>
    <n v="3"/>
    <s v="Medical"/>
    <n v="1633"/>
    <n v="1"/>
    <x v="0"/>
    <n v="81"/>
    <n v="3"/>
    <n v="2"/>
    <x v="3"/>
    <n v="3"/>
    <x v="0"/>
    <n v="5042"/>
    <n v="0"/>
    <x v="1"/>
    <n v="13"/>
    <n v="3"/>
    <n v="4"/>
    <n v="0"/>
    <n v="10"/>
    <n v="2"/>
    <n v="1"/>
    <n v="9"/>
    <n v="2"/>
    <n v="3"/>
    <n v="8"/>
    <x v="1"/>
    <x v="1"/>
    <x v="3"/>
    <x v="3"/>
    <x v="0"/>
    <x v="0"/>
    <x v="2"/>
    <x v="1"/>
    <s v="No Options"/>
    <x v="0"/>
    <x v="0"/>
    <x v="0"/>
    <x v="0"/>
  </r>
  <r>
    <n v="45"/>
    <x v="1"/>
    <s v="Travel_Rarely"/>
    <n v="1329"/>
    <x v="1"/>
    <n v="2"/>
    <n v="2"/>
    <s v="Other"/>
    <n v="1635"/>
    <n v="4"/>
    <x v="0"/>
    <n v="59"/>
    <n v="2"/>
    <n v="2"/>
    <x v="3"/>
    <n v="4"/>
    <x v="2"/>
    <n v="5770"/>
    <n v="1"/>
    <x v="1"/>
    <n v="19"/>
    <n v="3"/>
    <n v="1"/>
    <n v="2"/>
    <n v="10"/>
    <n v="3"/>
    <n v="3"/>
    <n v="10"/>
    <n v="7"/>
    <n v="3"/>
    <n v="9"/>
    <x v="1"/>
    <x v="1"/>
    <x v="0"/>
    <x v="2"/>
    <x v="1"/>
    <x v="0"/>
    <x v="0"/>
    <x v="0"/>
    <s v="Medium"/>
    <x v="1"/>
    <x v="1"/>
    <x v="0"/>
    <x v="0"/>
  </r>
  <r>
    <n v="38"/>
    <x v="1"/>
    <s v="Travel_Rarely"/>
    <n v="397"/>
    <x v="1"/>
    <n v="2"/>
    <n v="2"/>
    <s v="Medical"/>
    <n v="1638"/>
    <n v="4"/>
    <x v="0"/>
    <n v="54"/>
    <n v="2"/>
    <n v="3"/>
    <x v="3"/>
    <n v="3"/>
    <x v="1"/>
    <n v="7756"/>
    <n v="3"/>
    <x v="0"/>
    <n v="19"/>
    <n v="3"/>
    <n v="4"/>
    <n v="1"/>
    <n v="10"/>
    <n v="6"/>
    <n v="4"/>
    <n v="5"/>
    <n v="4"/>
    <n v="0"/>
    <n v="2"/>
    <x v="1"/>
    <x v="0"/>
    <x v="0"/>
    <x v="2"/>
    <x v="1"/>
    <x v="2"/>
    <x v="2"/>
    <x v="1"/>
    <s v="Low"/>
    <x v="3"/>
    <x v="0"/>
    <x v="2"/>
    <x v="2"/>
  </r>
  <r>
    <n v="35"/>
    <x v="0"/>
    <s v="Travel_Rarely"/>
    <n v="737"/>
    <x v="0"/>
    <n v="10"/>
    <n v="3"/>
    <s v="Medical"/>
    <n v="1639"/>
    <n v="4"/>
    <x v="1"/>
    <n v="55"/>
    <n v="2"/>
    <n v="3"/>
    <x v="0"/>
    <n v="1"/>
    <x v="1"/>
    <n v="10306"/>
    <n v="9"/>
    <x v="1"/>
    <n v="17"/>
    <n v="3"/>
    <n v="3"/>
    <n v="0"/>
    <n v="15"/>
    <n v="3"/>
    <n v="3"/>
    <n v="13"/>
    <n v="12"/>
    <n v="6"/>
    <n v="0"/>
    <x v="0"/>
    <x v="1"/>
    <x v="3"/>
    <x v="2"/>
    <x v="1"/>
    <x v="2"/>
    <x v="3"/>
    <x v="3"/>
    <s v="No Options"/>
    <x v="1"/>
    <x v="0"/>
    <x v="2"/>
    <x v="4"/>
  </r>
  <r>
    <n v="37"/>
    <x v="1"/>
    <s v="Travel_Rarely"/>
    <n v="1470"/>
    <x v="1"/>
    <n v="10"/>
    <n v="3"/>
    <s v="Medical"/>
    <n v="1640"/>
    <n v="2"/>
    <x v="0"/>
    <n v="71"/>
    <n v="3"/>
    <n v="1"/>
    <x v="1"/>
    <n v="2"/>
    <x v="1"/>
    <n v="3936"/>
    <n v="1"/>
    <x v="1"/>
    <n v="11"/>
    <n v="3"/>
    <n v="1"/>
    <n v="1"/>
    <n v="8"/>
    <n v="2"/>
    <n v="1"/>
    <n v="8"/>
    <n v="4"/>
    <n v="7"/>
    <n v="7"/>
    <x v="1"/>
    <x v="1"/>
    <x v="3"/>
    <x v="0"/>
    <x v="0"/>
    <x v="1"/>
    <x v="1"/>
    <x v="0"/>
    <s v="Low"/>
    <x v="0"/>
    <x v="0"/>
    <x v="0"/>
    <x v="0"/>
  </r>
  <r>
    <n v="40"/>
    <x v="1"/>
    <s v="Travel_Rarely"/>
    <n v="448"/>
    <x v="1"/>
    <n v="16"/>
    <n v="3"/>
    <s v="Life Sciences"/>
    <n v="1641"/>
    <n v="3"/>
    <x v="0"/>
    <n v="84"/>
    <n v="3"/>
    <n v="3"/>
    <x v="3"/>
    <n v="4"/>
    <x v="0"/>
    <n v="7945"/>
    <n v="6"/>
    <x v="0"/>
    <n v="15"/>
    <n v="3"/>
    <n v="4"/>
    <n v="0"/>
    <n v="18"/>
    <n v="2"/>
    <n v="2"/>
    <n v="4"/>
    <n v="2"/>
    <n v="3"/>
    <n v="3"/>
    <x v="1"/>
    <x v="0"/>
    <x v="3"/>
    <x v="1"/>
    <x v="0"/>
    <x v="2"/>
    <x v="0"/>
    <x v="1"/>
    <s v="No Options"/>
    <x v="2"/>
    <x v="0"/>
    <x v="2"/>
    <x v="2"/>
  </r>
  <r>
    <n v="44"/>
    <x v="1"/>
    <s v="Travel_Frequently"/>
    <n v="602"/>
    <x v="2"/>
    <n v="1"/>
    <n v="5"/>
    <s v="Human Resources"/>
    <n v="1642"/>
    <n v="1"/>
    <x v="1"/>
    <n v="37"/>
    <n v="3"/>
    <n v="2"/>
    <x v="8"/>
    <n v="4"/>
    <x v="1"/>
    <n v="5743"/>
    <n v="4"/>
    <x v="0"/>
    <n v="11"/>
    <n v="3"/>
    <n v="3"/>
    <n v="0"/>
    <n v="14"/>
    <n v="3"/>
    <n v="3"/>
    <n v="10"/>
    <n v="7"/>
    <n v="0"/>
    <n v="2"/>
    <x v="1"/>
    <x v="0"/>
    <x v="4"/>
    <x v="3"/>
    <x v="0"/>
    <x v="0"/>
    <x v="0"/>
    <x v="3"/>
    <s v="No Options"/>
    <x v="1"/>
    <x v="0"/>
    <x v="0"/>
    <x v="0"/>
  </r>
  <r>
    <n v="48"/>
    <x v="1"/>
    <s v="Travel_Frequently"/>
    <n v="365"/>
    <x v="1"/>
    <n v="4"/>
    <n v="5"/>
    <s v="Medical"/>
    <n v="1644"/>
    <n v="3"/>
    <x v="1"/>
    <n v="89"/>
    <n v="2"/>
    <n v="4"/>
    <x v="5"/>
    <n v="4"/>
    <x v="1"/>
    <n v="15202"/>
    <n v="2"/>
    <x v="1"/>
    <n v="25"/>
    <n v="4"/>
    <n v="2"/>
    <n v="1"/>
    <n v="23"/>
    <n v="3"/>
    <n v="3"/>
    <n v="2"/>
    <n v="2"/>
    <n v="2"/>
    <n v="2"/>
    <x v="1"/>
    <x v="1"/>
    <x v="4"/>
    <x v="1"/>
    <x v="1"/>
    <x v="3"/>
    <x v="0"/>
    <x v="2"/>
    <s v="Low"/>
    <x v="1"/>
    <x v="1"/>
    <x v="3"/>
    <x v="1"/>
  </r>
  <r>
    <n v="35"/>
    <x v="0"/>
    <s v="Travel_Rarely"/>
    <n v="763"/>
    <x v="0"/>
    <n v="15"/>
    <n v="2"/>
    <s v="Medical"/>
    <n v="1645"/>
    <n v="1"/>
    <x v="1"/>
    <n v="59"/>
    <n v="1"/>
    <n v="2"/>
    <x v="0"/>
    <n v="4"/>
    <x v="2"/>
    <n v="5440"/>
    <n v="6"/>
    <x v="0"/>
    <n v="14"/>
    <n v="3"/>
    <n v="4"/>
    <n v="2"/>
    <n v="7"/>
    <n v="2"/>
    <n v="2"/>
    <n v="2"/>
    <n v="2"/>
    <n v="2"/>
    <n v="2"/>
    <x v="0"/>
    <x v="0"/>
    <x v="0"/>
    <x v="3"/>
    <x v="3"/>
    <x v="0"/>
    <x v="0"/>
    <x v="1"/>
    <s v="Medium"/>
    <x v="2"/>
    <x v="0"/>
    <x v="0"/>
    <x v="1"/>
  </r>
  <r>
    <n v="24"/>
    <x v="1"/>
    <s v="Travel_Frequently"/>
    <n v="567"/>
    <x v="1"/>
    <n v="2"/>
    <n v="1"/>
    <s v="Technical Degree"/>
    <n v="1646"/>
    <n v="1"/>
    <x v="0"/>
    <n v="32"/>
    <n v="3"/>
    <n v="1"/>
    <x v="1"/>
    <n v="4"/>
    <x v="0"/>
    <n v="3760"/>
    <n v="1"/>
    <x v="0"/>
    <n v="13"/>
    <n v="3"/>
    <n v="3"/>
    <n v="0"/>
    <n v="6"/>
    <n v="2"/>
    <n v="3"/>
    <n v="6"/>
    <n v="3"/>
    <n v="1"/>
    <n v="3"/>
    <x v="1"/>
    <x v="0"/>
    <x v="1"/>
    <x v="3"/>
    <x v="0"/>
    <x v="1"/>
    <x v="0"/>
    <x v="3"/>
    <s v="No Options"/>
    <x v="1"/>
    <x v="4"/>
    <x v="0"/>
    <x v="0"/>
  </r>
  <r>
    <n v="27"/>
    <x v="1"/>
    <s v="Travel_Rarely"/>
    <n v="486"/>
    <x v="1"/>
    <n v="8"/>
    <n v="3"/>
    <s v="Medical"/>
    <n v="1647"/>
    <n v="2"/>
    <x v="0"/>
    <n v="86"/>
    <n v="4"/>
    <n v="1"/>
    <x v="1"/>
    <n v="3"/>
    <x v="1"/>
    <n v="3517"/>
    <n v="7"/>
    <x v="1"/>
    <n v="17"/>
    <n v="3"/>
    <n v="1"/>
    <n v="0"/>
    <n v="5"/>
    <n v="0"/>
    <n v="3"/>
    <n v="3"/>
    <n v="2"/>
    <n v="0"/>
    <n v="2"/>
    <x v="1"/>
    <x v="1"/>
    <x v="3"/>
    <x v="0"/>
    <x v="2"/>
    <x v="1"/>
    <x v="2"/>
    <x v="0"/>
    <s v="No Options"/>
    <x v="1"/>
    <x v="2"/>
    <x v="0"/>
    <x v="2"/>
  </r>
  <r>
    <n v="27"/>
    <x v="1"/>
    <s v="Travel_Frequently"/>
    <n v="591"/>
    <x v="1"/>
    <n v="2"/>
    <n v="3"/>
    <s v="Medical"/>
    <n v="1648"/>
    <n v="4"/>
    <x v="1"/>
    <n v="87"/>
    <n v="3"/>
    <n v="1"/>
    <x v="1"/>
    <n v="4"/>
    <x v="0"/>
    <n v="2580"/>
    <n v="2"/>
    <x v="1"/>
    <n v="13"/>
    <n v="3"/>
    <n v="3"/>
    <n v="0"/>
    <n v="6"/>
    <n v="0"/>
    <n v="2"/>
    <n v="4"/>
    <n v="2"/>
    <n v="1"/>
    <n v="2"/>
    <x v="1"/>
    <x v="1"/>
    <x v="3"/>
    <x v="2"/>
    <x v="0"/>
    <x v="1"/>
    <x v="0"/>
    <x v="3"/>
    <s v="No Options"/>
    <x v="2"/>
    <x v="2"/>
    <x v="1"/>
    <x v="2"/>
  </r>
  <r>
    <n v="40"/>
    <x v="0"/>
    <s v="Travel_Rarely"/>
    <n v="1329"/>
    <x v="1"/>
    <n v="7"/>
    <n v="3"/>
    <s v="Life Sciences"/>
    <n v="1649"/>
    <n v="1"/>
    <x v="1"/>
    <n v="73"/>
    <n v="3"/>
    <n v="1"/>
    <x v="2"/>
    <n v="1"/>
    <x v="0"/>
    <n v="2166"/>
    <n v="3"/>
    <x v="0"/>
    <n v="14"/>
    <n v="3"/>
    <n v="2"/>
    <n v="0"/>
    <n v="10"/>
    <n v="3"/>
    <n v="1"/>
    <n v="4"/>
    <n v="2"/>
    <n v="0"/>
    <n v="3"/>
    <x v="0"/>
    <x v="0"/>
    <x v="3"/>
    <x v="3"/>
    <x v="0"/>
    <x v="1"/>
    <x v="3"/>
    <x v="2"/>
    <s v="No Options"/>
    <x v="0"/>
    <x v="0"/>
    <x v="1"/>
    <x v="2"/>
  </r>
  <r>
    <n v="29"/>
    <x v="1"/>
    <s v="Travel_Rarely"/>
    <n v="469"/>
    <x v="0"/>
    <n v="10"/>
    <n v="3"/>
    <s v="Medical"/>
    <n v="1650"/>
    <n v="3"/>
    <x v="1"/>
    <n v="42"/>
    <n v="2"/>
    <n v="2"/>
    <x v="0"/>
    <n v="3"/>
    <x v="0"/>
    <n v="5869"/>
    <n v="9"/>
    <x v="1"/>
    <n v="11"/>
    <n v="3"/>
    <n v="3"/>
    <n v="0"/>
    <n v="8"/>
    <n v="2"/>
    <n v="3"/>
    <n v="5"/>
    <n v="2"/>
    <n v="1"/>
    <n v="4"/>
    <x v="1"/>
    <x v="1"/>
    <x v="3"/>
    <x v="1"/>
    <x v="1"/>
    <x v="0"/>
    <x v="2"/>
    <x v="3"/>
    <s v="No Options"/>
    <x v="1"/>
    <x v="2"/>
    <x v="0"/>
    <x v="2"/>
  </r>
  <r>
    <n v="36"/>
    <x v="1"/>
    <s v="Travel_Rarely"/>
    <n v="711"/>
    <x v="1"/>
    <n v="5"/>
    <n v="4"/>
    <s v="Life Sciences"/>
    <n v="1651"/>
    <n v="2"/>
    <x v="0"/>
    <n v="42"/>
    <n v="3"/>
    <n v="3"/>
    <x v="4"/>
    <n v="1"/>
    <x v="1"/>
    <n v="8008"/>
    <n v="4"/>
    <x v="1"/>
    <n v="12"/>
    <n v="3"/>
    <n v="3"/>
    <n v="2"/>
    <n v="9"/>
    <n v="6"/>
    <n v="3"/>
    <n v="3"/>
    <n v="2"/>
    <n v="0"/>
    <n v="2"/>
    <x v="1"/>
    <x v="1"/>
    <x v="2"/>
    <x v="0"/>
    <x v="0"/>
    <x v="2"/>
    <x v="3"/>
    <x v="3"/>
    <s v="Medium"/>
    <x v="1"/>
    <x v="0"/>
    <x v="2"/>
    <x v="2"/>
  </r>
  <r>
    <n v="25"/>
    <x v="1"/>
    <s v="Travel_Frequently"/>
    <n v="772"/>
    <x v="1"/>
    <n v="2"/>
    <n v="1"/>
    <s v="Life Sciences"/>
    <n v="1653"/>
    <n v="4"/>
    <x v="1"/>
    <n v="77"/>
    <n v="4"/>
    <n v="2"/>
    <x v="3"/>
    <n v="3"/>
    <x v="2"/>
    <n v="5206"/>
    <n v="1"/>
    <x v="1"/>
    <n v="17"/>
    <n v="3"/>
    <n v="3"/>
    <n v="2"/>
    <n v="7"/>
    <n v="6"/>
    <n v="3"/>
    <n v="7"/>
    <n v="7"/>
    <n v="0"/>
    <n v="7"/>
    <x v="1"/>
    <x v="1"/>
    <x v="1"/>
    <x v="2"/>
    <x v="2"/>
    <x v="0"/>
    <x v="2"/>
    <x v="3"/>
    <s v="Medium"/>
    <x v="1"/>
    <x v="2"/>
    <x v="0"/>
    <x v="0"/>
  </r>
  <r>
    <n v="39"/>
    <x v="1"/>
    <s v="Travel_Rarely"/>
    <n v="492"/>
    <x v="1"/>
    <n v="12"/>
    <n v="3"/>
    <s v="Medical"/>
    <n v="1654"/>
    <n v="4"/>
    <x v="1"/>
    <n v="66"/>
    <n v="3"/>
    <n v="2"/>
    <x v="3"/>
    <n v="2"/>
    <x v="1"/>
    <n v="5295"/>
    <n v="4"/>
    <x v="1"/>
    <n v="21"/>
    <n v="4"/>
    <n v="3"/>
    <n v="0"/>
    <n v="7"/>
    <n v="3"/>
    <n v="3"/>
    <n v="5"/>
    <n v="4"/>
    <n v="1"/>
    <n v="0"/>
    <x v="1"/>
    <x v="1"/>
    <x v="3"/>
    <x v="2"/>
    <x v="0"/>
    <x v="0"/>
    <x v="1"/>
    <x v="3"/>
    <s v="No Options"/>
    <x v="1"/>
    <x v="0"/>
    <x v="0"/>
    <x v="2"/>
  </r>
  <r>
    <n v="49"/>
    <x v="1"/>
    <s v="Travel_Rarely"/>
    <n v="301"/>
    <x v="1"/>
    <n v="22"/>
    <n v="4"/>
    <s v="Other"/>
    <n v="1655"/>
    <n v="1"/>
    <x v="0"/>
    <n v="72"/>
    <n v="3"/>
    <n v="4"/>
    <x v="7"/>
    <n v="2"/>
    <x v="1"/>
    <n v="16413"/>
    <n v="3"/>
    <x v="1"/>
    <n v="16"/>
    <n v="3"/>
    <n v="2"/>
    <n v="2"/>
    <n v="27"/>
    <n v="2"/>
    <n v="3"/>
    <n v="4"/>
    <n v="2"/>
    <n v="1"/>
    <n v="2"/>
    <x v="1"/>
    <x v="1"/>
    <x v="2"/>
    <x v="3"/>
    <x v="0"/>
    <x v="3"/>
    <x v="1"/>
    <x v="2"/>
    <s v="Medium"/>
    <x v="1"/>
    <x v="1"/>
    <x v="3"/>
    <x v="2"/>
  </r>
  <r>
    <n v="50"/>
    <x v="1"/>
    <s v="Travel_Rarely"/>
    <n v="813"/>
    <x v="1"/>
    <n v="17"/>
    <n v="5"/>
    <s v="Life Sciences"/>
    <n v="1656"/>
    <n v="4"/>
    <x v="0"/>
    <n v="50"/>
    <n v="2"/>
    <n v="3"/>
    <x v="7"/>
    <n v="1"/>
    <x v="2"/>
    <n v="13269"/>
    <n v="5"/>
    <x v="1"/>
    <n v="15"/>
    <n v="3"/>
    <n v="3"/>
    <n v="3"/>
    <n v="19"/>
    <n v="3"/>
    <n v="3"/>
    <n v="14"/>
    <n v="11"/>
    <n v="1"/>
    <n v="11"/>
    <x v="1"/>
    <x v="1"/>
    <x v="4"/>
    <x v="2"/>
    <x v="1"/>
    <x v="2"/>
    <x v="3"/>
    <x v="3"/>
    <s v="High"/>
    <x v="1"/>
    <x v="1"/>
    <x v="3"/>
    <x v="4"/>
  </r>
  <r>
    <n v="20"/>
    <x v="1"/>
    <s v="Travel_Rarely"/>
    <n v="1141"/>
    <x v="0"/>
    <n v="2"/>
    <n v="3"/>
    <s v="Medical"/>
    <n v="1657"/>
    <n v="3"/>
    <x v="0"/>
    <n v="31"/>
    <n v="3"/>
    <n v="1"/>
    <x v="6"/>
    <n v="3"/>
    <x v="0"/>
    <n v="2783"/>
    <n v="1"/>
    <x v="1"/>
    <n v="19"/>
    <n v="3"/>
    <n v="1"/>
    <n v="0"/>
    <n v="2"/>
    <n v="3"/>
    <n v="3"/>
    <n v="2"/>
    <n v="2"/>
    <n v="2"/>
    <n v="2"/>
    <x v="1"/>
    <x v="1"/>
    <x v="3"/>
    <x v="1"/>
    <x v="0"/>
    <x v="1"/>
    <x v="2"/>
    <x v="0"/>
    <s v="No Options"/>
    <x v="1"/>
    <x v="4"/>
    <x v="1"/>
    <x v="1"/>
  </r>
  <r>
    <n v="34"/>
    <x v="1"/>
    <s v="Travel_Rarely"/>
    <n v="1130"/>
    <x v="1"/>
    <n v="3"/>
    <n v="3"/>
    <s v="Life Sciences"/>
    <n v="1658"/>
    <n v="4"/>
    <x v="0"/>
    <n v="66"/>
    <n v="3"/>
    <n v="2"/>
    <x v="1"/>
    <n v="2"/>
    <x v="2"/>
    <n v="5433"/>
    <n v="1"/>
    <x v="1"/>
    <n v="12"/>
    <n v="3"/>
    <n v="3"/>
    <n v="1"/>
    <n v="11"/>
    <n v="2"/>
    <n v="3"/>
    <n v="11"/>
    <n v="8"/>
    <n v="7"/>
    <n v="9"/>
    <x v="1"/>
    <x v="1"/>
    <x v="3"/>
    <x v="2"/>
    <x v="0"/>
    <x v="0"/>
    <x v="1"/>
    <x v="3"/>
    <s v="Low"/>
    <x v="1"/>
    <x v="2"/>
    <x v="0"/>
    <x v="4"/>
  </r>
  <r>
    <n v="36"/>
    <x v="1"/>
    <s v="Travel_Rarely"/>
    <n v="311"/>
    <x v="1"/>
    <n v="7"/>
    <n v="3"/>
    <s v="Life Sciences"/>
    <n v="1659"/>
    <n v="1"/>
    <x v="1"/>
    <n v="77"/>
    <n v="3"/>
    <n v="1"/>
    <x v="2"/>
    <n v="2"/>
    <x v="0"/>
    <n v="2013"/>
    <n v="2"/>
    <x v="1"/>
    <n v="11"/>
    <n v="3"/>
    <n v="3"/>
    <n v="0"/>
    <n v="15"/>
    <n v="4"/>
    <n v="3"/>
    <n v="4"/>
    <n v="3"/>
    <n v="1"/>
    <n v="3"/>
    <x v="1"/>
    <x v="1"/>
    <x v="3"/>
    <x v="3"/>
    <x v="0"/>
    <x v="1"/>
    <x v="1"/>
    <x v="3"/>
    <s v="No Options"/>
    <x v="1"/>
    <x v="0"/>
    <x v="1"/>
    <x v="2"/>
  </r>
  <r>
    <n v="49"/>
    <x v="1"/>
    <s v="Travel_Rarely"/>
    <n v="465"/>
    <x v="1"/>
    <n v="6"/>
    <n v="1"/>
    <s v="Life Sciences"/>
    <n v="1661"/>
    <n v="3"/>
    <x v="0"/>
    <n v="41"/>
    <n v="2"/>
    <n v="4"/>
    <x v="4"/>
    <n v="3"/>
    <x v="1"/>
    <n v="13966"/>
    <n v="2"/>
    <x v="0"/>
    <n v="19"/>
    <n v="3"/>
    <n v="2"/>
    <n v="1"/>
    <n v="30"/>
    <n v="3"/>
    <n v="3"/>
    <n v="15"/>
    <n v="11"/>
    <n v="2"/>
    <n v="12"/>
    <x v="1"/>
    <x v="0"/>
    <x v="1"/>
    <x v="1"/>
    <x v="1"/>
    <x v="3"/>
    <x v="2"/>
    <x v="2"/>
    <s v="Low"/>
    <x v="1"/>
    <x v="1"/>
    <x v="3"/>
    <x v="4"/>
  </r>
  <r>
    <n v="36"/>
    <x v="1"/>
    <s v="Non-Travel"/>
    <n v="894"/>
    <x v="1"/>
    <n v="1"/>
    <n v="4"/>
    <s v="Medical"/>
    <n v="1662"/>
    <n v="4"/>
    <x v="0"/>
    <n v="33"/>
    <n v="2"/>
    <n v="2"/>
    <x v="3"/>
    <n v="3"/>
    <x v="1"/>
    <n v="4374"/>
    <n v="0"/>
    <x v="1"/>
    <n v="15"/>
    <n v="3"/>
    <n v="3"/>
    <n v="0"/>
    <n v="4"/>
    <n v="6"/>
    <n v="3"/>
    <n v="3"/>
    <n v="2"/>
    <n v="1"/>
    <n v="2"/>
    <x v="1"/>
    <x v="1"/>
    <x v="2"/>
    <x v="2"/>
    <x v="1"/>
    <x v="0"/>
    <x v="2"/>
    <x v="3"/>
    <s v="No Options"/>
    <x v="1"/>
    <x v="0"/>
    <x v="0"/>
    <x v="2"/>
  </r>
  <r>
    <n v="36"/>
    <x v="1"/>
    <s v="Travel_Rarely"/>
    <n v="1040"/>
    <x v="1"/>
    <n v="3"/>
    <n v="2"/>
    <s v="Life Sciences"/>
    <n v="1664"/>
    <n v="4"/>
    <x v="1"/>
    <n v="79"/>
    <n v="4"/>
    <n v="2"/>
    <x v="4"/>
    <n v="1"/>
    <x v="2"/>
    <n v="6842"/>
    <n v="6"/>
    <x v="1"/>
    <n v="20"/>
    <n v="4"/>
    <n v="1"/>
    <n v="1"/>
    <n v="13"/>
    <n v="3"/>
    <n v="3"/>
    <n v="5"/>
    <n v="4"/>
    <n v="0"/>
    <n v="4"/>
    <x v="1"/>
    <x v="1"/>
    <x v="0"/>
    <x v="2"/>
    <x v="2"/>
    <x v="0"/>
    <x v="3"/>
    <x v="0"/>
    <s v="Low"/>
    <x v="1"/>
    <x v="0"/>
    <x v="0"/>
    <x v="2"/>
  </r>
  <r>
    <n v="54"/>
    <x v="1"/>
    <s v="Travel_Rarely"/>
    <n v="584"/>
    <x v="1"/>
    <n v="22"/>
    <n v="5"/>
    <s v="Medical"/>
    <n v="1665"/>
    <n v="2"/>
    <x v="0"/>
    <n v="91"/>
    <n v="3"/>
    <n v="4"/>
    <x v="5"/>
    <n v="3"/>
    <x v="1"/>
    <n v="17426"/>
    <n v="3"/>
    <x v="1"/>
    <n v="25"/>
    <n v="4"/>
    <n v="3"/>
    <n v="1"/>
    <n v="36"/>
    <n v="6"/>
    <n v="3"/>
    <n v="10"/>
    <n v="8"/>
    <n v="4"/>
    <n v="7"/>
    <x v="1"/>
    <x v="1"/>
    <x v="4"/>
    <x v="0"/>
    <x v="0"/>
    <x v="3"/>
    <x v="2"/>
    <x v="3"/>
    <s v="Low"/>
    <x v="1"/>
    <x v="1"/>
    <x v="3"/>
    <x v="0"/>
  </r>
  <r>
    <n v="43"/>
    <x v="1"/>
    <s v="Travel_Rarely"/>
    <n v="1291"/>
    <x v="1"/>
    <n v="15"/>
    <n v="2"/>
    <s v="Life Sciences"/>
    <n v="1666"/>
    <n v="3"/>
    <x v="1"/>
    <n v="65"/>
    <n v="2"/>
    <n v="4"/>
    <x v="7"/>
    <n v="3"/>
    <x v="1"/>
    <n v="17603"/>
    <n v="1"/>
    <x v="1"/>
    <n v="24"/>
    <n v="4"/>
    <n v="1"/>
    <n v="1"/>
    <n v="14"/>
    <n v="3"/>
    <n v="3"/>
    <n v="14"/>
    <n v="10"/>
    <n v="6"/>
    <n v="11"/>
    <x v="1"/>
    <x v="1"/>
    <x v="0"/>
    <x v="1"/>
    <x v="1"/>
    <x v="3"/>
    <x v="2"/>
    <x v="0"/>
    <s v="Low"/>
    <x v="1"/>
    <x v="0"/>
    <x v="3"/>
    <x v="4"/>
  </r>
  <r>
    <n v="35"/>
    <x v="0"/>
    <s v="Travel_Frequently"/>
    <n v="880"/>
    <x v="0"/>
    <n v="12"/>
    <n v="4"/>
    <s v="Other"/>
    <n v="1667"/>
    <n v="4"/>
    <x v="1"/>
    <n v="36"/>
    <n v="3"/>
    <n v="2"/>
    <x v="0"/>
    <n v="4"/>
    <x v="0"/>
    <n v="4581"/>
    <n v="3"/>
    <x v="0"/>
    <n v="24"/>
    <n v="4"/>
    <n v="1"/>
    <n v="0"/>
    <n v="13"/>
    <n v="2"/>
    <n v="4"/>
    <n v="11"/>
    <n v="9"/>
    <n v="6"/>
    <n v="7"/>
    <x v="0"/>
    <x v="0"/>
    <x v="2"/>
    <x v="2"/>
    <x v="0"/>
    <x v="0"/>
    <x v="0"/>
    <x v="0"/>
    <s v="No Options"/>
    <x v="3"/>
    <x v="0"/>
    <x v="0"/>
    <x v="4"/>
  </r>
  <r>
    <n v="38"/>
    <x v="1"/>
    <s v="Travel_Frequently"/>
    <n v="1189"/>
    <x v="1"/>
    <n v="1"/>
    <n v="3"/>
    <s v="Life Sciences"/>
    <n v="1668"/>
    <n v="4"/>
    <x v="1"/>
    <n v="90"/>
    <n v="3"/>
    <n v="2"/>
    <x v="1"/>
    <n v="4"/>
    <x v="1"/>
    <n v="4735"/>
    <n v="7"/>
    <x v="1"/>
    <n v="15"/>
    <n v="3"/>
    <n v="4"/>
    <n v="2"/>
    <n v="19"/>
    <n v="4"/>
    <n v="4"/>
    <n v="13"/>
    <n v="11"/>
    <n v="2"/>
    <n v="9"/>
    <x v="1"/>
    <x v="1"/>
    <x v="3"/>
    <x v="2"/>
    <x v="0"/>
    <x v="0"/>
    <x v="0"/>
    <x v="1"/>
    <s v="Medium"/>
    <x v="3"/>
    <x v="0"/>
    <x v="0"/>
    <x v="4"/>
  </r>
  <r>
    <n v="29"/>
    <x v="1"/>
    <s v="Travel_Rarely"/>
    <n v="991"/>
    <x v="0"/>
    <n v="5"/>
    <n v="3"/>
    <s v="Medical"/>
    <n v="1669"/>
    <n v="1"/>
    <x v="1"/>
    <n v="43"/>
    <n v="2"/>
    <n v="2"/>
    <x v="0"/>
    <n v="2"/>
    <x v="2"/>
    <n v="4187"/>
    <n v="1"/>
    <x v="0"/>
    <n v="13"/>
    <n v="3"/>
    <n v="2"/>
    <n v="1"/>
    <n v="10"/>
    <n v="3"/>
    <n v="2"/>
    <n v="10"/>
    <n v="0"/>
    <n v="0"/>
    <n v="9"/>
    <x v="1"/>
    <x v="0"/>
    <x v="3"/>
    <x v="3"/>
    <x v="1"/>
    <x v="0"/>
    <x v="1"/>
    <x v="2"/>
    <s v="Low"/>
    <x v="2"/>
    <x v="2"/>
    <x v="0"/>
    <x v="0"/>
  </r>
  <r>
    <n v="33"/>
    <x v="1"/>
    <s v="Travel_Rarely"/>
    <n v="392"/>
    <x v="0"/>
    <n v="2"/>
    <n v="4"/>
    <s v="Medical"/>
    <n v="1670"/>
    <n v="4"/>
    <x v="1"/>
    <n v="93"/>
    <n v="3"/>
    <n v="2"/>
    <x v="0"/>
    <n v="4"/>
    <x v="2"/>
    <n v="5505"/>
    <n v="1"/>
    <x v="1"/>
    <n v="14"/>
    <n v="3"/>
    <n v="3"/>
    <n v="2"/>
    <n v="6"/>
    <n v="5"/>
    <n v="3"/>
    <n v="6"/>
    <n v="2"/>
    <n v="0"/>
    <n v="4"/>
    <x v="1"/>
    <x v="1"/>
    <x v="2"/>
    <x v="2"/>
    <x v="0"/>
    <x v="0"/>
    <x v="0"/>
    <x v="3"/>
    <s v="Medium"/>
    <x v="1"/>
    <x v="2"/>
    <x v="0"/>
    <x v="0"/>
  </r>
  <r>
    <n v="32"/>
    <x v="1"/>
    <s v="Travel_Rarely"/>
    <n v="977"/>
    <x v="1"/>
    <n v="2"/>
    <n v="3"/>
    <s v="Medical"/>
    <n v="1671"/>
    <n v="4"/>
    <x v="1"/>
    <n v="45"/>
    <n v="3"/>
    <n v="2"/>
    <x v="1"/>
    <n v="2"/>
    <x v="2"/>
    <n v="5470"/>
    <n v="0"/>
    <x v="1"/>
    <n v="13"/>
    <n v="3"/>
    <n v="3"/>
    <n v="2"/>
    <n v="10"/>
    <n v="4"/>
    <n v="2"/>
    <n v="9"/>
    <n v="5"/>
    <n v="1"/>
    <n v="6"/>
    <x v="1"/>
    <x v="1"/>
    <x v="3"/>
    <x v="2"/>
    <x v="0"/>
    <x v="0"/>
    <x v="1"/>
    <x v="3"/>
    <s v="Medium"/>
    <x v="2"/>
    <x v="2"/>
    <x v="0"/>
    <x v="0"/>
  </r>
  <r>
    <n v="31"/>
    <x v="1"/>
    <s v="Travel_Rarely"/>
    <n v="1112"/>
    <x v="0"/>
    <n v="5"/>
    <n v="4"/>
    <s v="Life Sciences"/>
    <n v="1673"/>
    <n v="1"/>
    <x v="0"/>
    <n v="67"/>
    <n v="3"/>
    <n v="2"/>
    <x v="0"/>
    <n v="4"/>
    <x v="1"/>
    <n v="5476"/>
    <n v="1"/>
    <x v="1"/>
    <n v="11"/>
    <n v="3"/>
    <n v="1"/>
    <n v="2"/>
    <n v="10"/>
    <n v="2"/>
    <n v="3"/>
    <n v="10"/>
    <n v="0"/>
    <n v="0"/>
    <n v="2"/>
    <x v="1"/>
    <x v="1"/>
    <x v="2"/>
    <x v="3"/>
    <x v="0"/>
    <x v="0"/>
    <x v="0"/>
    <x v="0"/>
    <s v="Medium"/>
    <x v="1"/>
    <x v="2"/>
    <x v="0"/>
    <x v="0"/>
  </r>
  <r>
    <n v="49"/>
    <x v="1"/>
    <s v="Travel_Rarely"/>
    <n v="464"/>
    <x v="1"/>
    <n v="16"/>
    <n v="3"/>
    <s v="Medical"/>
    <n v="1674"/>
    <n v="4"/>
    <x v="0"/>
    <n v="74"/>
    <n v="3"/>
    <n v="1"/>
    <x v="2"/>
    <n v="1"/>
    <x v="2"/>
    <n v="2587"/>
    <n v="4"/>
    <x v="0"/>
    <n v="16"/>
    <n v="3"/>
    <n v="2"/>
    <n v="1"/>
    <n v="17"/>
    <n v="2"/>
    <n v="2"/>
    <n v="2"/>
    <n v="2"/>
    <n v="2"/>
    <n v="2"/>
    <x v="1"/>
    <x v="0"/>
    <x v="3"/>
    <x v="2"/>
    <x v="0"/>
    <x v="1"/>
    <x v="3"/>
    <x v="2"/>
    <s v="Low"/>
    <x v="2"/>
    <x v="1"/>
    <x v="1"/>
    <x v="1"/>
  </r>
  <r>
    <n v="38"/>
    <x v="1"/>
    <s v="Travel_Frequently"/>
    <n v="148"/>
    <x v="1"/>
    <n v="2"/>
    <n v="3"/>
    <s v="Medical"/>
    <n v="1675"/>
    <n v="4"/>
    <x v="0"/>
    <n v="42"/>
    <n v="2"/>
    <n v="1"/>
    <x v="2"/>
    <n v="2"/>
    <x v="0"/>
    <n v="2440"/>
    <n v="1"/>
    <x v="1"/>
    <n v="22"/>
    <n v="4"/>
    <n v="2"/>
    <n v="0"/>
    <n v="4"/>
    <n v="3"/>
    <n v="3"/>
    <n v="4"/>
    <n v="3"/>
    <n v="3"/>
    <n v="3"/>
    <x v="1"/>
    <x v="1"/>
    <x v="3"/>
    <x v="2"/>
    <x v="1"/>
    <x v="1"/>
    <x v="1"/>
    <x v="2"/>
    <s v="No Options"/>
    <x v="1"/>
    <x v="0"/>
    <x v="1"/>
    <x v="2"/>
  </r>
  <r>
    <n v="47"/>
    <x v="1"/>
    <s v="Travel_Rarely"/>
    <n v="1225"/>
    <x v="0"/>
    <n v="2"/>
    <n v="4"/>
    <s v="Life Sciences"/>
    <n v="1676"/>
    <n v="2"/>
    <x v="0"/>
    <n v="47"/>
    <n v="4"/>
    <n v="4"/>
    <x v="5"/>
    <n v="2"/>
    <x v="2"/>
    <n v="15972"/>
    <n v="6"/>
    <x v="1"/>
    <n v="14"/>
    <n v="3"/>
    <n v="3"/>
    <n v="3"/>
    <n v="29"/>
    <n v="2"/>
    <n v="3"/>
    <n v="3"/>
    <n v="2"/>
    <n v="1"/>
    <n v="2"/>
    <x v="1"/>
    <x v="1"/>
    <x v="2"/>
    <x v="0"/>
    <x v="2"/>
    <x v="3"/>
    <x v="1"/>
    <x v="3"/>
    <s v="High"/>
    <x v="1"/>
    <x v="1"/>
    <x v="3"/>
    <x v="2"/>
  </r>
  <r>
    <n v="49"/>
    <x v="1"/>
    <s v="Travel_Rarely"/>
    <n v="809"/>
    <x v="1"/>
    <n v="1"/>
    <n v="3"/>
    <s v="Life Sciences"/>
    <n v="1677"/>
    <n v="3"/>
    <x v="1"/>
    <n v="36"/>
    <n v="3"/>
    <n v="4"/>
    <x v="5"/>
    <n v="3"/>
    <x v="0"/>
    <n v="15379"/>
    <n v="4"/>
    <x v="1"/>
    <n v="14"/>
    <n v="3"/>
    <n v="1"/>
    <n v="0"/>
    <n v="23"/>
    <n v="2"/>
    <n v="3"/>
    <n v="8"/>
    <n v="7"/>
    <n v="0"/>
    <n v="0"/>
    <x v="1"/>
    <x v="1"/>
    <x v="3"/>
    <x v="1"/>
    <x v="0"/>
    <x v="3"/>
    <x v="2"/>
    <x v="0"/>
    <s v="No Options"/>
    <x v="1"/>
    <x v="1"/>
    <x v="3"/>
    <x v="0"/>
  </r>
  <r>
    <n v="41"/>
    <x v="1"/>
    <s v="Travel_Rarely"/>
    <n v="1206"/>
    <x v="0"/>
    <n v="23"/>
    <n v="2"/>
    <s v="Life Sciences"/>
    <n v="1678"/>
    <n v="4"/>
    <x v="1"/>
    <n v="80"/>
    <n v="3"/>
    <n v="3"/>
    <x v="0"/>
    <n v="3"/>
    <x v="0"/>
    <n v="7082"/>
    <n v="3"/>
    <x v="0"/>
    <n v="16"/>
    <n v="3"/>
    <n v="4"/>
    <n v="0"/>
    <n v="21"/>
    <n v="2"/>
    <n v="3"/>
    <n v="2"/>
    <n v="0"/>
    <n v="0"/>
    <n v="2"/>
    <x v="1"/>
    <x v="0"/>
    <x v="0"/>
    <x v="2"/>
    <x v="0"/>
    <x v="2"/>
    <x v="2"/>
    <x v="1"/>
    <s v="No Options"/>
    <x v="1"/>
    <x v="0"/>
    <x v="2"/>
    <x v="1"/>
  </r>
  <r>
    <n v="20"/>
    <x v="1"/>
    <s v="Travel_Rarely"/>
    <n v="727"/>
    <x v="0"/>
    <n v="9"/>
    <n v="1"/>
    <s v="Life Sciences"/>
    <n v="1680"/>
    <n v="4"/>
    <x v="1"/>
    <n v="54"/>
    <n v="3"/>
    <n v="1"/>
    <x v="6"/>
    <n v="1"/>
    <x v="0"/>
    <n v="2728"/>
    <n v="1"/>
    <x v="1"/>
    <n v="11"/>
    <n v="3"/>
    <n v="1"/>
    <n v="0"/>
    <n v="2"/>
    <n v="3"/>
    <n v="3"/>
    <n v="2"/>
    <n v="2"/>
    <n v="0"/>
    <n v="2"/>
    <x v="1"/>
    <x v="1"/>
    <x v="1"/>
    <x v="2"/>
    <x v="0"/>
    <x v="1"/>
    <x v="3"/>
    <x v="0"/>
    <s v="No Options"/>
    <x v="1"/>
    <x v="4"/>
    <x v="1"/>
    <x v="1"/>
  </r>
  <r>
    <n v="33"/>
    <x v="1"/>
    <s v="Non-Travel"/>
    <n v="530"/>
    <x v="0"/>
    <n v="16"/>
    <n v="3"/>
    <s v="Life Sciences"/>
    <n v="1681"/>
    <n v="3"/>
    <x v="0"/>
    <n v="36"/>
    <n v="3"/>
    <n v="2"/>
    <x v="0"/>
    <n v="4"/>
    <x v="2"/>
    <n v="5368"/>
    <n v="1"/>
    <x v="0"/>
    <n v="25"/>
    <n v="4"/>
    <n v="3"/>
    <n v="1"/>
    <n v="7"/>
    <n v="2"/>
    <n v="3"/>
    <n v="6"/>
    <n v="5"/>
    <n v="1"/>
    <n v="2"/>
    <x v="1"/>
    <x v="0"/>
    <x v="3"/>
    <x v="1"/>
    <x v="0"/>
    <x v="0"/>
    <x v="0"/>
    <x v="3"/>
    <s v="Low"/>
    <x v="1"/>
    <x v="2"/>
    <x v="0"/>
    <x v="0"/>
  </r>
  <r>
    <n v="36"/>
    <x v="1"/>
    <s v="Travel_Rarely"/>
    <n v="1351"/>
    <x v="1"/>
    <n v="26"/>
    <n v="4"/>
    <s v="Life Sciences"/>
    <n v="1682"/>
    <n v="1"/>
    <x v="1"/>
    <n v="80"/>
    <n v="3"/>
    <n v="2"/>
    <x v="4"/>
    <n v="3"/>
    <x v="1"/>
    <n v="5347"/>
    <n v="6"/>
    <x v="1"/>
    <n v="14"/>
    <n v="3"/>
    <n v="2"/>
    <n v="2"/>
    <n v="10"/>
    <n v="2"/>
    <n v="2"/>
    <n v="3"/>
    <n v="2"/>
    <n v="0"/>
    <n v="2"/>
    <x v="1"/>
    <x v="1"/>
    <x v="2"/>
    <x v="3"/>
    <x v="0"/>
    <x v="0"/>
    <x v="2"/>
    <x v="2"/>
    <s v="Medium"/>
    <x v="2"/>
    <x v="0"/>
    <x v="0"/>
    <x v="2"/>
  </r>
  <r>
    <n v="44"/>
    <x v="1"/>
    <s v="Travel_Rarely"/>
    <n v="528"/>
    <x v="2"/>
    <n v="1"/>
    <n v="3"/>
    <s v="Life Sciences"/>
    <n v="1683"/>
    <n v="3"/>
    <x v="0"/>
    <n v="44"/>
    <n v="3"/>
    <n v="1"/>
    <x v="8"/>
    <n v="4"/>
    <x v="2"/>
    <n v="3195"/>
    <n v="4"/>
    <x v="0"/>
    <n v="18"/>
    <n v="3"/>
    <n v="1"/>
    <n v="3"/>
    <n v="8"/>
    <n v="2"/>
    <n v="3"/>
    <n v="2"/>
    <n v="2"/>
    <n v="2"/>
    <n v="2"/>
    <x v="1"/>
    <x v="0"/>
    <x v="3"/>
    <x v="1"/>
    <x v="0"/>
    <x v="1"/>
    <x v="0"/>
    <x v="0"/>
    <s v="High"/>
    <x v="1"/>
    <x v="0"/>
    <x v="0"/>
    <x v="1"/>
  </r>
  <r>
    <n v="23"/>
    <x v="0"/>
    <s v="Travel_Rarely"/>
    <n v="1320"/>
    <x v="1"/>
    <n v="8"/>
    <n v="1"/>
    <s v="Medical"/>
    <n v="1684"/>
    <n v="4"/>
    <x v="1"/>
    <n v="93"/>
    <n v="2"/>
    <n v="1"/>
    <x v="2"/>
    <n v="3"/>
    <x v="0"/>
    <n v="3989"/>
    <n v="1"/>
    <x v="0"/>
    <n v="11"/>
    <n v="3"/>
    <n v="1"/>
    <n v="0"/>
    <n v="5"/>
    <n v="2"/>
    <n v="3"/>
    <n v="5"/>
    <n v="4"/>
    <n v="1"/>
    <n v="2"/>
    <x v="0"/>
    <x v="0"/>
    <x v="1"/>
    <x v="2"/>
    <x v="1"/>
    <x v="1"/>
    <x v="2"/>
    <x v="0"/>
    <s v="No Options"/>
    <x v="1"/>
    <x v="4"/>
    <x v="0"/>
    <x v="2"/>
  </r>
  <r>
    <n v="38"/>
    <x v="1"/>
    <s v="Travel_Rarely"/>
    <n v="1495"/>
    <x v="1"/>
    <n v="4"/>
    <n v="2"/>
    <s v="Medical"/>
    <n v="1687"/>
    <n v="4"/>
    <x v="0"/>
    <n v="87"/>
    <n v="3"/>
    <n v="1"/>
    <x v="2"/>
    <n v="3"/>
    <x v="1"/>
    <n v="3306"/>
    <n v="7"/>
    <x v="1"/>
    <n v="19"/>
    <n v="3"/>
    <n v="4"/>
    <n v="1"/>
    <n v="7"/>
    <n v="5"/>
    <n v="2"/>
    <n v="0"/>
    <n v="0"/>
    <n v="0"/>
    <n v="0"/>
    <x v="1"/>
    <x v="1"/>
    <x v="0"/>
    <x v="2"/>
    <x v="0"/>
    <x v="1"/>
    <x v="2"/>
    <x v="1"/>
    <s v="Low"/>
    <x v="2"/>
    <x v="0"/>
    <x v="0"/>
    <x v="1"/>
  </r>
  <r>
    <n v="53"/>
    <x v="1"/>
    <s v="Travel_Rarely"/>
    <n v="1395"/>
    <x v="1"/>
    <n v="24"/>
    <n v="4"/>
    <s v="Medical"/>
    <n v="1689"/>
    <n v="2"/>
    <x v="1"/>
    <n v="48"/>
    <n v="4"/>
    <n v="3"/>
    <x v="4"/>
    <n v="4"/>
    <x v="1"/>
    <n v="7005"/>
    <n v="3"/>
    <x v="1"/>
    <n v="15"/>
    <n v="3"/>
    <n v="3"/>
    <n v="0"/>
    <n v="11"/>
    <n v="2"/>
    <n v="3"/>
    <n v="4"/>
    <n v="3"/>
    <n v="1"/>
    <n v="2"/>
    <x v="1"/>
    <x v="1"/>
    <x v="2"/>
    <x v="0"/>
    <x v="2"/>
    <x v="2"/>
    <x v="0"/>
    <x v="3"/>
    <s v="No Options"/>
    <x v="1"/>
    <x v="1"/>
    <x v="2"/>
    <x v="2"/>
  </r>
  <r>
    <n v="48"/>
    <x v="0"/>
    <s v="Travel_Frequently"/>
    <n v="708"/>
    <x v="0"/>
    <n v="7"/>
    <n v="2"/>
    <s v="Medical"/>
    <n v="1691"/>
    <n v="4"/>
    <x v="0"/>
    <n v="95"/>
    <n v="3"/>
    <n v="1"/>
    <x v="6"/>
    <n v="3"/>
    <x v="1"/>
    <n v="2655"/>
    <n v="2"/>
    <x v="0"/>
    <n v="11"/>
    <n v="3"/>
    <n v="3"/>
    <n v="2"/>
    <n v="19"/>
    <n v="3"/>
    <n v="3"/>
    <n v="9"/>
    <n v="7"/>
    <n v="7"/>
    <n v="7"/>
    <x v="0"/>
    <x v="0"/>
    <x v="0"/>
    <x v="2"/>
    <x v="0"/>
    <x v="1"/>
    <x v="2"/>
    <x v="3"/>
    <s v="Medium"/>
    <x v="1"/>
    <x v="1"/>
    <x v="1"/>
    <x v="0"/>
  </r>
  <r>
    <n v="32"/>
    <x v="0"/>
    <s v="Travel_Rarely"/>
    <n v="1259"/>
    <x v="1"/>
    <n v="2"/>
    <n v="4"/>
    <s v="Life Sciences"/>
    <n v="1692"/>
    <n v="4"/>
    <x v="1"/>
    <n v="95"/>
    <n v="3"/>
    <n v="1"/>
    <x v="2"/>
    <n v="2"/>
    <x v="0"/>
    <n v="1393"/>
    <n v="1"/>
    <x v="1"/>
    <n v="12"/>
    <n v="3"/>
    <n v="1"/>
    <n v="0"/>
    <n v="1"/>
    <n v="2"/>
    <n v="3"/>
    <n v="1"/>
    <n v="0"/>
    <n v="0"/>
    <n v="0"/>
    <x v="0"/>
    <x v="1"/>
    <x v="2"/>
    <x v="2"/>
    <x v="0"/>
    <x v="1"/>
    <x v="1"/>
    <x v="0"/>
    <s v="No Options"/>
    <x v="1"/>
    <x v="2"/>
    <x v="1"/>
    <x v="1"/>
  </r>
  <r>
    <n v="26"/>
    <x v="1"/>
    <s v="Non-Travel"/>
    <n v="786"/>
    <x v="1"/>
    <n v="7"/>
    <n v="3"/>
    <s v="Medical"/>
    <n v="1693"/>
    <n v="4"/>
    <x v="1"/>
    <n v="76"/>
    <n v="3"/>
    <n v="1"/>
    <x v="2"/>
    <n v="4"/>
    <x v="0"/>
    <n v="2570"/>
    <n v="1"/>
    <x v="1"/>
    <n v="20"/>
    <n v="4"/>
    <n v="3"/>
    <n v="0"/>
    <n v="7"/>
    <n v="5"/>
    <n v="3"/>
    <n v="7"/>
    <n v="7"/>
    <n v="5"/>
    <n v="7"/>
    <x v="1"/>
    <x v="1"/>
    <x v="3"/>
    <x v="2"/>
    <x v="0"/>
    <x v="1"/>
    <x v="0"/>
    <x v="3"/>
    <s v="No Options"/>
    <x v="1"/>
    <x v="2"/>
    <x v="1"/>
    <x v="0"/>
  </r>
  <r>
    <n v="55"/>
    <x v="1"/>
    <s v="Travel_Rarely"/>
    <n v="1441"/>
    <x v="1"/>
    <n v="22"/>
    <n v="3"/>
    <s v="Technical Degree"/>
    <n v="1694"/>
    <n v="1"/>
    <x v="1"/>
    <n v="94"/>
    <n v="2"/>
    <n v="1"/>
    <x v="1"/>
    <n v="2"/>
    <x v="2"/>
    <n v="3537"/>
    <n v="5"/>
    <x v="1"/>
    <n v="12"/>
    <n v="3"/>
    <n v="4"/>
    <n v="1"/>
    <n v="8"/>
    <n v="1"/>
    <n v="3"/>
    <n v="4"/>
    <n v="2"/>
    <n v="1"/>
    <n v="2"/>
    <x v="1"/>
    <x v="1"/>
    <x v="3"/>
    <x v="3"/>
    <x v="1"/>
    <x v="1"/>
    <x v="1"/>
    <x v="1"/>
    <s v="Low"/>
    <x v="1"/>
    <x v="3"/>
    <x v="0"/>
    <x v="2"/>
  </r>
  <r>
    <n v="34"/>
    <x v="1"/>
    <s v="Travel_Rarely"/>
    <n v="1157"/>
    <x v="1"/>
    <n v="5"/>
    <n v="2"/>
    <s v="Medical"/>
    <n v="1696"/>
    <n v="2"/>
    <x v="1"/>
    <n v="57"/>
    <n v="2"/>
    <n v="2"/>
    <x v="2"/>
    <n v="4"/>
    <x v="1"/>
    <n v="3986"/>
    <n v="1"/>
    <x v="1"/>
    <n v="14"/>
    <n v="3"/>
    <n v="3"/>
    <n v="1"/>
    <n v="15"/>
    <n v="3"/>
    <n v="4"/>
    <n v="15"/>
    <n v="10"/>
    <n v="4"/>
    <n v="13"/>
    <x v="1"/>
    <x v="1"/>
    <x v="0"/>
    <x v="0"/>
    <x v="1"/>
    <x v="0"/>
    <x v="0"/>
    <x v="3"/>
    <s v="Low"/>
    <x v="3"/>
    <x v="2"/>
    <x v="0"/>
    <x v="4"/>
  </r>
  <r>
    <n v="60"/>
    <x v="1"/>
    <s v="Travel_Rarely"/>
    <n v="370"/>
    <x v="1"/>
    <n v="1"/>
    <n v="4"/>
    <s v="Medical"/>
    <n v="1697"/>
    <n v="3"/>
    <x v="1"/>
    <n v="92"/>
    <n v="1"/>
    <n v="3"/>
    <x v="4"/>
    <n v="4"/>
    <x v="2"/>
    <n v="10883"/>
    <n v="3"/>
    <x v="1"/>
    <n v="20"/>
    <n v="4"/>
    <n v="3"/>
    <n v="1"/>
    <n v="19"/>
    <n v="2"/>
    <n v="4"/>
    <n v="1"/>
    <n v="0"/>
    <n v="0"/>
    <n v="0"/>
    <x v="1"/>
    <x v="1"/>
    <x v="2"/>
    <x v="1"/>
    <x v="3"/>
    <x v="2"/>
    <x v="0"/>
    <x v="3"/>
    <s v="Low"/>
    <x v="3"/>
    <x v="3"/>
    <x v="2"/>
    <x v="1"/>
  </r>
  <r>
    <n v="33"/>
    <x v="1"/>
    <s v="Travel_Rarely"/>
    <n v="267"/>
    <x v="1"/>
    <n v="21"/>
    <n v="3"/>
    <s v="Medical"/>
    <n v="1698"/>
    <n v="2"/>
    <x v="1"/>
    <n v="79"/>
    <n v="4"/>
    <n v="1"/>
    <x v="2"/>
    <n v="2"/>
    <x v="1"/>
    <n v="2028"/>
    <n v="1"/>
    <x v="1"/>
    <n v="18"/>
    <n v="3"/>
    <n v="4"/>
    <n v="3"/>
    <n v="14"/>
    <n v="6"/>
    <n v="3"/>
    <n v="14"/>
    <n v="11"/>
    <n v="2"/>
    <n v="13"/>
    <x v="1"/>
    <x v="1"/>
    <x v="3"/>
    <x v="0"/>
    <x v="2"/>
    <x v="1"/>
    <x v="1"/>
    <x v="1"/>
    <s v="High"/>
    <x v="1"/>
    <x v="2"/>
    <x v="1"/>
    <x v="4"/>
  </r>
  <r>
    <n v="37"/>
    <x v="1"/>
    <s v="Travel_Frequently"/>
    <n v="1278"/>
    <x v="0"/>
    <n v="1"/>
    <n v="4"/>
    <s v="Medical"/>
    <n v="1700"/>
    <n v="3"/>
    <x v="1"/>
    <n v="31"/>
    <n v="1"/>
    <n v="2"/>
    <x v="0"/>
    <n v="4"/>
    <x v="2"/>
    <n v="9525"/>
    <n v="1"/>
    <x v="1"/>
    <n v="14"/>
    <n v="3"/>
    <n v="3"/>
    <n v="2"/>
    <n v="6"/>
    <n v="2"/>
    <n v="2"/>
    <n v="6"/>
    <n v="3"/>
    <n v="1"/>
    <n v="3"/>
    <x v="1"/>
    <x v="1"/>
    <x v="2"/>
    <x v="1"/>
    <x v="3"/>
    <x v="0"/>
    <x v="0"/>
    <x v="3"/>
    <s v="Medium"/>
    <x v="2"/>
    <x v="0"/>
    <x v="2"/>
    <x v="0"/>
  </r>
  <r>
    <n v="34"/>
    <x v="1"/>
    <s v="Travel_Rarely"/>
    <n v="678"/>
    <x v="1"/>
    <n v="19"/>
    <n v="3"/>
    <s v="Life Sciences"/>
    <n v="1701"/>
    <n v="2"/>
    <x v="0"/>
    <n v="35"/>
    <n v="2"/>
    <n v="1"/>
    <x v="1"/>
    <n v="4"/>
    <x v="1"/>
    <n v="2929"/>
    <n v="1"/>
    <x v="1"/>
    <n v="12"/>
    <n v="3"/>
    <n v="2"/>
    <n v="0"/>
    <n v="10"/>
    <n v="3"/>
    <n v="3"/>
    <n v="10"/>
    <n v="9"/>
    <n v="8"/>
    <n v="7"/>
    <x v="1"/>
    <x v="1"/>
    <x v="3"/>
    <x v="0"/>
    <x v="1"/>
    <x v="1"/>
    <x v="0"/>
    <x v="2"/>
    <s v="No Options"/>
    <x v="1"/>
    <x v="2"/>
    <x v="1"/>
    <x v="0"/>
  </r>
  <r>
    <n v="23"/>
    <x v="0"/>
    <s v="Travel_Rarely"/>
    <n v="427"/>
    <x v="0"/>
    <n v="7"/>
    <n v="3"/>
    <s v="Life Sciences"/>
    <n v="1702"/>
    <n v="3"/>
    <x v="1"/>
    <n v="99"/>
    <n v="3"/>
    <n v="1"/>
    <x v="6"/>
    <n v="4"/>
    <x v="2"/>
    <n v="2275"/>
    <n v="1"/>
    <x v="0"/>
    <n v="21"/>
    <n v="4"/>
    <n v="2"/>
    <n v="1"/>
    <n v="3"/>
    <n v="2"/>
    <n v="3"/>
    <n v="3"/>
    <n v="2"/>
    <n v="0"/>
    <n v="2"/>
    <x v="0"/>
    <x v="0"/>
    <x v="3"/>
    <x v="1"/>
    <x v="0"/>
    <x v="1"/>
    <x v="0"/>
    <x v="2"/>
    <s v="Low"/>
    <x v="1"/>
    <x v="4"/>
    <x v="1"/>
    <x v="2"/>
  </r>
  <r>
    <n v="44"/>
    <x v="1"/>
    <s v="Travel_Rarely"/>
    <n v="921"/>
    <x v="1"/>
    <n v="2"/>
    <n v="3"/>
    <s v="Life Sciences"/>
    <n v="1703"/>
    <n v="3"/>
    <x v="0"/>
    <n v="96"/>
    <n v="4"/>
    <n v="3"/>
    <x v="4"/>
    <n v="4"/>
    <x v="1"/>
    <n v="7879"/>
    <n v="1"/>
    <x v="0"/>
    <n v="19"/>
    <n v="3"/>
    <n v="2"/>
    <n v="1"/>
    <n v="9"/>
    <n v="2"/>
    <n v="3"/>
    <n v="8"/>
    <n v="7"/>
    <n v="6"/>
    <n v="7"/>
    <x v="1"/>
    <x v="0"/>
    <x v="3"/>
    <x v="1"/>
    <x v="2"/>
    <x v="2"/>
    <x v="0"/>
    <x v="2"/>
    <s v="Low"/>
    <x v="1"/>
    <x v="0"/>
    <x v="2"/>
    <x v="0"/>
  </r>
  <r>
    <n v="35"/>
    <x v="1"/>
    <s v="Travel_Frequently"/>
    <n v="146"/>
    <x v="1"/>
    <n v="2"/>
    <n v="4"/>
    <s v="Medical"/>
    <n v="1704"/>
    <n v="1"/>
    <x v="1"/>
    <n v="79"/>
    <n v="2"/>
    <n v="1"/>
    <x v="1"/>
    <n v="4"/>
    <x v="0"/>
    <n v="4930"/>
    <n v="0"/>
    <x v="0"/>
    <n v="14"/>
    <n v="3"/>
    <n v="3"/>
    <n v="0"/>
    <n v="6"/>
    <n v="2"/>
    <n v="4"/>
    <n v="5"/>
    <n v="4"/>
    <n v="1"/>
    <n v="4"/>
    <x v="1"/>
    <x v="0"/>
    <x v="2"/>
    <x v="3"/>
    <x v="1"/>
    <x v="1"/>
    <x v="0"/>
    <x v="3"/>
    <s v="No Options"/>
    <x v="3"/>
    <x v="0"/>
    <x v="0"/>
    <x v="2"/>
  </r>
  <r>
    <n v="43"/>
    <x v="1"/>
    <s v="Travel_Rarely"/>
    <n v="1179"/>
    <x v="0"/>
    <n v="2"/>
    <n v="3"/>
    <s v="Medical"/>
    <n v="1706"/>
    <n v="4"/>
    <x v="1"/>
    <n v="73"/>
    <n v="3"/>
    <n v="2"/>
    <x v="0"/>
    <n v="4"/>
    <x v="1"/>
    <n v="7847"/>
    <n v="1"/>
    <x v="0"/>
    <n v="17"/>
    <n v="3"/>
    <n v="1"/>
    <n v="1"/>
    <n v="10"/>
    <n v="3"/>
    <n v="3"/>
    <n v="10"/>
    <n v="9"/>
    <n v="8"/>
    <n v="8"/>
    <x v="1"/>
    <x v="0"/>
    <x v="3"/>
    <x v="2"/>
    <x v="0"/>
    <x v="0"/>
    <x v="0"/>
    <x v="0"/>
    <s v="Low"/>
    <x v="1"/>
    <x v="0"/>
    <x v="2"/>
    <x v="0"/>
  </r>
  <r>
    <n v="24"/>
    <x v="1"/>
    <s v="Travel_Rarely"/>
    <n v="581"/>
    <x v="1"/>
    <n v="9"/>
    <n v="3"/>
    <s v="Medical"/>
    <n v="1707"/>
    <n v="3"/>
    <x v="1"/>
    <n v="62"/>
    <n v="4"/>
    <n v="1"/>
    <x v="1"/>
    <n v="3"/>
    <x v="1"/>
    <n v="4401"/>
    <n v="1"/>
    <x v="1"/>
    <n v="16"/>
    <n v="3"/>
    <n v="4"/>
    <n v="1"/>
    <n v="5"/>
    <n v="1"/>
    <n v="3"/>
    <n v="5"/>
    <n v="3"/>
    <n v="0"/>
    <n v="4"/>
    <x v="1"/>
    <x v="1"/>
    <x v="3"/>
    <x v="1"/>
    <x v="2"/>
    <x v="1"/>
    <x v="2"/>
    <x v="1"/>
    <s v="Low"/>
    <x v="1"/>
    <x v="4"/>
    <x v="0"/>
    <x v="2"/>
  </r>
  <r>
    <n v="41"/>
    <x v="1"/>
    <s v="Travel_Rarely"/>
    <n v="918"/>
    <x v="0"/>
    <n v="6"/>
    <n v="3"/>
    <s v="Marketing"/>
    <n v="1708"/>
    <n v="4"/>
    <x v="1"/>
    <n v="35"/>
    <n v="3"/>
    <n v="3"/>
    <x v="0"/>
    <n v="3"/>
    <x v="0"/>
    <n v="9241"/>
    <n v="1"/>
    <x v="1"/>
    <n v="12"/>
    <n v="3"/>
    <n v="2"/>
    <n v="0"/>
    <n v="10"/>
    <n v="3"/>
    <n v="3"/>
    <n v="10"/>
    <n v="8"/>
    <n v="8"/>
    <n v="7"/>
    <x v="1"/>
    <x v="1"/>
    <x v="3"/>
    <x v="2"/>
    <x v="0"/>
    <x v="2"/>
    <x v="2"/>
    <x v="2"/>
    <s v="No Options"/>
    <x v="1"/>
    <x v="0"/>
    <x v="2"/>
    <x v="0"/>
  </r>
  <r>
    <n v="29"/>
    <x v="1"/>
    <s v="Travel_Rarely"/>
    <n v="1082"/>
    <x v="1"/>
    <n v="9"/>
    <n v="4"/>
    <s v="Medical"/>
    <n v="1709"/>
    <n v="4"/>
    <x v="0"/>
    <n v="43"/>
    <n v="3"/>
    <n v="1"/>
    <x v="2"/>
    <n v="3"/>
    <x v="1"/>
    <n v="2974"/>
    <n v="9"/>
    <x v="1"/>
    <n v="17"/>
    <n v="3"/>
    <n v="3"/>
    <n v="1"/>
    <n v="9"/>
    <n v="2"/>
    <n v="3"/>
    <n v="5"/>
    <n v="3"/>
    <n v="1"/>
    <n v="2"/>
    <x v="1"/>
    <x v="1"/>
    <x v="2"/>
    <x v="2"/>
    <x v="0"/>
    <x v="1"/>
    <x v="2"/>
    <x v="3"/>
    <s v="Low"/>
    <x v="1"/>
    <x v="2"/>
    <x v="1"/>
    <x v="2"/>
  </r>
  <r>
    <n v="36"/>
    <x v="1"/>
    <s v="Travel_Rarely"/>
    <n v="530"/>
    <x v="0"/>
    <n v="2"/>
    <n v="4"/>
    <s v="Life Sciences"/>
    <n v="1710"/>
    <n v="3"/>
    <x v="0"/>
    <n v="51"/>
    <n v="3"/>
    <n v="2"/>
    <x v="6"/>
    <n v="4"/>
    <x v="0"/>
    <n v="4502"/>
    <n v="3"/>
    <x v="1"/>
    <n v="15"/>
    <n v="3"/>
    <n v="3"/>
    <n v="0"/>
    <n v="17"/>
    <n v="2"/>
    <n v="2"/>
    <n v="13"/>
    <n v="7"/>
    <n v="6"/>
    <n v="7"/>
    <x v="1"/>
    <x v="1"/>
    <x v="2"/>
    <x v="1"/>
    <x v="0"/>
    <x v="0"/>
    <x v="0"/>
    <x v="3"/>
    <s v="No Options"/>
    <x v="2"/>
    <x v="0"/>
    <x v="0"/>
    <x v="4"/>
  </r>
  <r>
    <n v="45"/>
    <x v="1"/>
    <s v="Non-Travel"/>
    <n v="1238"/>
    <x v="1"/>
    <n v="1"/>
    <n v="1"/>
    <s v="Life Sciences"/>
    <n v="1712"/>
    <n v="3"/>
    <x v="1"/>
    <n v="74"/>
    <n v="2"/>
    <n v="3"/>
    <x v="4"/>
    <n v="3"/>
    <x v="1"/>
    <n v="10748"/>
    <n v="3"/>
    <x v="1"/>
    <n v="23"/>
    <n v="4"/>
    <n v="4"/>
    <n v="1"/>
    <n v="25"/>
    <n v="3"/>
    <n v="2"/>
    <n v="23"/>
    <n v="15"/>
    <n v="14"/>
    <n v="4"/>
    <x v="1"/>
    <x v="1"/>
    <x v="1"/>
    <x v="1"/>
    <x v="1"/>
    <x v="2"/>
    <x v="2"/>
    <x v="1"/>
    <s v="Low"/>
    <x v="2"/>
    <x v="1"/>
    <x v="2"/>
    <x v="3"/>
  </r>
  <r>
    <n v="24"/>
    <x v="0"/>
    <s v="Travel_Rarely"/>
    <n v="240"/>
    <x v="2"/>
    <n v="22"/>
    <n v="1"/>
    <s v="Human Resources"/>
    <n v="1714"/>
    <n v="4"/>
    <x v="1"/>
    <n v="58"/>
    <n v="1"/>
    <n v="1"/>
    <x v="8"/>
    <n v="3"/>
    <x v="1"/>
    <n v="1555"/>
    <n v="1"/>
    <x v="1"/>
    <n v="11"/>
    <n v="3"/>
    <n v="3"/>
    <n v="1"/>
    <n v="1"/>
    <n v="2"/>
    <n v="3"/>
    <n v="1"/>
    <n v="0"/>
    <n v="0"/>
    <n v="0"/>
    <x v="0"/>
    <x v="1"/>
    <x v="1"/>
    <x v="2"/>
    <x v="3"/>
    <x v="1"/>
    <x v="2"/>
    <x v="3"/>
    <s v="Low"/>
    <x v="1"/>
    <x v="4"/>
    <x v="1"/>
    <x v="1"/>
  </r>
  <r>
    <n v="47"/>
    <x v="0"/>
    <s v="Travel_Frequently"/>
    <n v="1093"/>
    <x v="0"/>
    <n v="9"/>
    <n v="3"/>
    <s v="Life Sciences"/>
    <n v="1716"/>
    <n v="3"/>
    <x v="1"/>
    <n v="82"/>
    <n v="1"/>
    <n v="4"/>
    <x v="0"/>
    <n v="3"/>
    <x v="1"/>
    <n v="12936"/>
    <n v="7"/>
    <x v="1"/>
    <n v="11"/>
    <n v="3"/>
    <n v="3"/>
    <n v="0"/>
    <n v="25"/>
    <n v="3"/>
    <n v="1"/>
    <n v="23"/>
    <n v="5"/>
    <n v="14"/>
    <n v="10"/>
    <x v="0"/>
    <x v="1"/>
    <x v="3"/>
    <x v="1"/>
    <x v="3"/>
    <x v="3"/>
    <x v="2"/>
    <x v="3"/>
    <s v="No Options"/>
    <x v="0"/>
    <x v="1"/>
    <x v="2"/>
    <x v="3"/>
  </r>
  <r>
    <n v="26"/>
    <x v="1"/>
    <s v="Travel_Rarely"/>
    <n v="390"/>
    <x v="1"/>
    <n v="17"/>
    <n v="4"/>
    <s v="Medical"/>
    <n v="1718"/>
    <n v="4"/>
    <x v="1"/>
    <n v="62"/>
    <n v="1"/>
    <n v="1"/>
    <x v="2"/>
    <n v="3"/>
    <x v="1"/>
    <n v="2305"/>
    <n v="1"/>
    <x v="1"/>
    <n v="15"/>
    <n v="3"/>
    <n v="3"/>
    <n v="3"/>
    <n v="3"/>
    <n v="3"/>
    <n v="4"/>
    <n v="3"/>
    <n v="2"/>
    <n v="0"/>
    <n v="2"/>
    <x v="1"/>
    <x v="1"/>
    <x v="2"/>
    <x v="2"/>
    <x v="3"/>
    <x v="1"/>
    <x v="2"/>
    <x v="3"/>
    <s v="High"/>
    <x v="3"/>
    <x v="2"/>
    <x v="1"/>
    <x v="2"/>
  </r>
  <r>
    <n v="45"/>
    <x v="1"/>
    <s v="Travel_Rarely"/>
    <n v="1005"/>
    <x v="1"/>
    <n v="28"/>
    <n v="2"/>
    <s v="Technical Degree"/>
    <n v="1719"/>
    <n v="4"/>
    <x v="0"/>
    <n v="48"/>
    <n v="2"/>
    <n v="4"/>
    <x v="7"/>
    <n v="2"/>
    <x v="0"/>
    <n v="16704"/>
    <n v="1"/>
    <x v="1"/>
    <n v="11"/>
    <n v="3"/>
    <n v="3"/>
    <n v="0"/>
    <n v="21"/>
    <n v="2"/>
    <n v="3"/>
    <n v="21"/>
    <n v="6"/>
    <n v="8"/>
    <n v="6"/>
    <x v="1"/>
    <x v="1"/>
    <x v="0"/>
    <x v="2"/>
    <x v="1"/>
    <x v="3"/>
    <x v="1"/>
    <x v="3"/>
    <s v="No Options"/>
    <x v="1"/>
    <x v="1"/>
    <x v="3"/>
    <x v="3"/>
  </r>
  <r>
    <n v="32"/>
    <x v="1"/>
    <s v="Travel_Frequently"/>
    <n v="585"/>
    <x v="1"/>
    <n v="10"/>
    <n v="3"/>
    <s v="Life Sciences"/>
    <n v="1720"/>
    <n v="1"/>
    <x v="1"/>
    <n v="56"/>
    <n v="3"/>
    <n v="1"/>
    <x v="1"/>
    <n v="3"/>
    <x v="1"/>
    <n v="3433"/>
    <n v="6"/>
    <x v="1"/>
    <n v="13"/>
    <n v="3"/>
    <n v="1"/>
    <n v="1"/>
    <n v="10"/>
    <n v="3"/>
    <n v="2"/>
    <n v="5"/>
    <n v="2"/>
    <n v="1"/>
    <n v="3"/>
    <x v="1"/>
    <x v="1"/>
    <x v="3"/>
    <x v="3"/>
    <x v="0"/>
    <x v="1"/>
    <x v="2"/>
    <x v="0"/>
    <s v="Low"/>
    <x v="2"/>
    <x v="2"/>
    <x v="0"/>
    <x v="2"/>
  </r>
  <r>
    <n v="31"/>
    <x v="1"/>
    <s v="Travel_Rarely"/>
    <n v="741"/>
    <x v="1"/>
    <n v="2"/>
    <n v="4"/>
    <s v="Life Sciences"/>
    <n v="1721"/>
    <n v="2"/>
    <x v="1"/>
    <n v="69"/>
    <n v="3"/>
    <n v="1"/>
    <x v="2"/>
    <n v="3"/>
    <x v="1"/>
    <n v="3477"/>
    <n v="1"/>
    <x v="1"/>
    <n v="14"/>
    <n v="3"/>
    <n v="4"/>
    <n v="1"/>
    <n v="6"/>
    <n v="2"/>
    <n v="4"/>
    <n v="5"/>
    <n v="2"/>
    <n v="0"/>
    <n v="3"/>
    <x v="1"/>
    <x v="1"/>
    <x v="2"/>
    <x v="0"/>
    <x v="0"/>
    <x v="1"/>
    <x v="2"/>
    <x v="1"/>
    <s v="Low"/>
    <x v="3"/>
    <x v="2"/>
    <x v="0"/>
    <x v="2"/>
  </r>
  <r>
    <n v="41"/>
    <x v="1"/>
    <s v="Non-Travel"/>
    <n v="552"/>
    <x v="2"/>
    <n v="4"/>
    <n v="3"/>
    <s v="Human Resources"/>
    <n v="1722"/>
    <n v="3"/>
    <x v="1"/>
    <n v="60"/>
    <n v="1"/>
    <n v="2"/>
    <x v="8"/>
    <n v="2"/>
    <x v="1"/>
    <n v="6430"/>
    <n v="6"/>
    <x v="1"/>
    <n v="19"/>
    <n v="3"/>
    <n v="2"/>
    <n v="1"/>
    <n v="10"/>
    <n v="4"/>
    <n v="3"/>
    <n v="3"/>
    <n v="2"/>
    <n v="1"/>
    <n v="2"/>
    <x v="1"/>
    <x v="1"/>
    <x v="3"/>
    <x v="1"/>
    <x v="3"/>
    <x v="0"/>
    <x v="1"/>
    <x v="2"/>
    <s v="Low"/>
    <x v="1"/>
    <x v="0"/>
    <x v="0"/>
    <x v="2"/>
  </r>
  <r>
    <n v="40"/>
    <x v="1"/>
    <s v="Travel_Rarely"/>
    <n v="369"/>
    <x v="1"/>
    <n v="8"/>
    <n v="2"/>
    <s v="Life Sciences"/>
    <n v="1724"/>
    <n v="2"/>
    <x v="0"/>
    <n v="92"/>
    <n v="3"/>
    <n v="2"/>
    <x v="3"/>
    <n v="1"/>
    <x v="1"/>
    <n v="6516"/>
    <n v="2"/>
    <x v="0"/>
    <n v="16"/>
    <n v="3"/>
    <n v="2"/>
    <n v="1"/>
    <n v="18"/>
    <n v="3"/>
    <n v="3"/>
    <n v="1"/>
    <n v="0"/>
    <n v="0"/>
    <n v="0"/>
    <x v="1"/>
    <x v="0"/>
    <x v="0"/>
    <x v="0"/>
    <x v="0"/>
    <x v="0"/>
    <x v="3"/>
    <x v="2"/>
    <s v="Low"/>
    <x v="1"/>
    <x v="0"/>
    <x v="0"/>
    <x v="1"/>
  </r>
  <r>
    <n v="24"/>
    <x v="1"/>
    <s v="Travel_Rarely"/>
    <n v="506"/>
    <x v="1"/>
    <n v="29"/>
    <n v="1"/>
    <s v="Medical"/>
    <n v="1725"/>
    <n v="2"/>
    <x v="1"/>
    <n v="91"/>
    <n v="3"/>
    <n v="1"/>
    <x v="2"/>
    <n v="1"/>
    <x v="2"/>
    <n v="3907"/>
    <n v="1"/>
    <x v="1"/>
    <n v="13"/>
    <n v="3"/>
    <n v="2"/>
    <n v="3"/>
    <n v="6"/>
    <n v="2"/>
    <n v="4"/>
    <n v="6"/>
    <n v="2"/>
    <n v="1"/>
    <n v="2"/>
    <x v="1"/>
    <x v="1"/>
    <x v="1"/>
    <x v="0"/>
    <x v="0"/>
    <x v="1"/>
    <x v="3"/>
    <x v="2"/>
    <s v="High"/>
    <x v="3"/>
    <x v="4"/>
    <x v="0"/>
    <x v="0"/>
  </r>
  <r>
    <n v="46"/>
    <x v="1"/>
    <s v="Travel_Rarely"/>
    <n v="717"/>
    <x v="1"/>
    <n v="13"/>
    <n v="4"/>
    <s v="Life Sciences"/>
    <n v="1727"/>
    <n v="3"/>
    <x v="1"/>
    <n v="34"/>
    <n v="3"/>
    <n v="2"/>
    <x v="4"/>
    <n v="2"/>
    <x v="0"/>
    <n v="5562"/>
    <n v="6"/>
    <x v="1"/>
    <n v="14"/>
    <n v="3"/>
    <n v="4"/>
    <n v="0"/>
    <n v="19"/>
    <n v="3"/>
    <n v="3"/>
    <n v="10"/>
    <n v="7"/>
    <n v="0"/>
    <n v="9"/>
    <x v="1"/>
    <x v="1"/>
    <x v="2"/>
    <x v="1"/>
    <x v="0"/>
    <x v="0"/>
    <x v="1"/>
    <x v="1"/>
    <s v="No Options"/>
    <x v="1"/>
    <x v="1"/>
    <x v="0"/>
    <x v="0"/>
  </r>
  <r>
    <n v="35"/>
    <x v="1"/>
    <s v="Travel_Rarely"/>
    <n v="1370"/>
    <x v="1"/>
    <n v="27"/>
    <n v="4"/>
    <s v="Life Sciences"/>
    <n v="1728"/>
    <n v="4"/>
    <x v="1"/>
    <n v="49"/>
    <n v="3"/>
    <n v="2"/>
    <x v="3"/>
    <n v="3"/>
    <x v="1"/>
    <n v="6883"/>
    <n v="2"/>
    <x v="1"/>
    <n v="16"/>
    <n v="3"/>
    <n v="2"/>
    <n v="1"/>
    <n v="17"/>
    <n v="3"/>
    <n v="3"/>
    <n v="7"/>
    <n v="7"/>
    <n v="0"/>
    <n v="7"/>
    <x v="1"/>
    <x v="1"/>
    <x v="2"/>
    <x v="2"/>
    <x v="0"/>
    <x v="0"/>
    <x v="2"/>
    <x v="2"/>
    <s v="Low"/>
    <x v="1"/>
    <x v="0"/>
    <x v="0"/>
    <x v="0"/>
  </r>
  <r>
    <n v="30"/>
    <x v="1"/>
    <s v="Travel_Rarely"/>
    <n v="793"/>
    <x v="1"/>
    <n v="16"/>
    <n v="1"/>
    <s v="Life Sciences"/>
    <n v="1729"/>
    <n v="2"/>
    <x v="1"/>
    <n v="33"/>
    <n v="3"/>
    <n v="1"/>
    <x v="1"/>
    <n v="4"/>
    <x v="1"/>
    <n v="2862"/>
    <n v="1"/>
    <x v="1"/>
    <n v="12"/>
    <n v="3"/>
    <n v="2"/>
    <n v="1"/>
    <n v="10"/>
    <n v="2"/>
    <n v="2"/>
    <n v="10"/>
    <n v="0"/>
    <n v="0"/>
    <n v="8"/>
    <x v="1"/>
    <x v="1"/>
    <x v="1"/>
    <x v="0"/>
    <x v="0"/>
    <x v="1"/>
    <x v="0"/>
    <x v="2"/>
    <s v="Low"/>
    <x v="2"/>
    <x v="2"/>
    <x v="1"/>
    <x v="0"/>
  </r>
  <r>
    <n v="47"/>
    <x v="1"/>
    <s v="Non-Travel"/>
    <n v="543"/>
    <x v="0"/>
    <n v="2"/>
    <n v="4"/>
    <s v="Marketing"/>
    <n v="1731"/>
    <n v="3"/>
    <x v="1"/>
    <n v="87"/>
    <n v="3"/>
    <n v="2"/>
    <x v="0"/>
    <n v="2"/>
    <x v="1"/>
    <n v="4978"/>
    <n v="7"/>
    <x v="1"/>
    <n v="11"/>
    <n v="3"/>
    <n v="4"/>
    <n v="1"/>
    <n v="4"/>
    <n v="3"/>
    <n v="1"/>
    <n v="1"/>
    <n v="0"/>
    <n v="0"/>
    <n v="0"/>
    <x v="1"/>
    <x v="1"/>
    <x v="2"/>
    <x v="1"/>
    <x v="0"/>
    <x v="0"/>
    <x v="1"/>
    <x v="1"/>
    <s v="Low"/>
    <x v="0"/>
    <x v="1"/>
    <x v="0"/>
    <x v="1"/>
  </r>
  <r>
    <n v="46"/>
    <x v="1"/>
    <s v="Travel_Rarely"/>
    <n v="1277"/>
    <x v="0"/>
    <n v="2"/>
    <n v="3"/>
    <s v="Life Sciences"/>
    <n v="1732"/>
    <n v="3"/>
    <x v="1"/>
    <n v="74"/>
    <n v="3"/>
    <n v="3"/>
    <x v="0"/>
    <n v="4"/>
    <x v="2"/>
    <n v="10368"/>
    <n v="4"/>
    <x v="0"/>
    <n v="12"/>
    <n v="3"/>
    <n v="2"/>
    <n v="1"/>
    <n v="13"/>
    <n v="5"/>
    <n v="2"/>
    <n v="10"/>
    <n v="6"/>
    <n v="0"/>
    <n v="3"/>
    <x v="1"/>
    <x v="0"/>
    <x v="3"/>
    <x v="1"/>
    <x v="0"/>
    <x v="2"/>
    <x v="0"/>
    <x v="2"/>
    <s v="Low"/>
    <x v="2"/>
    <x v="1"/>
    <x v="2"/>
    <x v="0"/>
  </r>
  <r>
    <n v="36"/>
    <x v="0"/>
    <s v="Travel_Rarely"/>
    <n v="1456"/>
    <x v="0"/>
    <n v="13"/>
    <n v="5"/>
    <s v="Marketing"/>
    <n v="1733"/>
    <n v="2"/>
    <x v="1"/>
    <n v="96"/>
    <n v="2"/>
    <n v="2"/>
    <x v="0"/>
    <n v="1"/>
    <x v="2"/>
    <n v="6134"/>
    <n v="5"/>
    <x v="0"/>
    <n v="13"/>
    <n v="3"/>
    <n v="2"/>
    <n v="3"/>
    <n v="16"/>
    <n v="3"/>
    <n v="3"/>
    <n v="2"/>
    <n v="2"/>
    <n v="2"/>
    <n v="2"/>
    <x v="0"/>
    <x v="0"/>
    <x v="4"/>
    <x v="0"/>
    <x v="1"/>
    <x v="0"/>
    <x v="3"/>
    <x v="2"/>
    <s v="High"/>
    <x v="1"/>
    <x v="0"/>
    <x v="0"/>
    <x v="1"/>
  </r>
  <r>
    <n v="32"/>
    <x v="0"/>
    <s v="Travel_Rarely"/>
    <n v="964"/>
    <x v="0"/>
    <n v="1"/>
    <n v="2"/>
    <s v="Life Sciences"/>
    <n v="1734"/>
    <n v="1"/>
    <x v="1"/>
    <n v="34"/>
    <n v="1"/>
    <n v="2"/>
    <x v="0"/>
    <n v="2"/>
    <x v="0"/>
    <n v="6735"/>
    <n v="6"/>
    <x v="1"/>
    <n v="15"/>
    <n v="3"/>
    <n v="2"/>
    <n v="0"/>
    <n v="10"/>
    <n v="2"/>
    <n v="3"/>
    <n v="0"/>
    <n v="0"/>
    <n v="0"/>
    <n v="0"/>
    <x v="0"/>
    <x v="1"/>
    <x v="0"/>
    <x v="3"/>
    <x v="3"/>
    <x v="0"/>
    <x v="1"/>
    <x v="2"/>
    <s v="No Options"/>
    <x v="1"/>
    <x v="2"/>
    <x v="0"/>
    <x v="1"/>
  </r>
  <r>
    <n v="23"/>
    <x v="1"/>
    <s v="Travel_Rarely"/>
    <n v="160"/>
    <x v="1"/>
    <n v="4"/>
    <n v="1"/>
    <s v="Medical"/>
    <n v="1735"/>
    <n v="3"/>
    <x v="0"/>
    <n v="51"/>
    <n v="3"/>
    <n v="1"/>
    <x v="2"/>
    <n v="2"/>
    <x v="0"/>
    <n v="3295"/>
    <n v="1"/>
    <x v="1"/>
    <n v="13"/>
    <n v="3"/>
    <n v="3"/>
    <n v="0"/>
    <n v="3"/>
    <n v="3"/>
    <n v="1"/>
    <n v="3"/>
    <n v="2"/>
    <n v="1"/>
    <n v="2"/>
    <x v="1"/>
    <x v="1"/>
    <x v="1"/>
    <x v="1"/>
    <x v="0"/>
    <x v="1"/>
    <x v="1"/>
    <x v="3"/>
    <s v="No Options"/>
    <x v="0"/>
    <x v="4"/>
    <x v="0"/>
    <x v="2"/>
  </r>
  <r>
    <n v="31"/>
    <x v="1"/>
    <s v="Travel_Frequently"/>
    <n v="163"/>
    <x v="1"/>
    <n v="24"/>
    <n v="1"/>
    <s v="Technical Degree"/>
    <n v="1736"/>
    <n v="4"/>
    <x v="0"/>
    <n v="30"/>
    <n v="3"/>
    <n v="2"/>
    <x v="3"/>
    <n v="4"/>
    <x v="0"/>
    <n v="5238"/>
    <n v="2"/>
    <x v="1"/>
    <n v="20"/>
    <n v="4"/>
    <n v="4"/>
    <n v="0"/>
    <n v="9"/>
    <n v="3"/>
    <n v="2"/>
    <n v="5"/>
    <n v="4"/>
    <n v="1"/>
    <n v="4"/>
    <x v="1"/>
    <x v="1"/>
    <x v="1"/>
    <x v="2"/>
    <x v="0"/>
    <x v="0"/>
    <x v="0"/>
    <x v="1"/>
    <s v="No Options"/>
    <x v="2"/>
    <x v="2"/>
    <x v="0"/>
    <x v="2"/>
  </r>
  <r>
    <n v="39"/>
    <x v="1"/>
    <s v="Non-Travel"/>
    <n v="792"/>
    <x v="1"/>
    <n v="1"/>
    <n v="3"/>
    <s v="Life Sciences"/>
    <n v="1737"/>
    <n v="4"/>
    <x v="1"/>
    <n v="77"/>
    <n v="3"/>
    <n v="2"/>
    <x v="2"/>
    <n v="4"/>
    <x v="1"/>
    <n v="6472"/>
    <n v="1"/>
    <x v="0"/>
    <n v="15"/>
    <n v="3"/>
    <n v="4"/>
    <n v="1"/>
    <n v="9"/>
    <n v="2"/>
    <n v="3"/>
    <n v="9"/>
    <n v="8"/>
    <n v="5"/>
    <n v="8"/>
    <x v="1"/>
    <x v="0"/>
    <x v="3"/>
    <x v="2"/>
    <x v="0"/>
    <x v="0"/>
    <x v="0"/>
    <x v="1"/>
    <s v="Low"/>
    <x v="1"/>
    <x v="0"/>
    <x v="0"/>
    <x v="0"/>
  </r>
  <r>
    <n v="32"/>
    <x v="1"/>
    <s v="Travel_Rarely"/>
    <n v="371"/>
    <x v="0"/>
    <n v="19"/>
    <n v="3"/>
    <s v="Life Sciences"/>
    <n v="1739"/>
    <n v="4"/>
    <x v="1"/>
    <n v="80"/>
    <n v="1"/>
    <n v="3"/>
    <x v="0"/>
    <n v="3"/>
    <x v="1"/>
    <n v="9610"/>
    <n v="3"/>
    <x v="1"/>
    <n v="13"/>
    <n v="3"/>
    <n v="3"/>
    <n v="1"/>
    <n v="10"/>
    <n v="2"/>
    <n v="1"/>
    <n v="4"/>
    <n v="3"/>
    <n v="0"/>
    <n v="2"/>
    <x v="1"/>
    <x v="1"/>
    <x v="3"/>
    <x v="2"/>
    <x v="3"/>
    <x v="2"/>
    <x v="2"/>
    <x v="3"/>
    <s v="Low"/>
    <x v="0"/>
    <x v="2"/>
    <x v="2"/>
    <x v="2"/>
  </r>
  <r>
    <n v="40"/>
    <x v="1"/>
    <s v="Travel_Rarely"/>
    <n v="611"/>
    <x v="0"/>
    <n v="7"/>
    <n v="4"/>
    <s v="Medical"/>
    <n v="1740"/>
    <n v="2"/>
    <x v="1"/>
    <n v="88"/>
    <n v="3"/>
    <n v="5"/>
    <x v="5"/>
    <n v="2"/>
    <x v="0"/>
    <n v="19833"/>
    <n v="1"/>
    <x v="1"/>
    <n v="14"/>
    <n v="3"/>
    <n v="2"/>
    <n v="0"/>
    <n v="21"/>
    <n v="3"/>
    <n v="2"/>
    <n v="21"/>
    <n v="8"/>
    <n v="12"/>
    <n v="8"/>
    <x v="1"/>
    <x v="1"/>
    <x v="2"/>
    <x v="0"/>
    <x v="0"/>
    <x v="4"/>
    <x v="1"/>
    <x v="2"/>
    <s v="No Options"/>
    <x v="2"/>
    <x v="0"/>
    <x v="3"/>
    <x v="3"/>
  </r>
  <r>
    <n v="45"/>
    <x v="1"/>
    <s v="Travel_Rarely"/>
    <n v="176"/>
    <x v="2"/>
    <n v="4"/>
    <n v="3"/>
    <s v="Life Sciences"/>
    <n v="1744"/>
    <n v="3"/>
    <x v="0"/>
    <n v="56"/>
    <n v="1"/>
    <n v="3"/>
    <x v="8"/>
    <n v="3"/>
    <x v="1"/>
    <n v="9756"/>
    <n v="4"/>
    <x v="1"/>
    <n v="21"/>
    <n v="4"/>
    <n v="3"/>
    <n v="2"/>
    <n v="9"/>
    <n v="2"/>
    <n v="4"/>
    <n v="5"/>
    <n v="0"/>
    <n v="0"/>
    <n v="3"/>
    <x v="1"/>
    <x v="1"/>
    <x v="3"/>
    <x v="1"/>
    <x v="3"/>
    <x v="2"/>
    <x v="2"/>
    <x v="3"/>
    <s v="Medium"/>
    <x v="3"/>
    <x v="1"/>
    <x v="2"/>
    <x v="2"/>
  </r>
  <r>
    <n v="30"/>
    <x v="1"/>
    <s v="Travel_Frequently"/>
    <n v="1312"/>
    <x v="1"/>
    <n v="2"/>
    <n v="4"/>
    <s v="Technical Degree"/>
    <n v="1745"/>
    <n v="4"/>
    <x v="0"/>
    <n v="78"/>
    <n v="2"/>
    <n v="1"/>
    <x v="1"/>
    <n v="1"/>
    <x v="0"/>
    <n v="4968"/>
    <n v="0"/>
    <x v="1"/>
    <n v="16"/>
    <n v="3"/>
    <n v="4"/>
    <n v="0"/>
    <n v="10"/>
    <n v="2"/>
    <n v="3"/>
    <n v="9"/>
    <n v="7"/>
    <n v="0"/>
    <n v="7"/>
    <x v="1"/>
    <x v="1"/>
    <x v="2"/>
    <x v="2"/>
    <x v="1"/>
    <x v="1"/>
    <x v="3"/>
    <x v="1"/>
    <s v="No Options"/>
    <x v="1"/>
    <x v="2"/>
    <x v="0"/>
    <x v="0"/>
  </r>
  <r>
    <n v="24"/>
    <x v="1"/>
    <s v="Travel_Frequently"/>
    <n v="897"/>
    <x v="2"/>
    <n v="10"/>
    <n v="3"/>
    <s v="Medical"/>
    <n v="1746"/>
    <n v="1"/>
    <x v="1"/>
    <n v="59"/>
    <n v="3"/>
    <n v="1"/>
    <x v="8"/>
    <n v="4"/>
    <x v="1"/>
    <n v="2145"/>
    <n v="0"/>
    <x v="1"/>
    <n v="14"/>
    <n v="3"/>
    <n v="4"/>
    <n v="1"/>
    <n v="3"/>
    <n v="2"/>
    <n v="3"/>
    <n v="2"/>
    <n v="2"/>
    <n v="2"/>
    <n v="1"/>
    <x v="1"/>
    <x v="1"/>
    <x v="3"/>
    <x v="3"/>
    <x v="0"/>
    <x v="1"/>
    <x v="0"/>
    <x v="1"/>
    <s v="Low"/>
    <x v="1"/>
    <x v="4"/>
    <x v="1"/>
    <x v="1"/>
  </r>
  <r>
    <n v="30"/>
    <x v="0"/>
    <s v="Travel_Frequently"/>
    <n v="600"/>
    <x v="2"/>
    <n v="8"/>
    <n v="3"/>
    <s v="Human Resources"/>
    <n v="1747"/>
    <n v="3"/>
    <x v="0"/>
    <n v="66"/>
    <n v="2"/>
    <n v="1"/>
    <x v="8"/>
    <n v="4"/>
    <x v="2"/>
    <n v="2180"/>
    <n v="6"/>
    <x v="1"/>
    <n v="11"/>
    <n v="3"/>
    <n v="3"/>
    <n v="1"/>
    <n v="6"/>
    <n v="0"/>
    <n v="2"/>
    <n v="4"/>
    <n v="2"/>
    <n v="1"/>
    <n v="2"/>
    <x v="0"/>
    <x v="1"/>
    <x v="3"/>
    <x v="1"/>
    <x v="1"/>
    <x v="1"/>
    <x v="0"/>
    <x v="3"/>
    <s v="Low"/>
    <x v="2"/>
    <x v="2"/>
    <x v="1"/>
    <x v="2"/>
  </r>
  <r>
    <n v="31"/>
    <x v="1"/>
    <s v="Travel_Rarely"/>
    <n v="1003"/>
    <x v="0"/>
    <n v="5"/>
    <n v="3"/>
    <s v="Technical Degree"/>
    <n v="1749"/>
    <n v="1"/>
    <x v="1"/>
    <n v="51"/>
    <n v="3"/>
    <n v="2"/>
    <x v="0"/>
    <n v="3"/>
    <x v="1"/>
    <n v="8346"/>
    <n v="1"/>
    <x v="1"/>
    <n v="19"/>
    <n v="3"/>
    <n v="3"/>
    <n v="1"/>
    <n v="6"/>
    <n v="3"/>
    <n v="3"/>
    <n v="5"/>
    <n v="2"/>
    <n v="0"/>
    <n v="2"/>
    <x v="1"/>
    <x v="1"/>
    <x v="3"/>
    <x v="3"/>
    <x v="0"/>
    <x v="0"/>
    <x v="2"/>
    <x v="3"/>
    <s v="Low"/>
    <x v="1"/>
    <x v="2"/>
    <x v="2"/>
    <x v="2"/>
  </r>
  <r>
    <n v="27"/>
    <x v="1"/>
    <s v="Travel_Rarely"/>
    <n v="1054"/>
    <x v="1"/>
    <n v="8"/>
    <n v="3"/>
    <s v="Medical"/>
    <n v="1751"/>
    <n v="3"/>
    <x v="0"/>
    <n v="67"/>
    <n v="3"/>
    <n v="1"/>
    <x v="1"/>
    <n v="4"/>
    <x v="0"/>
    <n v="3445"/>
    <n v="1"/>
    <x v="1"/>
    <n v="11"/>
    <n v="3"/>
    <n v="3"/>
    <n v="0"/>
    <n v="6"/>
    <n v="5"/>
    <n v="2"/>
    <n v="6"/>
    <n v="2"/>
    <n v="1"/>
    <n v="4"/>
    <x v="1"/>
    <x v="1"/>
    <x v="3"/>
    <x v="1"/>
    <x v="0"/>
    <x v="1"/>
    <x v="0"/>
    <x v="3"/>
    <s v="No Options"/>
    <x v="2"/>
    <x v="2"/>
    <x v="0"/>
    <x v="0"/>
  </r>
  <r>
    <n v="29"/>
    <x v="0"/>
    <s v="Travel_Rarely"/>
    <n v="428"/>
    <x v="0"/>
    <n v="9"/>
    <n v="3"/>
    <s v="Marketing"/>
    <n v="1752"/>
    <n v="2"/>
    <x v="0"/>
    <n v="52"/>
    <n v="1"/>
    <n v="1"/>
    <x v="6"/>
    <n v="2"/>
    <x v="0"/>
    <n v="2760"/>
    <n v="1"/>
    <x v="1"/>
    <n v="13"/>
    <n v="3"/>
    <n v="3"/>
    <n v="0"/>
    <n v="2"/>
    <n v="3"/>
    <n v="3"/>
    <n v="2"/>
    <n v="2"/>
    <n v="2"/>
    <n v="2"/>
    <x v="0"/>
    <x v="1"/>
    <x v="3"/>
    <x v="0"/>
    <x v="3"/>
    <x v="1"/>
    <x v="1"/>
    <x v="3"/>
    <s v="No Options"/>
    <x v="1"/>
    <x v="2"/>
    <x v="1"/>
    <x v="1"/>
  </r>
  <r>
    <n v="29"/>
    <x v="1"/>
    <s v="Travel_Frequently"/>
    <n v="461"/>
    <x v="1"/>
    <n v="1"/>
    <n v="3"/>
    <s v="Life Sciences"/>
    <n v="1753"/>
    <n v="4"/>
    <x v="1"/>
    <n v="70"/>
    <n v="4"/>
    <n v="2"/>
    <x v="4"/>
    <n v="3"/>
    <x v="0"/>
    <n v="6294"/>
    <n v="8"/>
    <x v="0"/>
    <n v="12"/>
    <n v="3"/>
    <n v="4"/>
    <n v="0"/>
    <n v="10"/>
    <n v="5"/>
    <n v="4"/>
    <n v="3"/>
    <n v="2"/>
    <n v="0"/>
    <n v="2"/>
    <x v="1"/>
    <x v="0"/>
    <x v="3"/>
    <x v="2"/>
    <x v="2"/>
    <x v="0"/>
    <x v="2"/>
    <x v="1"/>
    <s v="No Options"/>
    <x v="3"/>
    <x v="2"/>
    <x v="0"/>
    <x v="2"/>
  </r>
  <r>
    <n v="30"/>
    <x v="1"/>
    <s v="Travel_Rarely"/>
    <n v="979"/>
    <x v="0"/>
    <n v="15"/>
    <n v="2"/>
    <s v="Marketing"/>
    <n v="1754"/>
    <n v="3"/>
    <x v="1"/>
    <n v="94"/>
    <n v="2"/>
    <n v="3"/>
    <x v="0"/>
    <n v="1"/>
    <x v="2"/>
    <n v="7140"/>
    <n v="2"/>
    <x v="1"/>
    <n v="11"/>
    <n v="3"/>
    <n v="1"/>
    <n v="1"/>
    <n v="12"/>
    <n v="2"/>
    <n v="3"/>
    <n v="7"/>
    <n v="7"/>
    <n v="1"/>
    <n v="7"/>
    <x v="1"/>
    <x v="1"/>
    <x v="0"/>
    <x v="1"/>
    <x v="1"/>
    <x v="2"/>
    <x v="3"/>
    <x v="0"/>
    <s v="Low"/>
    <x v="1"/>
    <x v="2"/>
    <x v="2"/>
    <x v="0"/>
  </r>
  <r>
    <n v="34"/>
    <x v="1"/>
    <s v="Travel_Rarely"/>
    <n v="181"/>
    <x v="1"/>
    <n v="2"/>
    <n v="4"/>
    <s v="Medical"/>
    <n v="1755"/>
    <n v="4"/>
    <x v="1"/>
    <n v="97"/>
    <n v="4"/>
    <n v="1"/>
    <x v="1"/>
    <n v="4"/>
    <x v="1"/>
    <n v="2932"/>
    <n v="0"/>
    <x v="0"/>
    <n v="14"/>
    <n v="3"/>
    <n v="1"/>
    <n v="3"/>
    <n v="6"/>
    <n v="3"/>
    <n v="3"/>
    <n v="5"/>
    <n v="0"/>
    <n v="1"/>
    <n v="2"/>
    <x v="1"/>
    <x v="0"/>
    <x v="2"/>
    <x v="2"/>
    <x v="2"/>
    <x v="1"/>
    <x v="0"/>
    <x v="0"/>
    <s v="High"/>
    <x v="1"/>
    <x v="2"/>
    <x v="1"/>
    <x v="2"/>
  </r>
  <r>
    <n v="33"/>
    <x v="1"/>
    <s v="Non-Travel"/>
    <n v="1283"/>
    <x v="0"/>
    <n v="2"/>
    <n v="3"/>
    <s v="Marketing"/>
    <n v="1756"/>
    <n v="4"/>
    <x v="0"/>
    <n v="62"/>
    <n v="3"/>
    <n v="2"/>
    <x v="0"/>
    <n v="2"/>
    <x v="0"/>
    <n v="5147"/>
    <n v="8"/>
    <x v="1"/>
    <n v="15"/>
    <n v="3"/>
    <n v="4"/>
    <n v="0"/>
    <n v="13"/>
    <n v="2"/>
    <n v="2"/>
    <n v="11"/>
    <n v="7"/>
    <n v="1"/>
    <n v="7"/>
    <x v="1"/>
    <x v="1"/>
    <x v="3"/>
    <x v="2"/>
    <x v="0"/>
    <x v="0"/>
    <x v="1"/>
    <x v="1"/>
    <s v="No Options"/>
    <x v="2"/>
    <x v="2"/>
    <x v="0"/>
    <x v="4"/>
  </r>
  <r>
    <n v="49"/>
    <x v="1"/>
    <s v="Travel_Rarely"/>
    <n v="1313"/>
    <x v="0"/>
    <n v="11"/>
    <n v="4"/>
    <s v="Marketing"/>
    <n v="1757"/>
    <n v="4"/>
    <x v="0"/>
    <n v="80"/>
    <n v="3"/>
    <n v="2"/>
    <x v="0"/>
    <n v="4"/>
    <x v="0"/>
    <n v="4507"/>
    <n v="3"/>
    <x v="1"/>
    <n v="12"/>
    <n v="3"/>
    <n v="3"/>
    <n v="0"/>
    <n v="8"/>
    <n v="1"/>
    <n v="4"/>
    <n v="5"/>
    <n v="1"/>
    <n v="0"/>
    <n v="4"/>
    <x v="1"/>
    <x v="1"/>
    <x v="2"/>
    <x v="2"/>
    <x v="0"/>
    <x v="0"/>
    <x v="0"/>
    <x v="3"/>
    <s v="No Options"/>
    <x v="3"/>
    <x v="1"/>
    <x v="0"/>
    <x v="2"/>
  </r>
  <r>
    <n v="33"/>
    <x v="0"/>
    <s v="Travel_Rarely"/>
    <n v="211"/>
    <x v="0"/>
    <n v="16"/>
    <n v="3"/>
    <s v="Life Sciences"/>
    <n v="1758"/>
    <n v="1"/>
    <x v="0"/>
    <n v="74"/>
    <n v="3"/>
    <n v="3"/>
    <x v="0"/>
    <n v="1"/>
    <x v="0"/>
    <n v="8564"/>
    <n v="2"/>
    <x v="0"/>
    <n v="20"/>
    <n v="4"/>
    <n v="3"/>
    <n v="0"/>
    <n v="11"/>
    <n v="2"/>
    <n v="2"/>
    <n v="0"/>
    <n v="0"/>
    <n v="0"/>
    <n v="0"/>
    <x v="0"/>
    <x v="0"/>
    <x v="3"/>
    <x v="3"/>
    <x v="0"/>
    <x v="2"/>
    <x v="3"/>
    <x v="3"/>
    <s v="No Options"/>
    <x v="2"/>
    <x v="2"/>
    <x v="2"/>
    <x v="1"/>
  </r>
  <r>
    <n v="38"/>
    <x v="1"/>
    <s v="Travel_Frequently"/>
    <n v="594"/>
    <x v="1"/>
    <n v="2"/>
    <n v="2"/>
    <s v="Medical"/>
    <n v="1760"/>
    <n v="3"/>
    <x v="0"/>
    <n v="75"/>
    <n v="2"/>
    <n v="1"/>
    <x v="2"/>
    <n v="2"/>
    <x v="1"/>
    <n v="2468"/>
    <n v="4"/>
    <x v="1"/>
    <n v="14"/>
    <n v="3"/>
    <n v="2"/>
    <n v="1"/>
    <n v="9"/>
    <n v="4"/>
    <n v="2"/>
    <n v="6"/>
    <n v="1"/>
    <n v="0"/>
    <n v="5"/>
    <x v="1"/>
    <x v="1"/>
    <x v="0"/>
    <x v="1"/>
    <x v="1"/>
    <x v="1"/>
    <x v="1"/>
    <x v="2"/>
    <s v="Low"/>
    <x v="2"/>
    <x v="0"/>
    <x v="1"/>
    <x v="0"/>
  </r>
  <r>
    <n v="31"/>
    <x v="0"/>
    <s v="Travel_Rarely"/>
    <n v="1079"/>
    <x v="0"/>
    <n v="16"/>
    <n v="4"/>
    <s v="Marketing"/>
    <n v="1761"/>
    <n v="1"/>
    <x v="1"/>
    <n v="70"/>
    <n v="3"/>
    <n v="3"/>
    <x v="0"/>
    <n v="3"/>
    <x v="1"/>
    <n v="8161"/>
    <n v="2"/>
    <x v="1"/>
    <n v="13"/>
    <n v="3"/>
    <n v="1"/>
    <n v="3"/>
    <n v="10"/>
    <n v="2"/>
    <n v="3"/>
    <n v="1"/>
    <n v="0"/>
    <n v="0"/>
    <n v="0"/>
    <x v="0"/>
    <x v="1"/>
    <x v="2"/>
    <x v="3"/>
    <x v="0"/>
    <x v="2"/>
    <x v="2"/>
    <x v="0"/>
    <s v="High"/>
    <x v="1"/>
    <x v="2"/>
    <x v="2"/>
    <x v="1"/>
  </r>
  <r>
    <n v="29"/>
    <x v="1"/>
    <s v="Travel_Rarely"/>
    <n v="590"/>
    <x v="1"/>
    <n v="4"/>
    <n v="3"/>
    <s v="Technical Degree"/>
    <n v="1762"/>
    <n v="4"/>
    <x v="0"/>
    <n v="91"/>
    <n v="2"/>
    <n v="1"/>
    <x v="1"/>
    <n v="1"/>
    <x v="2"/>
    <n v="2109"/>
    <n v="1"/>
    <x v="1"/>
    <n v="13"/>
    <n v="3"/>
    <n v="3"/>
    <n v="1"/>
    <n v="1"/>
    <n v="2"/>
    <n v="3"/>
    <n v="1"/>
    <n v="0"/>
    <n v="0"/>
    <n v="0"/>
    <x v="1"/>
    <x v="1"/>
    <x v="3"/>
    <x v="2"/>
    <x v="1"/>
    <x v="1"/>
    <x v="3"/>
    <x v="3"/>
    <s v="Low"/>
    <x v="1"/>
    <x v="2"/>
    <x v="1"/>
    <x v="1"/>
  </r>
  <r>
    <n v="30"/>
    <x v="1"/>
    <s v="Travel_Rarely"/>
    <n v="305"/>
    <x v="1"/>
    <n v="16"/>
    <n v="3"/>
    <s v="Life Sciences"/>
    <n v="1763"/>
    <n v="3"/>
    <x v="1"/>
    <n v="58"/>
    <n v="4"/>
    <n v="2"/>
    <x v="4"/>
    <n v="3"/>
    <x v="1"/>
    <n v="5294"/>
    <n v="3"/>
    <x v="1"/>
    <n v="16"/>
    <n v="3"/>
    <n v="3"/>
    <n v="1"/>
    <n v="10"/>
    <n v="3"/>
    <n v="3"/>
    <n v="7"/>
    <n v="0"/>
    <n v="1"/>
    <n v="7"/>
    <x v="1"/>
    <x v="1"/>
    <x v="3"/>
    <x v="1"/>
    <x v="2"/>
    <x v="0"/>
    <x v="2"/>
    <x v="3"/>
    <s v="Low"/>
    <x v="1"/>
    <x v="2"/>
    <x v="0"/>
    <x v="0"/>
  </r>
  <r>
    <n v="32"/>
    <x v="1"/>
    <s v="Non-Travel"/>
    <n v="953"/>
    <x v="1"/>
    <n v="5"/>
    <n v="4"/>
    <s v="Technical Degree"/>
    <n v="1764"/>
    <n v="2"/>
    <x v="1"/>
    <n v="65"/>
    <n v="3"/>
    <n v="1"/>
    <x v="1"/>
    <n v="2"/>
    <x v="0"/>
    <n v="2718"/>
    <n v="2"/>
    <x v="1"/>
    <n v="14"/>
    <n v="3"/>
    <n v="2"/>
    <n v="0"/>
    <n v="12"/>
    <n v="3"/>
    <n v="3"/>
    <n v="7"/>
    <n v="7"/>
    <n v="0"/>
    <n v="7"/>
    <x v="1"/>
    <x v="1"/>
    <x v="2"/>
    <x v="0"/>
    <x v="0"/>
    <x v="1"/>
    <x v="1"/>
    <x v="2"/>
    <s v="No Options"/>
    <x v="1"/>
    <x v="2"/>
    <x v="1"/>
    <x v="0"/>
  </r>
  <r>
    <n v="38"/>
    <x v="1"/>
    <s v="Travel_Rarely"/>
    <n v="833"/>
    <x v="1"/>
    <n v="18"/>
    <n v="3"/>
    <s v="Medical"/>
    <n v="1766"/>
    <n v="2"/>
    <x v="1"/>
    <n v="60"/>
    <n v="1"/>
    <n v="2"/>
    <x v="4"/>
    <n v="4"/>
    <x v="1"/>
    <n v="5811"/>
    <n v="3"/>
    <x v="0"/>
    <n v="16"/>
    <n v="3"/>
    <n v="3"/>
    <n v="1"/>
    <n v="15"/>
    <n v="2"/>
    <n v="3"/>
    <n v="1"/>
    <n v="0"/>
    <n v="1"/>
    <n v="0"/>
    <x v="1"/>
    <x v="0"/>
    <x v="3"/>
    <x v="0"/>
    <x v="3"/>
    <x v="0"/>
    <x v="0"/>
    <x v="3"/>
    <s v="Low"/>
    <x v="1"/>
    <x v="0"/>
    <x v="0"/>
    <x v="1"/>
  </r>
  <r>
    <n v="43"/>
    <x v="0"/>
    <s v="Travel_Frequently"/>
    <n v="807"/>
    <x v="1"/>
    <n v="17"/>
    <n v="3"/>
    <s v="Technical Degree"/>
    <n v="1767"/>
    <n v="3"/>
    <x v="1"/>
    <n v="38"/>
    <n v="2"/>
    <n v="1"/>
    <x v="1"/>
    <n v="3"/>
    <x v="1"/>
    <n v="2437"/>
    <n v="9"/>
    <x v="0"/>
    <n v="16"/>
    <n v="3"/>
    <n v="4"/>
    <n v="1"/>
    <n v="6"/>
    <n v="4"/>
    <n v="3"/>
    <n v="1"/>
    <n v="0"/>
    <n v="0"/>
    <n v="0"/>
    <x v="0"/>
    <x v="0"/>
    <x v="3"/>
    <x v="1"/>
    <x v="1"/>
    <x v="1"/>
    <x v="2"/>
    <x v="1"/>
    <s v="Low"/>
    <x v="1"/>
    <x v="0"/>
    <x v="1"/>
    <x v="1"/>
  </r>
  <r>
    <n v="42"/>
    <x v="1"/>
    <s v="Travel_Rarely"/>
    <n v="855"/>
    <x v="1"/>
    <n v="12"/>
    <n v="3"/>
    <s v="Medical"/>
    <n v="1768"/>
    <n v="2"/>
    <x v="1"/>
    <n v="57"/>
    <n v="3"/>
    <n v="1"/>
    <x v="2"/>
    <n v="2"/>
    <x v="2"/>
    <n v="2766"/>
    <n v="8"/>
    <x v="1"/>
    <n v="22"/>
    <n v="4"/>
    <n v="2"/>
    <n v="3"/>
    <n v="7"/>
    <n v="6"/>
    <n v="2"/>
    <n v="5"/>
    <n v="3"/>
    <n v="0"/>
    <n v="4"/>
    <x v="1"/>
    <x v="1"/>
    <x v="3"/>
    <x v="0"/>
    <x v="0"/>
    <x v="1"/>
    <x v="1"/>
    <x v="2"/>
    <s v="High"/>
    <x v="2"/>
    <x v="0"/>
    <x v="1"/>
    <x v="2"/>
  </r>
  <r>
    <n v="55"/>
    <x v="1"/>
    <s v="Travel_Rarely"/>
    <n v="478"/>
    <x v="1"/>
    <n v="2"/>
    <n v="3"/>
    <s v="Medical"/>
    <n v="1770"/>
    <n v="3"/>
    <x v="1"/>
    <n v="60"/>
    <n v="2"/>
    <n v="5"/>
    <x v="7"/>
    <n v="1"/>
    <x v="1"/>
    <n v="19038"/>
    <n v="8"/>
    <x v="1"/>
    <n v="12"/>
    <n v="3"/>
    <n v="2"/>
    <n v="3"/>
    <n v="34"/>
    <n v="2"/>
    <n v="3"/>
    <n v="1"/>
    <n v="0"/>
    <n v="0"/>
    <n v="0"/>
    <x v="1"/>
    <x v="1"/>
    <x v="3"/>
    <x v="1"/>
    <x v="1"/>
    <x v="4"/>
    <x v="3"/>
    <x v="2"/>
    <s v="High"/>
    <x v="1"/>
    <x v="3"/>
    <x v="3"/>
    <x v="1"/>
  </r>
  <r>
    <n v="33"/>
    <x v="1"/>
    <s v="Non-Travel"/>
    <n v="775"/>
    <x v="1"/>
    <n v="4"/>
    <n v="3"/>
    <s v="Technical Degree"/>
    <n v="1771"/>
    <n v="4"/>
    <x v="1"/>
    <n v="90"/>
    <n v="3"/>
    <n v="2"/>
    <x v="1"/>
    <n v="2"/>
    <x v="2"/>
    <n v="3055"/>
    <n v="5"/>
    <x v="1"/>
    <n v="15"/>
    <n v="3"/>
    <n v="4"/>
    <n v="2"/>
    <n v="11"/>
    <n v="2"/>
    <n v="2"/>
    <n v="9"/>
    <n v="8"/>
    <n v="1"/>
    <n v="7"/>
    <x v="1"/>
    <x v="1"/>
    <x v="3"/>
    <x v="2"/>
    <x v="0"/>
    <x v="0"/>
    <x v="1"/>
    <x v="1"/>
    <s v="Medium"/>
    <x v="2"/>
    <x v="2"/>
    <x v="0"/>
    <x v="0"/>
  </r>
  <r>
    <n v="41"/>
    <x v="1"/>
    <s v="Travel_Rarely"/>
    <n v="548"/>
    <x v="1"/>
    <n v="9"/>
    <n v="4"/>
    <s v="Life Sciences"/>
    <n v="1772"/>
    <n v="3"/>
    <x v="1"/>
    <n v="94"/>
    <n v="3"/>
    <n v="1"/>
    <x v="2"/>
    <n v="1"/>
    <x v="2"/>
    <n v="2289"/>
    <n v="1"/>
    <x v="1"/>
    <n v="20"/>
    <n v="4"/>
    <n v="2"/>
    <n v="2"/>
    <n v="5"/>
    <n v="2"/>
    <n v="3"/>
    <n v="5"/>
    <n v="3"/>
    <n v="0"/>
    <n v="4"/>
    <x v="1"/>
    <x v="1"/>
    <x v="2"/>
    <x v="1"/>
    <x v="0"/>
    <x v="1"/>
    <x v="3"/>
    <x v="2"/>
    <s v="Medium"/>
    <x v="1"/>
    <x v="0"/>
    <x v="1"/>
    <x v="2"/>
  </r>
  <r>
    <n v="34"/>
    <x v="1"/>
    <s v="Non-Travel"/>
    <n v="1375"/>
    <x v="0"/>
    <n v="10"/>
    <n v="3"/>
    <s v="Life Sciences"/>
    <n v="1774"/>
    <n v="4"/>
    <x v="1"/>
    <n v="87"/>
    <n v="3"/>
    <n v="2"/>
    <x v="0"/>
    <n v="3"/>
    <x v="2"/>
    <n v="4001"/>
    <n v="1"/>
    <x v="0"/>
    <n v="14"/>
    <n v="3"/>
    <n v="3"/>
    <n v="1"/>
    <n v="15"/>
    <n v="3"/>
    <n v="3"/>
    <n v="15"/>
    <n v="14"/>
    <n v="0"/>
    <n v="7"/>
    <x v="1"/>
    <x v="0"/>
    <x v="3"/>
    <x v="2"/>
    <x v="0"/>
    <x v="0"/>
    <x v="2"/>
    <x v="3"/>
    <s v="Low"/>
    <x v="1"/>
    <x v="2"/>
    <x v="0"/>
    <x v="4"/>
  </r>
  <r>
    <n v="53"/>
    <x v="1"/>
    <s v="Non-Travel"/>
    <n v="661"/>
    <x v="1"/>
    <n v="1"/>
    <n v="4"/>
    <s v="Medical"/>
    <n v="1775"/>
    <n v="1"/>
    <x v="0"/>
    <n v="60"/>
    <n v="2"/>
    <n v="4"/>
    <x v="3"/>
    <n v="3"/>
    <x v="1"/>
    <n v="12965"/>
    <n v="4"/>
    <x v="0"/>
    <n v="20"/>
    <n v="4"/>
    <n v="4"/>
    <n v="3"/>
    <n v="27"/>
    <n v="2"/>
    <n v="2"/>
    <n v="3"/>
    <n v="2"/>
    <n v="0"/>
    <n v="2"/>
    <x v="1"/>
    <x v="0"/>
    <x v="2"/>
    <x v="3"/>
    <x v="1"/>
    <x v="3"/>
    <x v="2"/>
    <x v="1"/>
    <s v="High"/>
    <x v="2"/>
    <x v="1"/>
    <x v="2"/>
    <x v="2"/>
  </r>
  <r>
    <n v="43"/>
    <x v="1"/>
    <s v="Travel_Rarely"/>
    <n v="244"/>
    <x v="2"/>
    <n v="2"/>
    <n v="3"/>
    <s v="Life Sciences"/>
    <n v="1778"/>
    <n v="2"/>
    <x v="1"/>
    <n v="97"/>
    <n v="3"/>
    <n v="1"/>
    <x v="8"/>
    <n v="4"/>
    <x v="0"/>
    <n v="3539"/>
    <n v="0"/>
    <x v="1"/>
    <n v="13"/>
    <n v="3"/>
    <n v="2"/>
    <n v="0"/>
    <n v="10"/>
    <n v="5"/>
    <n v="3"/>
    <n v="9"/>
    <n v="7"/>
    <n v="1"/>
    <n v="8"/>
    <x v="1"/>
    <x v="1"/>
    <x v="3"/>
    <x v="0"/>
    <x v="0"/>
    <x v="1"/>
    <x v="0"/>
    <x v="2"/>
    <s v="No Options"/>
    <x v="1"/>
    <x v="0"/>
    <x v="0"/>
    <x v="0"/>
  </r>
  <r>
    <n v="34"/>
    <x v="1"/>
    <s v="Travel_Rarely"/>
    <n v="511"/>
    <x v="0"/>
    <n v="3"/>
    <n v="2"/>
    <s v="Life Sciences"/>
    <n v="1779"/>
    <n v="4"/>
    <x v="0"/>
    <n v="32"/>
    <n v="1"/>
    <n v="2"/>
    <x v="0"/>
    <n v="4"/>
    <x v="0"/>
    <n v="6029"/>
    <n v="5"/>
    <x v="1"/>
    <n v="12"/>
    <n v="3"/>
    <n v="1"/>
    <n v="0"/>
    <n v="6"/>
    <n v="3"/>
    <n v="3"/>
    <n v="2"/>
    <n v="2"/>
    <n v="2"/>
    <n v="2"/>
    <x v="1"/>
    <x v="1"/>
    <x v="0"/>
    <x v="2"/>
    <x v="3"/>
    <x v="0"/>
    <x v="0"/>
    <x v="0"/>
    <s v="No Options"/>
    <x v="1"/>
    <x v="2"/>
    <x v="0"/>
    <x v="1"/>
  </r>
  <r>
    <n v="21"/>
    <x v="0"/>
    <s v="Travel_Rarely"/>
    <n v="337"/>
    <x v="0"/>
    <n v="7"/>
    <n v="1"/>
    <s v="Marketing"/>
    <n v="1780"/>
    <n v="2"/>
    <x v="1"/>
    <n v="31"/>
    <n v="3"/>
    <n v="1"/>
    <x v="6"/>
    <n v="2"/>
    <x v="0"/>
    <n v="2679"/>
    <n v="1"/>
    <x v="1"/>
    <n v="13"/>
    <n v="3"/>
    <n v="2"/>
    <n v="0"/>
    <n v="1"/>
    <n v="3"/>
    <n v="3"/>
    <n v="1"/>
    <n v="0"/>
    <n v="1"/>
    <n v="0"/>
    <x v="0"/>
    <x v="1"/>
    <x v="1"/>
    <x v="0"/>
    <x v="0"/>
    <x v="1"/>
    <x v="1"/>
    <x v="2"/>
    <s v="No Options"/>
    <x v="1"/>
    <x v="4"/>
    <x v="1"/>
    <x v="1"/>
  </r>
  <r>
    <n v="38"/>
    <x v="1"/>
    <s v="Travel_Rarely"/>
    <n v="1153"/>
    <x v="1"/>
    <n v="6"/>
    <n v="2"/>
    <s v="Other"/>
    <n v="1782"/>
    <n v="4"/>
    <x v="0"/>
    <n v="40"/>
    <n v="2"/>
    <n v="1"/>
    <x v="2"/>
    <n v="3"/>
    <x v="1"/>
    <n v="3702"/>
    <n v="1"/>
    <x v="1"/>
    <n v="11"/>
    <n v="3"/>
    <n v="2"/>
    <n v="1"/>
    <n v="5"/>
    <n v="3"/>
    <n v="3"/>
    <n v="5"/>
    <n v="4"/>
    <n v="0"/>
    <n v="4"/>
    <x v="1"/>
    <x v="1"/>
    <x v="0"/>
    <x v="2"/>
    <x v="1"/>
    <x v="1"/>
    <x v="2"/>
    <x v="2"/>
    <s v="Low"/>
    <x v="1"/>
    <x v="0"/>
    <x v="0"/>
    <x v="2"/>
  </r>
  <r>
    <n v="22"/>
    <x v="0"/>
    <s v="Travel_Rarely"/>
    <n v="1294"/>
    <x v="1"/>
    <n v="8"/>
    <n v="1"/>
    <s v="Medical"/>
    <n v="1783"/>
    <n v="3"/>
    <x v="0"/>
    <n v="79"/>
    <n v="3"/>
    <n v="1"/>
    <x v="2"/>
    <n v="1"/>
    <x v="1"/>
    <n v="2398"/>
    <n v="1"/>
    <x v="0"/>
    <n v="17"/>
    <n v="3"/>
    <n v="3"/>
    <n v="0"/>
    <n v="1"/>
    <n v="6"/>
    <n v="3"/>
    <n v="1"/>
    <n v="0"/>
    <n v="0"/>
    <n v="0"/>
    <x v="0"/>
    <x v="0"/>
    <x v="1"/>
    <x v="1"/>
    <x v="0"/>
    <x v="1"/>
    <x v="3"/>
    <x v="3"/>
    <s v="No Options"/>
    <x v="1"/>
    <x v="4"/>
    <x v="1"/>
    <x v="1"/>
  </r>
  <r>
    <n v="31"/>
    <x v="1"/>
    <s v="Travel_Rarely"/>
    <n v="196"/>
    <x v="0"/>
    <n v="29"/>
    <n v="4"/>
    <s v="Marketing"/>
    <n v="1784"/>
    <n v="1"/>
    <x v="0"/>
    <n v="91"/>
    <n v="2"/>
    <n v="2"/>
    <x v="0"/>
    <n v="4"/>
    <x v="1"/>
    <n v="5468"/>
    <n v="1"/>
    <x v="1"/>
    <n v="14"/>
    <n v="3"/>
    <n v="1"/>
    <n v="2"/>
    <n v="13"/>
    <n v="3"/>
    <n v="3"/>
    <n v="12"/>
    <n v="7"/>
    <n v="5"/>
    <n v="7"/>
    <x v="1"/>
    <x v="1"/>
    <x v="2"/>
    <x v="3"/>
    <x v="1"/>
    <x v="0"/>
    <x v="0"/>
    <x v="0"/>
    <s v="Medium"/>
    <x v="1"/>
    <x v="2"/>
    <x v="0"/>
    <x v="4"/>
  </r>
  <r>
    <n v="51"/>
    <x v="1"/>
    <s v="Travel_Rarely"/>
    <n v="942"/>
    <x v="1"/>
    <n v="3"/>
    <n v="3"/>
    <s v="Technical Degree"/>
    <n v="1786"/>
    <n v="1"/>
    <x v="0"/>
    <n v="53"/>
    <n v="3"/>
    <n v="3"/>
    <x v="5"/>
    <n v="3"/>
    <x v="1"/>
    <n v="13116"/>
    <n v="2"/>
    <x v="1"/>
    <n v="11"/>
    <n v="3"/>
    <n v="4"/>
    <n v="0"/>
    <n v="15"/>
    <n v="2"/>
    <n v="3"/>
    <n v="2"/>
    <n v="2"/>
    <n v="2"/>
    <n v="2"/>
    <x v="1"/>
    <x v="1"/>
    <x v="3"/>
    <x v="3"/>
    <x v="0"/>
    <x v="2"/>
    <x v="2"/>
    <x v="1"/>
    <s v="No Options"/>
    <x v="1"/>
    <x v="1"/>
    <x v="3"/>
    <x v="1"/>
  </r>
  <r>
    <n v="37"/>
    <x v="1"/>
    <s v="Travel_Rarely"/>
    <n v="589"/>
    <x v="0"/>
    <n v="9"/>
    <n v="2"/>
    <s v="Marketing"/>
    <n v="1787"/>
    <n v="2"/>
    <x v="1"/>
    <n v="46"/>
    <n v="2"/>
    <n v="2"/>
    <x v="0"/>
    <n v="2"/>
    <x v="1"/>
    <n v="4189"/>
    <n v="1"/>
    <x v="1"/>
    <n v="14"/>
    <n v="3"/>
    <n v="1"/>
    <n v="2"/>
    <n v="5"/>
    <n v="2"/>
    <n v="3"/>
    <n v="5"/>
    <n v="2"/>
    <n v="0"/>
    <n v="3"/>
    <x v="1"/>
    <x v="1"/>
    <x v="0"/>
    <x v="0"/>
    <x v="1"/>
    <x v="0"/>
    <x v="1"/>
    <x v="0"/>
    <s v="Medium"/>
    <x v="1"/>
    <x v="0"/>
    <x v="0"/>
    <x v="2"/>
  </r>
  <r>
    <n v="46"/>
    <x v="1"/>
    <s v="Travel_Rarely"/>
    <n v="734"/>
    <x v="1"/>
    <n v="2"/>
    <n v="4"/>
    <s v="Medical"/>
    <n v="1789"/>
    <n v="3"/>
    <x v="1"/>
    <n v="46"/>
    <n v="3"/>
    <n v="5"/>
    <x v="7"/>
    <n v="4"/>
    <x v="2"/>
    <n v="19328"/>
    <n v="7"/>
    <x v="0"/>
    <n v="17"/>
    <n v="3"/>
    <n v="3"/>
    <n v="1"/>
    <n v="24"/>
    <n v="3"/>
    <n v="3"/>
    <n v="2"/>
    <n v="1"/>
    <n v="2"/>
    <n v="2"/>
    <x v="1"/>
    <x v="0"/>
    <x v="2"/>
    <x v="1"/>
    <x v="0"/>
    <x v="4"/>
    <x v="0"/>
    <x v="3"/>
    <s v="Low"/>
    <x v="1"/>
    <x v="1"/>
    <x v="3"/>
    <x v="1"/>
  </r>
  <r>
    <n v="36"/>
    <x v="1"/>
    <s v="Travel_Rarely"/>
    <n v="1383"/>
    <x v="1"/>
    <n v="10"/>
    <n v="3"/>
    <s v="Life Sciences"/>
    <n v="1790"/>
    <n v="4"/>
    <x v="1"/>
    <n v="90"/>
    <n v="3"/>
    <n v="3"/>
    <x v="4"/>
    <n v="1"/>
    <x v="1"/>
    <n v="8321"/>
    <n v="7"/>
    <x v="0"/>
    <n v="13"/>
    <n v="3"/>
    <n v="4"/>
    <n v="1"/>
    <n v="15"/>
    <n v="1"/>
    <n v="3"/>
    <n v="12"/>
    <n v="8"/>
    <n v="5"/>
    <n v="7"/>
    <x v="1"/>
    <x v="0"/>
    <x v="3"/>
    <x v="2"/>
    <x v="0"/>
    <x v="2"/>
    <x v="3"/>
    <x v="1"/>
    <s v="Low"/>
    <x v="1"/>
    <x v="0"/>
    <x v="2"/>
    <x v="4"/>
  </r>
  <r>
    <n v="44"/>
    <x v="0"/>
    <s v="Travel_Frequently"/>
    <n v="429"/>
    <x v="1"/>
    <n v="1"/>
    <n v="2"/>
    <s v="Medical"/>
    <n v="1792"/>
    <n v="3"/>
    <x v="1"/>
    <n v="99"/>
    <n v="3"/>
    <n v="1"/>
    <x v="1"/>
    <n v="2"/>
    <x v="2"/>
    <n v="2342"/>
    <n v="1"/>
    <x v="0"/>
    <n v="12"/>
    <n v="3"/>
    <n v="3"/>
    <n v="3"/>
    <n v="6"/>
    <n v="2"/>
    <n v="2"/>
    <n v="5"/>
    <n v="3"/>
    <n v="2"/>
    <n v="3"/>
    <x v="0"/>
    <x v="0"/>
    <x v="0"/>
    <x v="1"/>
    <x v="0"/>
    <x v="1"/>
    <x v="1"/>
    <x v="3"/>
    <s v="High"/>
    <x v="2"/>
    <x v="0"/>
    <x v="1"/>
    <x v="2"/>
  </r>
  <r>
    <n v="37"/>
    <x v="1"/>
    <s v="Travel_Rarely"/>
    <n v="1239"/>
    <x v="2"/>
    <n v="8"/>
    <n v="2"/>
    <s v="Other"/>
    <n v="1794"/>
    <n v="3"/>
    <x v="1"/>
    <n v="89"/>
    <n v="3"/>
    <n v="2"/>
    <x v="8"/>
    <n v="2"/>
    <x v="2"/>
    <n v="4071"/>
    <n v="2"/>
    <x v="1"/>
    <n v="13"/>
    <n v="3"/>
    <n v="3"/>
    <n v="0"/>
    <n v="19"/>
    <n v="4"/>
    <n v="2"/>
    <n v="10"/>
    <n v="0"/>
    <n v="4"/>
    <n v="7"/>
    <x v="1"/>
    <x v="1"/>
    <x v="0"/>
    <x v="1"/>
    <x v="0"/>
    <x v="0"/>
    <x v="1"/>
    <x v="3"/>
    <s v="No Options"/>
    <x v="2"/>
    <x v="0"/>
    <x v="0"/>
    <x v="0"/>
  </r>
  <r>
    <n v="35"/>
    <x v="0"/>
    <s v="Travel_Rarely"/>
    <n v="303"/>
    <x v="0"/>
    <n v="27"/>
    <n v="3"/>
    <s v="Life Sciences"/>
    <n v="1797"/>
    <n v="3"/>
    <x v="1"/>
    <n v="84"/>
    <n v="3"/>
    <n v="2"/>
    <x v="0"/>
    <n v="4"/>
    <x v="0"/>
    <n v="5813"/>
    <n v="1"/>
    <x v="0"/>
    <n v="18"/>
    <n v="3"/>
    <n v="4"/>
    <n v="0"/>
    <n v="10"/>
    <n v="2"/>
    <n v="3"/>
    <n v="10"/>
    <n v="7"/>
    <n v="7"/>
    <n v="7"/>
    <x v="0"/>
    <x v="0"/>
    <x v="3"/>
    <x v="1"/>
    <x v="0"/>
    <x v="0"/>
    <x v="0"/>
    <x v="1"/>
    <s v="No Options"/>
    <x v="1"/>
    <x v="0"/>
    <x v="0"/>
    <x v="0"/>
  </r>
  <r>
    <n v="33"/>
    <x v="1"/>
    <s v="Travel_Rarely"/>
    <n v="867"/>
    <x v="1"/>
    <n v="8"/>
    <n v="4"/>
    <s v="Life Sciences"/>
    <n v="1798"/>
    <n v="4"/>
    <x v="1"/>
    <n v="90"/>
    <n v="4"/>
    <n v="1"/>
    <x v="1"/>
    <n v="1"/>
    <x v="1"/>
    <n v="3143"/>
    <n v="6"/>
    <x v="1"/>
    <n v="19"/>
    <n v="3"/>
    <n v="2"/>
    <n v="1"/>
    <n v="14"/>
    <n v="1"/>
    <n v="3"/>
    <n v="10"/>
    <n v="8"/>
    <n v="7"/>
    <n v="6"/>
    <x v="1"/>
    <x v="1"/>
    <x v="2"/>
    <x v="2"/>
    <x v="2"/>
    <x v="1"/>
    <x v="3"/>
    <x v="2"/>
    <s v="Low"/>
    <x v="1"/>
    <x v="2"/>
    <x v="0"/>
    <x v="0"/>
  </r>
  <r>
    <n v="28"/>
    <x v="1"/>
    <s v="Travel_Rarely"/>
    <n v="1181"/>
    <x v="1"/>
    <n v="1"/>
    <n v="3"/>
    <s v="Life Sciences"/>
    <n v="1799"/>
    <n v="3"/>
    <x v="1"/>
    <n v="82"/>
    <n v="3"/>
    <n v="1"/>
    <x v="1"/>
    <n v="4"/>
    <x v="1"/>
    <n v="2044"/>
    <n v="1"/>
    <x v="1"/>
    <n v="11"/>
    <n v="3"/>
    <n v="3"/>
    <n v="1"/>
    <n v="5"/>
    <n v="6"/>
    <n v="4"/>
    <n v="5"/>
    <n v="3"/>
    <n v="0"/>
    <n v="3"/>
    <x v="1"/>
    <x v="1"/>
    <x v="3"/>
    <x v="1"/>
    <x v="0"/>
    <x v="1"/>
    <x v="0"/>
    <x v="3"/>
    <s v="Low"/>
    <x v="3"/>
    <x v="2"/>
    <x v="1"/>
    <x v="2"/>
  </r>
  <r>
    <n v="39"/>
    <x v="1"/>
    <s v="Travel_Rarely"/>
    <n v="1253"/>
    <x v="1"/>
    <n v="10"/>
    <n v="1"/>
    <s v="Medical"/>
    <n v="1800"/>
    <n v="3"/>
    <x v="1"/>
    <n v="65"/>
    <n v="3"/>
    <n v="3"/>
    <x v="7"/>
    <n v="3"/>
    <x v="0"/>
    <n v="13464"/>
    <n v="7"/>
    <x v="1"/>
    <n v="21"/>
    <n v="4"/>
    <n v="3"/>
    <n v="0"/>
    <n v="9"/>
    <n v="3"/>
    <n v="3"/>
    <n v="4"/>
    <n v="3"/>
    <n v="2"/>
    <n v="2"/>
    <x v="1"/>
    <x v="1"/>
    <x v="1"/>
    <x v="1"/>
    <x v="0"/>
    <x v="2"/>
    <x v="2"/>
    <x v="3"/>
    <s v="No Options"/>
    <x v="1"/>
    <x v="0"/>
    <x v="3"/>
    <x v="2"/>
  </r>
  <r>
    <n v="46"/>
    <x v="1"/>
    <s v="Non-Travel"/>
    <n v="849"/>
    <x v="0"/>
    <n v="26"/>
    <n v="2"/>
    <s v="Life Sciences"/>
    <n v="1801"/>
    <n v="2"/>
    <x v="1"/>
    <n v="98"/>
    <n v="2"/>
    <n v="2"/>
    <x v="0"/>
    <n v="2"/>
    <x v="0"/>
    <n v="7991"/>
    <n v="8"/>
    <x v="1"/>
    <n v="15"/>
    <n v="3"/>
    <n v="3"/>
    <n v="0"/>
    <n v="6"/>
    <n v="3"/>
    <n v="3"/>
    <n v="2"/>
    <n v="2"/>
    <n v="2"/>
    <n v="2"/>
    <x v="1"/>
    <x v="1"/>
    <x v="0"/>
    <x v="0"/>
    <x v="1"/>
    <x v="0"/>
    <x v="1"/>
    <x v="3"/>
    <s v="No Options"/>
    <x v="1"/>
    <x v="1"/>
    <x v="2"/>
    <x v="1"/>
  </r>
  <r>
    <n v="40"/>
    <x v="1"/>
    <s v="Travel_Rarely"/>
    <n v="616"/>
    <x v="1"/>
    <n v="2"/>
    <n v="2"/>
    <s v="Life Sciences"/>
    <n v="1802"/>
    <n v="3"/>
    <x v="0"/>
    <n v="99"/>
    <n v="3"/>
    <n v="1"/>
    <x v="2"/>
    <n v="1"/>
    <x v="1"/>
    <n v="3377"/>
    <n v="4"/>
    <x v="1"/>
    <n v="17"/>
    <n v="3"/>
    <n v="4"/>
    <n v="1"/>
    <n v="7"/>
    <n v="5"/>
    <n v="2"/>
    <n v="4"/>
    <n v="3"/>
    <n v="0"/>
    <n v="2"/>
    <x v="1"/>
    <x v="1"/>
    <x v="0"/>
    <x v="1"/>
    <x v="0"/>
    <x v="1"/>
    <x v="3"/>
    <x v="1"/>
    <s v="Low"/>
    <x v="2"/>
    <x v="0"/>
    <x v="0"/>
    <x v="2"/>
  </r>
  <r>
    <n v="42"/>
    <x v="1"/>
    <s v="Travel_Rarely"/>
    <n v="1128"/>
    <x v="1"/>
    <n v="13"/>
    <n v="3"/>
    <s v="Medical"/>
    <n v="1803"/>
    <n v="2"/>
    <x v="1"/>
    <n v="95"/>
    <n v="4"/>
    <n v="2"/>
    <x v="4"/>
    <n v="1"/>
    <x v="1"/>
    <n v="5538"/>
    <n v="5"/>
    <x v="1"/>
    <n v="18"/>
    <n v="3"/>
    <n v="3"/>
    <n v="2"/>
    <n v="10"/>
    <n v="2"/>
    <n v="2"/>
    <n v="0"/>
    <n v="0"/>
    <n v="0"/>
    <n v="0"/>
    <x v="1"/>
    <x v="1"/>
    <x v="3"/>
    <x v="0"/>
    <x v="2"/>
    <x v="0"/>
    <x v="3"/>
    <x v="3"/>
    <s v="Medium"/>
    <x v="2"/>
    <x v="0"/>
    <x v="0"/>
    <x v="1"/>
  </r>
  <r>
    <n v="35"/>
    <x v="1"/>
    <s v="Non-Travel"/>
    <n v="1180"/>
    <x v="1"/>
    <n v="2"/>
    <n v="2"/>
    <s v="Medical"/>
    <n v="1804"/>
    <n v="2"/>
    <x v="1"/>
    <n v="90"/>
    <n v="3"/>
    <n v="2"/>
    <x v="3"/>
    <n v="4"/>
    <x v="2"/>
    <n v="5762"/>
    <n v="2"/>
    <x v="1"/>
    <n v="14"/>
    <n v="3"/>
    <n v="3"/>
    <n v="1"/>
    <n v="15"/>
    <n v="6"/>
    <n v="3"/>
    <n v="7"/>
    <n v="7"/>
    <n v="1"/>
    <n v="7"/>
    <x v="1"/>
    <x v="1"/>
    <x v="0"/>
    <x v="0"/>
    <x v="0"/>
    <x v="0"/>
    <x v="0"/>
    <x v="3"/>
    <s v="Low"/>
    <x v="1"/>
    <x v="0"/>
    <x v="0"/>
    <x v="0"/>
  </r>
  <r>
    <n v="38"/>
    <x v="1"/>
    <s v="Non-Travel"/>
    <n v="1336"/>
    <x v="2"/>
    <n v="2"/>
    <n v="3"/>
    <s v="Human Resources"/>
    <n v="1805"/>
    <n v="1"/>
    <x v="1"/>
    <n v="100"/>
    <n v="3"/>
    <n v="1"/>
    <x v="8"/>
    <n v="2"/>
    <x v="2"/>
    <n v="2592"/>
    <n v="5"/>
    <x v="1"/>
    <n v="13"/>
    <n v="3"/>
    <n v="4"/>
    <n v="3"/>
    <n v="13"/>
    <n v="3"/>
    <n v="3"/>
    <n v="11"/>
    <n v="10"/>
    <n v="3"/>
    <n v="8"/>
    <x v="1"/>
    <x v="1"/>
    <x v="3"/>
    <x v="3"/>
    <x v="0"/>
    <x v="1"/>
    <x v="1"/>
    <x v="1"/>
    <s v="High"/>
    <x v="1"/>
    <x v="0"/>
    <x v="1"/>
    <x v="4"/>
  </r>
  <r>
    <n v="34"/>
    <x v="0"/>
    <s v="Travel_Frequently"/>
    <n v="234"/>
    <x v="1"/>
    <n v="9"/>
    <n v="4"/>
    <s v="Life Sciences"/>
    <n v="1807"/>
    <n v="4"/>
    <x v="1"/>
    <n v="93"/>
    <n v="3"/>
    <n v="2"/>
    <x v="2"/>
    <n v="1"/>
    <x v="1"/>
    <n v="5346"/>
    <n v="4"/>
    <x v="1"/>
    <n v="17"/>
    <n v="3"/>
    <n v="3"/>
    <n v="1"/>
    <n v="11"/>
    <n v="3"/>
    <n v="2"/>
    <n v="7"/>
    <n v="1"/>
    <n v="0"/>
    <n v="7"/>
    <x v="0"/>
    <x v="1"/>
    <x v="2"/>
    <x v="2"/>
    <x v="0"/>
    <x v="0"/>
    <x v="3"/>
    <x v="3"/>
    <s v="Low"/>
    <x v="2"/>
    <x v="2"/>
    <x v="0"/>
    <x v="0"/>
  </r>
  <r>
    <n v="37"/>
    <x v="0"/>
    <s v="Travel_Rarely"/>
    <n v="370"/>
    <x v="1"/>
    <n v="10"/>
    <n v="4"/>
    <s v="Medical"/>
    <n v="1809"/>
    <n v="4"/>
    <x v="1"/>
    <n v="58"/>
    <n v="3"/>
    <n v="2"/>
    <x v="3"/>
    <n v="1"/>
    <x v="0"/>
    <n v="4213"/>
    <n v="1"/>
    <x v="1"/>
    <n v="15"/>
    <n v="3"/>
    <n v="2"/>
    <n v="0"/>
    <n v="10"/>
    <n v="4"/>
    <n v="1"/>
    <n v="10"/>
    <n v="3"/>
    <n v="0"/>
    <n v="8"/>
    <x v="0"/>
    <x v="1"/>
    <x v="2"/>
    <x v="2"/>
    <x v="0"/>
    <x v="0"/>
    <x v="3"/>
    <x v="2"/>
    <s v="No Options"/>
    <x v="0"/>
    <x v="0"/>
    <x v="0"/>
    <x v="0"/>
  </r>
  <r>
    <n v="39"/>
    <x v="1"/>
    <s v="Travel_Frequently"/>
    <n v="766"/>
    <x v="0"/>
    <n v="20"/>
    <n v="3"/>
    <s v="Life Sciences"/>
    <n v="1812"/>
    <n v="3"/>
    <x v="1"/>
    <n v="83"/>
    <n v="3"/>
    <n v="2"/>
    <x v="0"/>
    <n v="4"/>
    <x v="2"/>
    <n v="4127"/>
    <n v="2"/>
    <x v="1"/>
    <n v="18"/>
    <n v="3"/>
    <n v="4"/>
    <n v="1"/>
    <n v="7"/>
    <n v="6"/>
    <n v="3"/>
    <n v="2"/>
    <n v="1"/>
    <n v="2"/>
    <n v="2"/>
    <x v="1"/>
    <x v="1"/>
    <x v="3"/>
    <x v="1"/>
    <x v="0"/>
    <x v="0"/>
    <x v="0"/>
    <x v="1"/>
    <s v="Low"/>
    <x v="1"/>
    <x v="0"/>
    <x v="0"/>
    <x v="1"/>
  </r>
  <r>
    <n v="43"/>
    <x v="1"/>
    <s v="Non-Travel"/>
    <n v="343"/>
    <x v="1"/>
    <n v="9"/>
    <n v="3"/>
    <s v="Life Sciences"/>
    <n v="1813"/>
    <n v="1"/>
    <x v="1"/>
    <n v="52"/>
    <n v="3"/>
    <n v="1"/>
    <x v="1"/>
    <n v="3"/>
    <x v="0"/>
    <n v="2438"/>
    <n v="4"/>
    <x v="1"/>
    <n v="13"/>
    <n v="3"/>
    <n v="3"/>
    <n v="0"/>
    <n v="7"/>
    <n v="2"/>
    <n v="2"/>
    <n v="3"/>
    <n v="2"/>
    <n v="1"/>
    <n v="2"/>
    <x v="1"/>
    <x v="1"/>
    <x v="3"/>
    <x v="3"/>
    <x v="0"/>
    <x v="1"/>
    <x v="2"/>
    <x v="3"/>
    <s v="No Options"/>
    <x v="2"/>
    <x v="0"/>
    <x v="1"/>
    <x v="2"/>
  </r>
  <r>
    <n v="41"/>
    <x v="1"/>
    <s v="Travel_Rarely"/>
    <n v="447"/>
    <x v="1"/>
    <n v="5"/>
    <n v="3"/>
    <s v="Life Sciences"/>
    <n v="1814"/>
    <n v="2"/>
    <x v="1"/>
    <n v="85"/>
    <n v="4"/>
    <n v="2"/>
    <x v="4"/>
    <n v="2"/>
    <x v="0"/>
    <n v="6870"/>
    <n v="3"/>
    <x v="1"/>
    <n v="12"/>
    <n v="3"/>
    <n v="1"/>
    <n v="0"/>
    <n v="11"/>
    <n v="3"/>
    <n v="1"/>
    <n v="3"/>
    <n v="2"/>
    <n v="1"/>
    <n v="2"/>
    <x v="1"/>
    <x v="1"/>
    <x v="3"/>
    <x v="0"/>
    <x v="2"/>
    <x v="0"/>
    <x v="1"/>
    <x v="0"/>
    <s v="No Options"/>
    <x v="0"/>
    <x v="0"/>
    <x v="0"/>
    <x v="2"/>
  </r>
  <r>
    <n v="41"/>
    <x v="1"/>
    <s v="Travel_Rarely"/>
    <n v="796"/>
    <x v="0"/>
    <n v="4"/>
    <n v="1"/>
    <s v="Marketing"/>
    <n v="1815"/>
    <n v="3"/>
    <x v="0"/>
    <n v="81"/>
    <n v="3"/>
    <n v="3"/>
    <x v="0"/>
    <n v="3"/>
    <x v="2"/>
    <n v="10447"/>
    <n v="0"/>
    <x v="0"/>
    <n v="13"/>
    <n v="3"/>
    <n v="4"/>
    <n v="1"/>
    <n v="23"/>
    <n v="3"/>
    <n v="4"/>
    <n v="22"/>
    <n v="14"/>
    <n v="13"/>
    <n v="5"/>
    <x v="1"/>
    <x v="0"/>
    <x v="1"/>
    <x v="1"/>
    <x v="0"/>
    <x v="2"/>
    <x v="2"/>
    <x v="1"/>
    <s v="Low"/>
    <x v="3"/>
    <x v="0"/>
    <x v="2"/>
    <x v="3"/>
  </r>
  <r>
    <n v="30"/>
    <x v="1"/>
    <s v="Travel_Rarely"/>
    <n v="1092"/>
    <x v="1"/>
    <n v="10"/>
    <n v="3"/>
    <s v="Medical"/>
    <n v="1816"/>
    <n v="1"/>
    <x v="0"/>
    <n v="64"/>
    <n v="3"/>
    <n v="3"/>
    <x v="3"/>
    <n v="3"/>
    <x v="0"/>
    <n v="9667"/>
    <n v="9"/>
    <x v="1"/>
    <n v="14"/>
    <n v="3"/>
    <n v="2"/>
    <n v="0"/>
    <n v="9"/>
    <n v="3"/>
    <n v="3"/>
    <n v="7"/>
    <n v="7"/>
    <n v="0"/>
    <n v="2"/>
    <x v="1"/>
    <x v="1"/>
    <x v="3"/>
    <x v="3"/>
    <x v="0"/>
    <x v="2"/>
    <x v="2"/>
    <x v="2"/>
    <s v="No Options"/>
    <x v="1"/>
    <x v="2"/>
    <x v="2"/>
    <x v="0"/>
  </r>
  <r>
    <n v="26"/>
    <x v="0"/>
    <s v="Travel_Rarely"/>
    <n v="920"/>
    <x v="2"/>
    <n v="20"/>
    <n v="2"/>
    <s v="Medical"/>
    <n v="1818"/>
    <n v="4"/>
    <x v="0"/>
    <n v="69"/>
    <n v="3"/>
    <n v="1"/>
    <x v="8"/>
    <n v="2"/>
    <x v="1"/>
    <n v="2148"/>
    <n v="0"/>
    <x v="0"/>
    <n v="11"/>
    <n v="3"/>
    <n v="3"/>
    <n v="0"/>
    <n v="6"/>
    <n v="3"/>
    <n v="3"/>
    <n v="5"/>
    <n v="1"/>
    <n v="1"/>
    <n v="4"/>
    <x v="0"/>
    <x v="0"/>
    <x v="0"/>
    <x v="2"/>
    <x v="0"/>
    <x v="1"/>
    <x v="1"/>
    <x v="3"/>
    <s v="No Options"/>
    <x v="1"/>
    <x v="2"/>
    <x v="1"/>
    <x v="2"/>
  </r>
  <r>
    <n v="46"/>
    <x v="0"/>
    <s v="Travel_Rarely"/>
    <n v="261"/>
    <x v="1"/>
    <n v="21"/>
    <n v="2"/>
    <s v="Medical"/>
    <n v="1821"/>
    <n v="4"/>
    <x v="0"/>
    <n v="66"/>
    <n v="3"/>
    <n v="2"/>
    <x v="4"/>
    <n v="2"/>
    <x v="1"/>
    <n v="8926"/>
    <n v="4"/>
    <x v="1"/>
    <n v="22"/>
    <n v="4"/>
    <n v="4"/>
    <n v="1"/>
    <n v="13"/>
    <n v="2"/>
    <n v="4"/>
    <n v="9"/>
    <n v="7"/>
    <n v="3"/>
    <n v="7"/>
    <x v="0"/>
    <x v="1"/>
    <x v="0"/>
    <x v="2"/>
    <x v="0"/>
    <x v="0"/>
    <x v="1"/>
    <x v="1"/>
    <s v="Low"/>
    <x v="3"/>
    <x v="1"/>
    <x v="2"/>
    <x v="0"/>
  </r>
  <r>
    <n v="40"/>
    <x v="1"/>
    <s v="Travel_Rarely"/>
    <n v="1194"/>
    <x v="1"/>
    <n v="1"/>
    <n v="3"/>
    <s v="Life Sciences"/>
    <n v="1822"/>
    <n v="3"/>
    <x v="0"/>
    <n v="52"/>
    <n v="3"/>
    <n v="2"/>
    <x v="4"/>
    <n v="4"/>
    <x v="2"/>
    <n v="6513"/>
    <n v="4"/>
    <x v="1"/>
    <n v="17"/>
    <n v="3"/>
    <n v="4"/>
    <n v="1"/>
    <n v="12"/>
    <n v="3"/>
    <n v="3"/>
    <n v="5"/>
    <n v="3"/>
    <n v="0"/>
    <n v="3"/>
    <x v="1"/>
    <x v="1"/>
    <x v="3"/>
    <x v="1"/>
    <x v="0"/>
    <x v="0"/>
    <x v="0"/>
    <x v="1"/>
    <s v="Low"/>
    <x v="1"/>
    <x v="0"/>
    <x v="0"/>
    <x v="2"/>
  </r>
  <r>
    <n v="34"/>
    <x v="1"/>
    <s v="Travel_Rarely"/>
    <n v="810"/>
    <x v="0"/>
    <n v="8"/>
    <n v="2"/>
    <s v="Technical Degree"/>
    <n v="1823"/>
    <n v="2"/>
    <x v="1"/>
    <n v="92"/>
    <n v="4"/>
    <n v="2"/>
    <x v="0"/>
    <n v="3"/>
    <x v="1"/>
    <n v="6799"/>
    <n v="1"/>
    <x v="1"/>
    <n v="21"/>
    <n v="4"/>
    <n v="3"/>
    <n v="2"/>
    <n v="10"/>
    <n v="5"/>
    <n v="3"/>
    <n v="10"/>
    <n v="8"/>
    <n v="4"/>
    <n v="8"/>
    <x v="1"/>
    <x v="1"/>
    <x v="0"/>
    <x v="0"/>
    <x v="2"/>
    <x v="0"/>
    <x v="2"/>
    <x v="3"/>
    <s v="Medium"/>
    <x v="1"/>
    <x v="2"/>
    <x v="0"/>
    <x v="0"/>
  </r>
  <r>
    <n v="58"/>
    <x v="1"/>
    <s v="Non-Travel"/>
    <n v="350"/>
    <x v="0"/>
    <n v="2"/>
    <n v="3"/>
    <s v="Medical"/>
    <n v="1824"/>
    <n v="2"/>
    <x v="1"/>
    <n v="52"/>
    <n v="3"/>
    <n v="4"/>
    <x v="5"/>
    <n v="2"/>
    <x v="2"/>
    <n v="16291"/>
    <n v="4"/>
    <x v="1"/>
    <n v="22"/>
    <n v="4"/>
    <n v="4"/>
    <n v="1"/>
    <n v="37"/>
    <n v="0"/>
    <n v="2"/>
    <n v="16"/>
    <n v="9"/>
    <n v="14"/>
    <n v="14"/>
    <x v="1"/>
    <x v="1"/>
    <x v="3"/>
    <x v="0"/>
    <x v="0"/>
    <x v="3"/>
    <x v="1"/>
    <x v="1"/>
    <s v="Low"/>
    <x v="2"/>
    <x v="3"/>
    <x v="3"/>
    <x v="4"/>
  </r>
  <r>
    <n v="35"/>
    <x v="1"/>
    <s v="Travel_Rarely"/>
    <n v="185"/>
    <x v="1"/>
    <n v="23"/>
    <n v="4"/>
    <s v="Medical"/>
    <n v="1826"/>
    <n v="2"/>
    <x v="1"/>
    <n v="91"/>
    <n v="1"/>
    <n v="1"/>
    <x v="2"/>
    <n v="3"/>
    <x v="1"/>
    <n v="2705"/>
    <n v="0"/>
    <x v="1"/>
    <n v="16"/>
    <n v="3"/>
    <n v="2"/>
    <n v="1"/>
    <n v="6"/>
    <n v="2"/>
    <n v="4"/>
    <n v="5"/>
    <n v="4"/>
    <n v="0"/>
    <n v="3"/>
    <x v="1"/>
    <x v="1"/>
    <x v="2"/>
    <x v="0"/>
    <x v="3"/>
    <x v="1"/>
    <x v="2"/>
    <x v="2"/>
    <s v="Low"/>
    <x v="3"/>
    <x v="0"/>
    <x v="1"/>
    <x v="2"/>
  </r>
  <r>
    <n v="47"/>
    <x v="1"/>
    <s v="Travel_Rarely"/>
    <n v="1001"/>
    <x v="1"/>
    <n v="4"/>
    <n v="3"/>
    <s v="Life Sciences"/>
    <n v="1827"/>
    <n v="3"/>
    <x v="0"/>
    <n v="92"/>
    <n v="2"/>
    <n v="3"/>
    <x v="3"/>
    <n v="2"/>
    <x v="2"/>
    <n v="10333"/>
    <n v="8"/>
    <x v="0"/>
    <n v="12"/>
    <n v="3"/>
    <n v="3"/>
    <n v="1"/>
    <n v="28"/>
    <n v="4"/>
    <n v="3"/>
    <n v="22"/>
    <n v="11"/>
    <n v="14"/>
    <n v="10"/>
    <x v="1"/>
    <x v="0"/>
    <x v="3"/>
    <x v="1"/>
    <x v="1"/>
    <x v="2"/>
    <x v="1"/>
    <x v="3"/>
    <s v="Low"/>
    <x v="1"/>
    <x v="1"/>
    <x v="2"/>
    <x v="3"/>
  </r>
  <r>
    <n v="40"/>
    <x v="1"/>
    <s v="Travel_Rarely"/>
    <n v="750"/>
    <x v="1"/>
    <n v="12"/>
    <n v="3"/>
    <s v="Life Sciences"/>
    <n v="1829"/>
    <n v="2"/>
    <x v="0"/>
    <n v="47"/>
    <n v="3"/>
    <n v="2"/>
    <x v="4"/>
    <n v="1"/>
    <x v="2"/>
    <n v="4448"/>
    <n v="2"/>
    <x v="1"/>
    <n v="12"/>
    <n v="3"/>
    <n v="2"/>
    <n v="1"/>
    <n v="15"/>
    <n v="3"/>
    <n v="3"/>
    <n v="7"/>
    <n v="4"/>
    <n v="7"/>
    <n v="7"/>
    <x v="1"/>
    <x v="1"/>
    <x v="3"/>
    <x v="0"/>
    <x v="0"/>
    <x v="0"/>
    <x v="3"/>
    <x v="2"/>
    <s v="Low"/>
    <x v="1"/>
    <x v="0"/>
    <x v="0"/>
    <x v="0"/>
  </r>
  <r>
    <n v="54"/>
    <x v="1"/>
    <s v="Travel_Rarely"/>
    <n v="431"/>
    <x v="1"/>
    <n v="7"/>
    <n v="4"/>
    <s v="Medical"/>
    <n v="1830"/>
    <n v="4"/>
    <x v="0"/>
    <n v="68"/>
    <n v="3"/>
    <n v="2"/>
    <x v="1"/>
    <n v="4"/>
    <x v="1"/>
    <n v="6854"/>
    <n v="4"/>
    <x v="1"/>
    <n v="15"/>
    <n v="3"/>
    <n v="2"/>
    <n v="1"/>
    <n v="14"/>
    <n v="2"/>
    <n v="2"/>
    <n v="7"/>
    <n v="1"/>
    <n v="1"/>
    <n v="7"/>
    <x v="1"/>
    <x v="1"/>
    <x v="2"/>
    <x v="2"/>
    <x v="0"/>
    <x v="0"/>
    <x v="0"/>
    <x v="2"/>
    <s v="Low"/>
    <x v="2"/>
    <x v="1"/>
    <x v="0"/>
    <x v="0"/>
  </r>
  <r>
    <n v="31"/>
    <x v="1"/>
    <s v="Travel_Frequently"/>
    <n v="1125"/>
    <x v="0"/>
    <n v="7"/>
    <n v="4"/>
    <s v="Marketing"/>
    <n v="1833"/>
    <n v="1"/>
    <x v="0"/>
    <n v="68"/>
    <n v="3"/>
    <n v="3"/>
    <x v="0"/>
    <n v="1"/>
    <x v="1"/>
    <n v="9637"/>
    <n v="2"/>
    <x v="1"/>
    <n v="14"/>
    <n v="3"/>
    <n v="4"/>
    <n v="2"/>
    <n v="9"/>
    <n v="3"/>
    <n v="3"/>
    <n v="3"/>
    <n v="2"/>
    <n v="2"/>
    <n v="2"/>
    <x v="1"/>
    <x v="1"/>
    <x v="2"/>
    <x v="3"/>
    <x v="0"/>
    <x v="2"/>
    <x v="3"/>
    <x v="1"/>
    <s v="Medium"/>
    <x v="1"/>
    <x v="2"/>
    <x v="2"/>
    <x v="2"/>
  </r>
  <r>
    <n v="28"/>
    <x v="1"/>
    <s v="Travel_Rarely"/>
    <n v="1217"/>
    <x v="1"/>
    <n v="1"/>
    <n v="3"/>
    <s v="Medical"/>
    <n v="1834"/>
    <n v="3"/>
    <x v="0"/>
    <n v="67"/>
    <n v="3"/>
    <n v="1"/>
    <x v="1"/>
    <n v="1"/>
    <x v="1"/>
    <n v="3591"/>
    <n v="1"/>
    <x v="1"/>
    <n v="25"/>
    <n v="4"/>
    <n v="3"/>
    <n v="1"/>
    <n v="3"/>
    <n v="3"/>
    <n v="3"/>
    <n v="3"/>
    <n v="2"/>
    <n v="1"/>
    <n v="2"/>
    <x v="1"/>
    <x v="1"/>
    <x v="3"/>
    <x v="1"/>
    <x v="0"/>
    <x v="1"/>
    <x v="3"/>
    <x v="3"/>
    <s v="Low"/>
    <x v="1"/>
    <x v="2"/>
    <x v="0"/>
    <x v="2"/>
  </r>
  <r>
    <n v="38"/>
    <x v="1"/>
    <s v="Travel_Rarely"/>
    <n v="723"/>
    <x v="0"/>
    <n v="2"/>
    <n v="4"/>
    <s v="Marketing"/>
    <n v="1835"/>
    <n v="2"/>
    <x v="0"/>
    <n v="77"/>
    <n v="1"/>
    <n v="2"/>
    <x v="6"/>
    <n v="4"/>
    <x v="1"/>
    <n v="5405"/>
    <n v="2"/>
    <x v="0"/>
    <n v="20"/>
    <n v="4"/>
    <n v="1"/>
    <n v="2"/>
    <n v="20"/>
    <n v="4"/>
    <n v="2"/>
    <n v="4"/>
    <n v="2"/>
    <n v="0"/>
    <n v="3"/>
    <x v="1"/>
    <x v="0"/>
    <x v="2"/>
    <x v="0"/>
    <x v="3"/>
    <x v="0"/>
    <x v="0"/>
    <x v="0"/>
    <s v="Medium"/>
    <x v="2"/>
    <x v="0"/>
    <x v="0"/>
    <x v="2"/>
  </r>
  <r>
    <n v="26"/>
    <x v="1"/>
    <s v="Travel_Rarely"/>
    <n v="572"/>
    <x v="0"/>
    <n v="10"/>
    <n v="3"/>
    <s v="Medical"/>
    <n v="1836"/>
    <n v="3"/>
    <x v="1"/>
    <n v="46"/>
    <n v="3"/>
    <n v="2"/>
    <x v="0"/>
    <n v="4"/>
    <x v="0"/>
    <n v="4684"/>
    <n v="1"/>
    <x v="1"/>
    <n v="13"/>
    <n v="3"/>
    <n v="1"/>
    <n v="0"/>
    <n v="5"/>
    <n v="4"/>
    <n v="3"/>
    <n v="5"/>
    <n v="3"/>
    <n v="1"/>
    <n v="2"/>
    <x v="1"/>
    <x v="1"/>
    <x v="3"/>
    <x v="1"/>
    <x v="0"/>
    <x v="0"/>
    <x v="0"/>
    <x v="0"/>
    <s v="No Options"/>
    <x v="1"/>
    <x v="2"/>
    <x v="0"/>
    <x v="2"/>
  </r>
  <r>
    <n v="58"/>
    <x v="1"/>
    <s v="Travel_Frequently"/>
    <n v="1216"/>
    <x v="1"/>
    <n v="15"/>
    <n v="4"/>
    <s v="Life Sciences"/>
    <n v="1837"/>
    <n v="1"/>
    <x v="1"/>
    <n v="87"/>
    <n v="3"/>
    <n v="4"/>
    <x v="7"/>
    <n v="3"/>
    <x v="1"/>
    <n v="15787"/>
    <n v="2"/>
    <x v="0"/>
    <n v="14"/>
    <n v="3"/>
    <n v="2"/>
    <n v="0"/>
    <n v="23"/>
    <n v="3"/>
    <n v="3"/>
    <n v="2"/>
    <n v="2"/>
    <n v="2"/>
    <n v="2"/>
    <x v="1"/>
    <x v="0"/>
    <x v="2"/>
    <x v="3"/>
    <x v="0"/>
    <x v="3"/>
    <x v="2"/>
    <x v="2"/>
    <s v="No Options"/>
    <x v="1"/>
    <x v="3"/>
    <x v="3"/>
    <x v="1"/>
  </r>
  <r>
    <n v="18"/>
    <x v="1"/>
    <s v="Non-Travel"/>
    <n v="1431"/>
    <x v="1"/>
    <n v="14"/>
    <n v="3"/>
    <s v="Medical"/>
    <n v="1839"/>
    <n v="2"/>
    <x v="0"/>
    <n v="33"/>
    <n v="3"/>
    <n v="1"/>
    <x v="1"/>
    <n v="3"/>
    <x v="0"/>
    <n v="1514"/>
    <n v="1"/>
    <x v="1"/>
    <n v="16"/>
    <n v="3"/>
    <n v="3"/>
    <n v="0"/>
    <n v="0"/>
    <n v="4"/>
    <n v="1"/>
    <n v="0"/>
    <n v="0"/>
    <n v="0"/>
    <n v="0"/>
    <x v="1"/>
    <x v="1"/>
    <x v="3"/>
    <x v="0"/>
    <x v="0"/>
    <x v="1"/>
    <x v="2"/>
    <x v="3"/>
    <s v="No Options"/>
    <x v="0"/>
    <x v="4"/>
    <x v="1"/>
    <x v="1"/>
  </r>
  <r>
    <n v="31"/>
    <x v="0"/>
    <s v="Travel_Rarely"/>
    <n v="359"/>
    <x v="2"/>
    <n v="18"/>
    <n v="5"/>
    <s v="Human Resources"/>
    <n v="1842"/>
    <n v="4"/>
    <x v="1"/>
    <n v="89"/>
    <n v="4"/>
    <n v="1"/>
    <x v="8"/>
    <n v="1"/>
    <x v="1"/>
    <n v="2956"/>
    <n v="0"/>
    <x v="1"/>
    <n v="17"/>
    <n v="3"/>
    <n v="3"/>
    <n v="0"/>
    <n v="2"/>
    <n v="4"/>
    <n v="3"/>
    <n v="1"/>
    <n v="0"/>
    <n v="0"/>
    <n v="0"/>
    <x v="0"/>
    <x v="1"/>
    <x v="4"/>
    <x v="2"/>
    <x v="2"/>
    <x v="1"/>
    <x v="3"/>
    <x v="3"/>
    <s v="No Options"/>
    <x v="1"/>
    <x v="2"/>
    <x v="1"/>
    <x v="1"/>
  </r>
  <r>
    <n v="29"/>
    <x v="0"/>
    <s v="Travel_Rarely"/>
    <n v="350"/>
    <x v="2"/>
    <n v="13"/>
    <n v="3"/>
    <s v="Human Resources"/>
    <n v="1844"/>
    <n v="1"/>
    <x v="1"/>
    <n v="56"/>
    <n v="2"/>
    <n v="1"/>
    <x v="8"/>
    <n v="1"/>
    <x v="2"/>
    <n v="2335"/>
    <n v="4"/>
    <x v="0"/>
    <n v="15"/>
    <n v="3"/>
    <n v="4"/>
    <n v="3"/>
    <n v="4"/>
    <n v="3"/>
    <n v="3"/>
    <n v="2"/>
    <n v="2"/>
    <n v="2"/>
    <n v="0"/>
    <x v="0"/>
    <x v="0"/>
    <x v="3"/>
    <x v="3"/>
    <x v="1"/>
    <x v="1"/>
    <x v="3"/>
    <x v="1"/>
    <s v="High"/>
    <x v="1"/>
    <x v="2"/>
    <x v="1"/>
    <x v="1"/>
  </r>
  <r>
    <n v="45"/>
    <x v="1"/>
    <s v="Non-Travel"/>
    <n v="589"/>
    <x v="0"/>
    <n v="2"/>
    <n v="4"/>
    <s v="Life Sciences"/>
    <n v="1845"/>
    <n v="3"/>
    <x v="0"/>
    <n v="67"/>
    <n v="3"/>
    <n v="2"/>
    <x v="0"/>
    <n v="3"/>
    <x v="1"/>
    <n v="5154"/>
    <n v="4"/>
    <x v="1"/>
    <n v="22"/>
    <n v="4"/>
    <n v="2"/>
    <n v="2"/>
    <n v="10"/>
    <n v="3"/>
    <n v="4"/>
    <n v="8"/>
    <n v="7"/>
    <n v="5"/>
    <n v="7"/>
    <x v="1"/>
    <x v="1"/>
    <x v="2"/>
    <x v="1"/>
    <x v="0"/>
    <x v="0"/>
    <x v="2"/>
    <x v="2"/>
    <s v="Medium"/>
    <x v="3"/>
    <x v="1"/>
    <x v="0"/>
    <x v="0"/>
  </r>
  <r>
    <n v="36"/>
    <x v="1"/>
    <s v="Travel_Rarely"/>
    <n v="430"/>
    <x v="1"/>
    <n v="2"/>
    <n v="4"/>
    <s v="Other"/>
    <n v="1847"/>
    <n v="4"/>
    <x v="0"/>
    <n v="73"/>
    <n v="3"/>
    <n v="2"/>
    <x v="1"/>
    <n v="2"/>
    <x v="1"/>
    <n v="6962"/>
    <n v="4"/>
    <x v="0"/>
    <n v="22"/>
    <n v="4"/>
    <n v="4"/>
    <n v="1"/>
    <n v="15"/>
    <n v="2"/>
    <n v="3"/>
    <n v="1"/>
    <n v="0"/>
    <n v="0"/>
    <n v="0"/>
    <x v="1"/>
    <x v="0"/>
    <x v="2"/>
    <x v="2"/>
    <x v="0"/>
    <x v="0"/>
    <x v="1"/>
    <x v="1"/>
    <s v="Low"/>
    <x v="1"/>
    <x v="0"/>
    <x v="0"/>
    <x v="1"/>
  </r>
  <r>
    <n v="43"/>
    <x v="1"/>
    <s v="Travel_Frequently"/>
    <n v="1422"/>
    <x v="0"/>
    <n v="2"/>
    <n v="4"/>
    <s v="Life Sciences"/>
    <n v="1849"/>
    <n v="1"/>
    <x v="1"/>
    <n v="92"/>
    <n v="3"/>
    <n v="2"/>
    <x v="0"/>
    <n v="4"/>
    <x v="1"/>
    <n v="5675"/>
    <n v="1"/>
    <x v="1"/>
    <n v="20"/>
    <n v="4"/>
    <n v="3"/>
    <n v="1"/>
    <n v="7"/>
    <n v="5"/>
    <n v="3"/>
    <n v="7"/>
    <n v="7"/>
    <n v="7"/>
    <n v="7"/>
    <x v="1"/>
    <x v="1"/>
    <x v="2"/>
    <x v="3"/>
    <x v="0"/>
    <x v="0"/>
    <x v="0"/>
    <x v="3"/>
    <s v="Low"/>
    <x v="1"/>
    <x v="0"/>
    <x v="0"/>
    <x v="0"/>
  </r>
  <r>
    <n v="27"/>
    <x v="1"/>
    <s v="Travel_Frequently"/>
    <n v="1297"/>
    <x v="1"/>
    <n v="5"/>
    <n v="2"/>
    <s v="Life Sciences"/>
    <n v="1850"/>
    <n v="4"/>
    <x v="0"/>
    <n v="53"/>
    <n v="3"/>
    <n v="1"/>
    <x v="2"/>
    <n v="4"/>
    <x v="0"/>
    <n v="2379"/>
    <n v="0"/>
    <x v="0"/>
    <n v="14"/>
    <n v="3"/>
    <n v="3"/>
    <n v="0"/>
    <n v="6"/>
    <n v="3"/>
    <n v="2"/>
    <n v="5"/>
    <n v="4"/>
    <n v="0"/>
    <n v="2"/>
    <x v="1"/>
    <x v="0"/>
    <x v="0"/>
    <x v="2"/>
    <x v="0"/>
    <x v="1"/>
    <x v="0"/>
    <x v="3"/>
    <s v="No Options"/>
    <x v="2"/>
    <x v="2"/>
    <x v="1"/>
    <x v="2"/>
  </r>
  <r>
    <n v="29"/>
    <x v="1"/>
    <s v="Travel_Frequently"/>
    <n v="574"/>
    <x v="1"/>
    <n v="20"/>
    <n v="1"/>
    <s v="Medical"/>
    <n v="1852"/>
    <n v="4"/>
    <x v="1"/>
    <n v="40"/>
    <n v="3"/>
    <n v="1"/>
    <x v="2"/>
    <n v="4"/>
    <x v="1"/>
    <n v="3812"/>
    <n v="1"/>
    <x v="1"/>
    <n v="13"/>
    <n v="3"/>
    <n v="2"/>
    <n v="0"/>
    <n v="11"/>
    <n v="3"/>
    <n v="4"/>
    <n v="11"/>
    <n v="8"/>
    <n v="3"/>
    <n v="10"/>
    <x v="1"/>
    <x v="1"/>
    <x v="1"/>
    <x v="2"/>
    <x v="0"/>
    <x v="1"/>
    <x v="0"/>
    <x v="2"/>
    <s v="No Options"/>
    <x v="3"/>
    <x v="2"/>
    <x v="0"/>
    <x v="4"/>
  </r>
  <r>
    <n v="32"/>
    <x v="1"/>
    <s v="Travel_Frequently"/>
    <n v="1318"/>
    <x v="0"/>
    <n v="10"/>
    <n v="4"/>
    <s v="Marketing"/>
    <n v="1853"/>
    <n v="4"/>
    <x v="1"/>
    <n v="79"/>
    <n v="3"/>
    <n v="2"/>
    <x v="0"/>
    <n v="4"/>
    <x v="0"/>
    <n v="4648"/>
    <n v="8"/>
    <x v="1"/>
    <n v="13"/>
    <n v="3"/>
    <n v="3"/>
    <n v="0"/>
    <n v="4"/>
    <n v="2"/>
    <n v="4"/>
    <n v="0"/>
    <n v="0"/>
    <n v="0"/>
    <n v="0"/>
    <x v="1"/>
    <x v="1"/>
    <x v="2"/>
    <x v="2"/>
    <x v="0"/>
    <x v="0"/>
    <x v="0"/>
    <x v="3"/>
    <s v="No Options"/>
    <x v="3"/>
    <x v="2"/>
    <x v="0"/>
    <x v="1"/>
  </r>
  <r>
    <n v="42"/>
    <x v="1"/>
    <s v="Non-Travel"/>
    <n v="355"/>
    <x v="1"/>
    <n v="10"/>
    <n v="4"/>
    <s v="Technical Degree"/>
    <n v="1854"/>
    <n v="3"/>
    <x v="1"/>
    <n v="38"/>
    <n v="3"/>
    <n v="1"/>
    <x v="1"/>
    <n v="3"/>
    <x v="1"/>
    <n v="2936"/>
    <n v="3"/>
    <x v="1"/>
    <n v="22"/>
    <n v="4"/>
    <n v="2"/>
    <n v="2"/>
    <n v="10"/>
    <n v="1"/>
    <n v="2"/>
    <n v="6"/>
    <n v="3"/>
    <n v="3"/>
    <n v="3"/>
    <x v="1"/>
    <x v="1"/>
    <x v="2"/>
    <x v="1"/>
    <x v="0"/>
    <x v="1"/>
    <x v="2"/>
    <x v="2"/>
    <s v="Medium"/>
    <x v="2"/>
    <x v="0"/>
    <x v="1"/>
    <x v="0"/>
  </r>
  <r>
    <n v="47"/>
    <x v="1"/>
    <s v="Travel_Rarely"/>
    <n v="207"/>
    <x v="1"/>
    <n v="9"/>
    <n v="4"/>
    <s v="Life Sciences"/>
    <n v="1856"/>
    <n v="2"/>
    <x v="0"/>
    <n v="64"/>
    <n v="3"/>
    <n v="1"/>
    <x v="2"/>
    <n v="3"/>
    <x v="0"/>
    <n v="2105"/>
    <n v="4"/>
    <x v="1"/>
    <n v="12"/>
    <n v="3"/>
    <n v="3"/>
    <n v="0"/>
    <n v="7"/>
    <n v="2"/>
    <n v="3"/>
    <n v="2"/>
    <n v="2"/>
    <n v="2"/>
    <n v="0"/>
    <x v="1"/>
    <x v="1"/>
    <x v="2"/>
    <x v="0"/>
    <x v="0"/>
    <x v="1"/>
    <x v="2"/>
    <x v="3"/>
    <s v="No Options"/>
    <x v="1"/>
    <x v="1"/>
    <x v="1"/>
    <x v="1"/>
  </r>
  <r>
    <n v="46"/>
    <x v="1"/>
    <s v="Travel_Rarely"/>
    <n v="706"/>
    <x v="1"/>
    <n v="2"/>
    <n v="2"/>
    <s v="Life Sciences"/>
    <n v="1857"/>
    <n v="4"/>
    <x v="1"/>
    <n v="82"/>
    <n v="3"/>
    <n v="3"/>
    <x v="3"/>
    <n v="4"/>
    <x v="2"/>
    <n v="8578"/>
    <n v="3"/>
    <x v="1"/>
    <n v="14"/>
    <n v="3"/>
    <n v="3"/>
    <n v="1"/>
    <n v="12"/>
    <n v="4"/>
    <n v="2"/>
    <n v="9"/>
    <n v="8"/>
    <n v="4"/>
    <n v="7"/>
    <x v="1"/>
    <x v="1"/>
    <x v="0"/>
    <x v="2"/>
    <x v="0"/>
    <x v="2"/>
    <x v="0"/>
    <x v="3"/>
    <s v="Low"/>
    <x v="2"/>
    <x v="1"/>
    <x v="2"/>
    <x v="0"/>
  </r>
  <r>
    <n v="28"/>
    <x v="1"/>
    <s v="Non-Travel"/>
    <n v="280"/>
    <x v="2"/>
    <n v="1"/>
    <n v="2"/>
    <s v="Life Sciences"/>
    <n v="1858"/>
    <n v="3"/>
    <x v="1"/>
    <n v="43"/>
    <n v="3"/>
    <n v="1"/>
    <x v="8"/>
    <n v="4"/>
    <x v="2"/>
    <n v="2706"/>
    <n v="1"/>
    <x v="1"/>
    <n v="15"/>
    <n v="3"/>
    <n v="2"/>
    <n v="1"/>
    <n v="3"/>
    <n v="2"/>
    <n v="3"/>
    <n v="3"/>
    <n v="2"/>
    <n v="2"/>
    <n v="2"/>
    <x v="1"/>
    <x v="1"/>
    <x v="0"/>
    <x v="1"/>
    <x v="0"/>
    <x v="1"/>
    <x v="0"/>
    <x v="2"/>
    <s v="Low"/>
    <x v="1"/>
    <x v="2"/>
    <x v="1"/>
    <x v="2"/>
  </r>
  <r>
    <n v="29"/>
    <x v="1"/>
    <s v="Travel_Rarely"/>
    <n v="726"/>
    <x v="1"/>
    <n v="29"/>
    <n v="1"/>
    <s v="Life Sciences"/>
    <n v="1859"/>
    <n v="4"/>
    <x v="1"/>
    <n v="93"/>
    <n v="1"/>
    <n v="2"/>
    <x v="4"/>
    <n v="3"/>
    <x v="2"/>
    <n v="6384"/>
    <n v="8"/>
    <x v="1"/>
    <n v="17"/>
    <n v="3"/>
    <n v="4"/>
    <n v="2"/>
    <n v="11"/>
    <n v="3"/>
    <n v="3"/>
    <n v="7"/>
    <n v="0"/>
    <n v="1"/>
    <n v="6"/>
    <x v="1"/>
    <x v="1"/>
    <x v="1"/>
    <x v="2"/>
    <x v="3"/>
    <x v="0"/>
    <x v="2"/>
    <x v="1"/>
    <s v="Medium"/>
    <x v="1"/>
    <x v="2"/>
    <x v="0"/>
    <x v="0"/>
  </r>
  <r>
    <n v="42"/>
    <x v="1"/>
    <s v="Travel_Rarely"/>
    <n v="1142"/>
    <x v="1"/>
    <n v="8"/>
    <n v="3"/>
    <s v="Life Sciences"/>
    <n v="1860"/>
    <n v="4"/>
    <x v="1"/>
    <n v="81"/>
    <n v="3"/>
    <n v="1"/>
    <x v="2"/>
    <n v="3"/>
    <x v="0"/>
    <n v="3968"/>
    <n v="4"/>
    <x v="1"/>
    <n v="13"/>
    <n v="3"/>
    <n v="4"/>
    <n v="0"/>
    <n v="8"/>
    <n v="3"/>
    <n v="3"/>
    <n v="0"/>
    <n v="0"/>
    <n v="0"/>
    <n v="0"/>
    <x v="1"/>
    <x v="1"/>
    <x v="3"/>
    <x v="2"/>
    <x v="0"/>
    <x v="1"/>
    <x v="2"/>
    <x v="1"/>
    <s v="No Options"/>
    <x v="1"/>
    <x v="0"/>
    <x v="0"/>
    <x v="1"/>
  </r>
  <r>
    <n v="32"/>
    <x v="0"/>
    <s v="Travel_Rarely"/>
    <n v="414"/>
    <x v="0"/>
    <n v="2"/>
    <n v="4"/>
    <s v="Marketing"/>
    <n v="1862"/>
    <n v="3"/>
    <x v="1"/>
    <n v="82"/>
    <n v="2"/>
    <n v="2"/>
    <x v="0"/>
    <n v="2"/>
    <x v="0"/>
    <n v="9907"/>
    <n v="7"/>
    <x v="0"/>
    <n v="12"/>
    <n v="3"/>
    <n v="3"/>
    <n v="0"/>
    <n v="7"/>
    <n v="3"/>
    <n v="2"/>
    <n v="2"/>
    <n v="2"/>
    <n v="2"/>
    <n v="2"/>
    <x v="0"/>
    <x v="0"/>
    <x v="2"/>
    <x v="1"/>
    <x v="1"/>
    <x v="0"/>
    <x v="1"/>
    <x v="3"/>
    <s v="No Options"/>
    <x v="2"/>
    <x v="2"/>
    <x v="2"/>
    <x v="1"/>
  </r>
  <r>
    <n v="46"/>
    <x v="1"/>
    <s v="Travel_Rarely"/>
    <n v="1319"/>
    <x v="0"/>
    <n v="3"/>
    <n v="3"/>
    <s v="Technical Degree"/>
    <n v="1863"/>
    <n v="1"/>
    <x v="0"/>
    <n v="45"/>
    <n v="4"/>
    <n v="4"/>
    <x v="0"/>
    <n v="1"/>
    <x v="2"/>
    <n v="13225"/>
    <n v="2"/>
    <x v="1"/>
    <n v="12"/>
    <n v="3"/>
    <n v="4"/>
    <n v="1"/>
    <n v="25"/>
    <n v="5"/>
    <n v="3"/>
    <n v="19"/>
    <n v="17"/>
    <n v="2"/>
    <n v="8"/>
    <x v="1"/>
    <x v="1"/>
    <x v="3"/>
    <x v="3"/>
    <x v="2"/>
    <x v="3"/>
    <x v="3"/>
    <x v="1"/>
    <s v="Low"/>
    <x v="1"/>
    <x v="1"/>
    <x v="3"/>
    <x v="4"/>
  </r>
  <r>
    <n v="27"/>
    <x v="1"/>
    <s v="Travel_Rarely"/>
    <n v="728"/>
    <x v="0"/>
    <n v="23"/>
    <n v="1"/>
    <s v="Medical"/>
    <n v="1864"/>
    <n v="2"/>
    <x v="0"/>
    <n v="36"/>
    <n v="2"/>
    <n v="2"/>
    <x v="6"/>
    <n v="3"/>
    <x v="1"/>
    <n v="3540"/>
    <n v="1"/>
    <x v="1"/>
    <n v="21"/>
    <n v="4"/>
    <n v="4"/>
    <n v="1"/>
    <n v="9"/>
    <n v="5"/>
    <n v="3"/>
    <n v="9"/>
    <n v="8"/>
    <n v="5"/>
    <n v="8"/>
    <x v="1"/>
    <x v="1"/>
    <x v="1"/>
    <x v="0"/>
    <x v="1"/>
    <x v="0"/>
    <x v="2"/>
    <x v="1"/>
    <s v="Low"/>
    <x v="1"/>
    <x v="2"/>
    <x v="0"/>
    <x v="0"/>
  </r>
  <r>
    <n v="29"/>
    <x v="1"/>
    <s v="Travel_Rarely"/>
    <n v="352"/>
    <x v="2"/>
    <n v="6"/>
    <n v="1"/>
    <s v="Medical"/>
    <n v="1865"/>
    <n v="4"/>
    <x v="1"/>
    <n v="87"/>
    <n v="2"/>
    <n v="1"/>
    <x v="8"/>
    <n v="2"/>
    <x v="1"/>
    <n v="2804"/>
    <n v="1"/>
    <x v="1"/>
    <n v="11"/>
    <n v="3"/>
    <n v="4"/>
    <n v="0"/>
    <n v="1"/>
    <n v="3"/>
    <n v="3"/>
    <n v="1"/>
    <n v="0"/>
    <n v="0"/>
    <n v="0"/>
    <x v="1"/>
    <x v="1"/>
    <x v="1"/>
    <x v="2"/>
    <x v="1"/>
    <x v="1"/>
    <x v="1"/>
    <x v="1"/>
    <s v="No Options"/>
    <x v="1"/>
    <x v="2"/>
    <x v="1"/>
    <x v="1"/>
  </r>
  <r>
    <n v="43"/>
    <x v="1"/>
    <s v="Travel_Rarely"/>
    <n v="823"/>
    <x v="1"/>
    <n v="6"/>
    <n v="3"/>
    <s v="Medical"/>
    <n v="1866"/>
    <n v="1"/>
    <x v="0"/>
    <n v="81"/>
    <n v="2"/>
    <n v="5"/>
    <x v="5"/>
    <n v="3"/>
    <x v="1"/>
    <n v="19392"/>
    <n v="7"/>
    <x v="1"/>
    <n v="13"/>
    <n v="3"/>
    <n v="4"/>
    <n v="0"/>
    <n v="21"/>
    <n v="2"/>
    <n v="3"/>
    <n v="16"/>
    <n v="12"/>
    <n v="6"/>
    <n v="14"/>
    <x v="1"/>
    <x v="1"/>
    <x v="3"/>
    <x v="3"/>
    <x v="1"/>
    <x v="4"/>
    <x v="2"/>
    <x v="1"/>
    <s v="No Options"/>
    <x v="1"/>
    <x v="0"/>
    <x v="3"/>
    <x v="4"/>
  </r>
  <r>
    <n v="48"/>
    <x v="1"/>
    <s v="Travel_Rarely"/>
    <n v="1224"/>
    <x v="1"/>
    <n v="10"/>
    <n v="3"/>
    <s v="Life Sciences"/>
    <n v="1867"/>
    <n v="4"/>
    <x v="1"/>
    <n v="91"/>
    <n v="2"/>
    <n v="5"/>
    <x v="7"/>
    <n v="2"/>
    <x v="1"/>
    <n v="19665"/>
    <n v="4"/>
    <x v="1"/>
    <n v="12"/>
    <n v="3"/>
    <n v="4"/>
    <n v="0"/>
    <n v="29"/>
    <n v="3"/>
    <n v="3"/>
    <n v="22"/>
    <n v="10"/>
    <n v="12"/>
    <n v="9"/>
    <x v="1"/>
    <x v="1"/>
    <x v="3"/>
    <x v="2"/>
    <x v="1"/>
    <x v="4"/>
    <x v="1"/>
    <x v="1"/>
    <s v="No Options"/>
    <x v="1"/>
    <x v="1"/>
    <x v="3"/>
    <x v="3"/>
  </r>
  <r>
    <n v="29"/>
    <x v="0"/>
    <s v="Travel_Frequently"/>
    <n v="459"/>
    <x v="1"/>
    <n v="24"/>
    <n v="2"/>
    <s v="Life Sciences"/>
    <n v="1868"/>
    <n v="4"/>
    <x v="1"/>
    <n v="73"/>
    <n v="2"/>
    <n v="1"/>
    <x v="1"/>
    <n v="4"/>
    <x v="0"/>
    <n v="2439"/>
    <n v="1"/>
    <x v="0"/>
    <n v="24"/>
    <n v="4"/>
    <n v="2"/>
    <n v="0"/>
    <n v="1"/>
    <n v="3"/>
    <n v="2"/>
    <n v="1"/>
    <n v="0"/>
    <n v="1"/>
    <n v="0"/>
    <x v="0"/>
    <x v="0"/>
    <x v="0"/>
    <x v="2"/>
    <x v="1"/>
    <x v="1"/>
    <x v="0"/>
    <x v="2"/>
    <s v="No Options"/>
    <x v="2"/>
    <x v="2"/>
    <x v="1"/>
    <x v="1"/>
  </r>
  <r>
    <n v="46"/>
    <x v="0"/>
    <s v="Travel_Rarely"/>
    <n v="1254"/>
    <x v="0"/>
    <n v="10"/>
    <n v="3"/>
    <s v="Life Sciences"/>
    <n v="1869"/>
    <n v="3"/>
    <x v="0"/>
    <n v="64"/>
    <n v="3"/>
    <n v="3"/>
    <x v="0"/>
    <n v="2"/>
    <x v="1"/>
    <n v="7314"/>
    <n v="5"/>
    <x v="1"/>
    <n v="21"/>
    <n v="4"/>
    <n v="3"/>
    <n v="3"/>
    <n v="14"/>
    <n v="2"/>
    <n v="3"/>
    <n v="8"/>
    <n v="7"/>
    <n v="0"/>
    <n v="7"/>
    <x v="0"/>
    <x v="1"/>
    <x v="3"/>
    <x v="1"/>
    <x v="0"/>
    <x v="2"/>
    <x v="1"/>
    <x v="3"/>
    <s v="High"/>
    <x v="1"/>
    <x v="1"/>
    <x v="2"/>
    <x v="0"/>
  </r>
  <r>
    <n v="27"/>
    <x v="1"/>
    <s v="Travel_Frequently"/>
    <n v="1131"/>
    <x v="1"/>
    <n v="15"/>
    <n v="3"/>
    <s v="Life Sciences"/>
    <n v="1870"/>
    <n v="4"/>
    <x v="0"/>
    <n v="77"/>
    <n v="2"/>
    <n v="1"/>
    <x v="1"/>
    <n v="1"/>
    <x v="1"/>
    <n v="4774"/>
    <n v="0"/>
    <x v="1"/>
    <n v="19"/>
    <n v="3"/>
    <n v="4"/>
    <n v="1"/>
    <n v="8"/>
    <n v="2"/>
    <n v="2"/>
    <n v="7"/>
    <n v="6"/>
    <n v="7"/>
    <n v="3"/>
    <x v="1"/>
    <x v="1"/>
    <x v="3"/>
    <x v="2"/>
    <x v="1"/>
    <x v="1"/>
    <x v="3"/>
    <x v="1"/>
    <s v="Low"/>
    <x v="2"/>
    <x v="2"/>
    <x v="0"/>
    <x v="0"/>
  </r>
  <r>
    <n v="39"/>
    <x v="1"/>
    <s v="Travel_Rarely"/>
    <n v="835"/>
    <x v="1"/>
    <n v="19"/>
    <n v="4"/>
    <s v="Other"/>
    <n v="1871"/>
    <n v="4"/>
    <x v="1"/>
    <n v="41"/>
    <n v="3"/>
    <n v="2"/>
    <x v="1"/>
    <n v="4"/>
    <x v="2"/>
    <n v="3902"/>
    <n v="8"/>
    <x v="1"/>
    <n v="14"/>
    <n v="3"/>
    <n v="2"/>
    <n v="3"/>
    <n v="7"/>
    <n v="2"/>
    <n v="3"/>
    <n v="2"/>
    <n v="2"/>
    <n v="2"/>
    <n v="2"/>
    <x v="1"/>
    <x v="1"/>
    <x v="2"/>
    <x v="2"/>
    <x v="0"/>
    <x v="0"/>
    <x v="0"/>
    <x v="2"/>
    <s v="High"/>
    <x v="1"/>
    <x v="0"/>
    <x v="0"/>
    <x v="1"/>
  </r>
  <r>
    <n v="55"/>
    <x v="1"/>
    <s v="Travel_Rarely"/>
    <n v="836"/>
    <x v="1"/>
    <n v="2"/>
    <n v="4"/>
    <s v="Technical Degree"/>
    <n v="1873"/>
    <n v="2"/>
    <x v="1"/>
    <n v="98"/>
    <n v="2"/>
    <n v="1"/>
    <x v="1"/>
    <n v="4"/>
    <x v="1"/>
    <n v="2662"/>
    <n v="8"/>
    <x v="1"/>
    <n v="20"/>
    <n v="4"/>
    <n v="2"/>
    <n v="1"/>
    <n v="19"/>
    <n v="2"/>
    <n v="4"/>
    <n v="5"/>
    <n v="2"/>
    <n v="0"/>
    <n v="4"/>
    <x v="1"/>
    <x v="1"/>
    <x v="2"/>
    <x v="0"/>
    <x v="1"/>
    <x v="1"/>
    <x v="0"/>
    <x v="2"/>
    <s v="Low"/>
    <x v="3"/>
    <x v="3"/>
    <x v="1"/>
    <x v="2"/>
  </r>
  <r>
    <n v="28"/>
    <x v="1"/>
    <s v="Travel_Rarely"/>
    <n v="1172"/>
    <x v="0"/>
    <n v="3"/>
    <n v="3"/>
    <s v="Medical"/>
    <n v="1875"/>
    <n v="2"/>
    <x v="0"/>
    <n v="78"/>
    <n v="3"/>
    <n v="1"/>
    <x v="6"/>
    <n v="2"/>
    <x v="1"/>
    <n v="2856"/>
    <n v="1"/>
    <x v="1"/>
    <n v="19"/>
    <n v="3"/>
    <n v="4"/>
    <n v="1"/>
    <n v="1"/>
    <n v="3"/>
    <n v="3"/>
    <n v="1"/>
    <n v="0"/>
    <n v="0"/>
    <n v="0"/>
    <x v="1"/>
    <x v="1"/>
    <x v="3"/>
    <x v="0"/>
    <x v="0"/>
    <x v="1"/>
    <x v="1"/>
    <x v="1"/>
    <s v="Low"/>
    <x v="1"/>
    <x v="2"/>
    <x v="1"/>
    <x v="1"/>
  </r>
  <r>
    <n v="30"/>
    <x v="0"/>
    <s v="Travel_Rarely"/>
    <n v="945"/>
    <x v="0"/>
    <n v="9"/>
    <n v="3"/>
    <s v="Medical"/>
    <n v="1876"/>
    <n v="2"/>
    <x v="1"/>
    <n v="89"/>
    <n v="3"/>
    <n v="1"/>
    <x v="6"/>
    <n v="4"/>
    <x v="0"/>
    <n v="1081"/>
    <n v="1"/>
    <x v="1"/>
    <n v="13"/>
    <n v="3"/>
    <n v="3"/>
    <n v="0"/>
    <n v="1"/>
    <n v="3"/>
    <n v="2"/>
    <n v="1"/>
    <n v="0"/>
    <n v="0"/>
    <n v="0"/>
    <x v="0"/>
    <x v="1"/>
    <x v="3"/>
    <x v="0"/>
    <x v="0"/>
    <x v="1"/>
    <x v="0"/>
    <x v="3"/>
    <s v="No Options"/>
    <x v="2"/>
    <x v="2"/>
    <x v="1"/>
    <x v="1"/>
  </r>
  <r>
    <n v="22"/>
    <x v="0"/>
    <s v="Travel_Rarely"/>
    <n v="391"/>
    <x v="1"/>
    <n v="7"/>
    <n v="1"/>
    <s v="Life Sciences"/>
    <n v="1878"/>
    <n v="4"/>
    <x v="1"/>
    <n v="75"/>
    <n v="3"/>
    <n v="1"/>
    <x v="1"/>
    <n v="2"/>
    <x v="0"/>
    <n v="2472"/>
    <n v="1"/>
    <x v="0"/>
    <n v="23"/>
    <n v="4"/>
    <n v="1"/>
    <n v="0"/>
    <n v="1"/>
    <n v="2"/>
    <n v="3"/>
    <n v="1"/>
    <n v="0"/>
    <n v="0"/>
    <n v="0"/>
    <x v="0"/>
    <x v="0"/>
    <x v="1"/>
    <x v="2"/>
    <x v="0"/>
    <x v="1"/>
    <x v="1"/>
    <x v="0"/>
    <s v="No Options"/>
    <x v="1"/>
    <x v="4"/>
    <x v="1"/>
    <x v="1"/>
  </r>
  <r>
    <n v="36"/>
    <x v="1"/>
    <s v="Travel_Rarely"/>
    <n v="1266"/>
    <x v="0"/>
    <n v="10"/>
    <n v="4"/>
    <s v="Technical Degree"/>
    <n v="1880"/>
    <n v="2"/>
    <x v="0"/>
    <n v="63"/>
    <n v="2"/>
    <n v="2"/>
    <x v="0"/>
    <n v="3"/>
    <x v="1"/>
    <n v="5673"/>
    <n v="1"/>
    <x v="0"/>
    <n v="13"/>
    <n v="3"/>
    <n v="1"/>
    <n v="1"/>
    <n v="10"/>
    <n v="4"/>
    <n v="3"/>
    <n v="10"/>
    <n v="9"/>
    <n v="1"/>
    <n v="7"/>
    <x v="1"/>
    <x v="0"/>
    <x v="2"/>
    <x v="0"/>
    <x v="1"/>
    <x v="0"/>
    <x v="2"/>
    <x v="0"/>
    <s v="Low"/>
    <x v="1"/>
    <x v="0"/>
    <x v="0"/>
    <x v="0"/>
  </r>
  <r>
    <n v="31"/>
    <x v="1"/>
    <s v="Travel_Rarely"/>
    <n v="311"/>
    <x v="1"/>
    <n v="20"/>
    <n v="3"/>
    <s v="Life Sciences"/>
    <n v="1881"/>
    <n v="2"/>
    <x v="1"/>
    <n v="89"/>
    <n v="3"/>
    <n v="2"/>
    <x v="2"/>
    <n v="3"/>
    <x v="2"/>
    <n v="4197"/>
    <n v="1"/>
    <x v="1"/>
    <n v="11"/>
    <n v="3"/>
    <n v="1"/>
    <n v="1"/>
    <n v="10"/>
    <n v="2"/>
    <n v="3"/>
    <n v="10"/>
    <n v="8"/>
    <n v="0"/>
    <n v="2"/>
    <x v="1"/>
    <x v="1"/>
    <x v="3"/>
    <x v="0"/>
    <x v="0"/>
    <x v="0"/>
    <x v="2"/>
    <x v="0"/>
    <s v="Low"/>
    <x v="1"/>
    <x v="2"/>
    <x v="0"/>
    <x v="0"/>
  </r>
  <r>
    <n v="34"/>
    <x v="1"/>
    <s v="Travel_Rarely"/>
    <n v="1480"/>
    <x v="0"/>
    <n v="4"/>
    <n v="3"/>
    <s v="Life Sciences"/>
    <n v="1882"/>
    <n v="3"/>
    <x v="1"/>
    <n v="64"/>
    <n v="3"/>
    <n v="3"/>
    <x v="0"/>
    <n v="4"/>
    <x v="1"/>
    <n v="9713"/>
    <n v="2"/>
    <x v="0"/>
    <n v="13"/>
    <n v="3"/>
    <n v="4"/>
    <n v="3"/>
    <n v="9"/>
    <n v="3"/>
    <n v="3"/>
    <n v="5"/>
    <n v="3"/>
    <n v="1"/>
    <n v="0"/>
    <x v="1"/>
    <x v="0"/>
    <x v="3"/>
    <x v="1"/>
    <x v="0"/>
    <x v="2"/>
    <x v="0"/>
    <x v="1"/>
    <s v="High"/>
    <x v="1"/>
    <x v="2"/>
    <x v="2"/>
    <x v="2"/>
  </r>
  <r>
    <n v="29"/>
    <x v="1"/>
    <s v="Travel_Rarely"/>
    <n v="592"/>
    <x v="1"/>
    <n v="7"/>
    <n v="3"/>
    <s v="Life Sciences"/>
    <n v="1883"/>
    <n v="4"/>
    <x v="1"/>
    <n v="59"/>
    <n v="3"/>
    <n v="1"/>
    <x v="2"/>
    <n v="1"/>
    <x v="0"/>
    <n v="2062"/>
    <n v="3"/>
    <x v="1"/>
    <n v="14"/>
    <n v="3"/>
    <n v="2"/>
    <n v="0"/>
    <n v="11"/>
    <n v="2"/>
    <n v="3"/>
    <n v="3"/>
    <n v="2"/>
    <n v="1"/>
    <n v="2"/>
    <x v="1"/>
    <x v="1"/>
    <x v="3"/>
    <x v="2"/>
    <x v="0"/>
    <x v="1"/>
    <x v="3"/>
    <x v="2"/>
    <s v="No Options"/>
    <x v="1"/>
    <x v="2"/>
    <x v="1"/>
    <x v="2"/>
  </r>
  <r>
    <n v="37"/>
    <x v="1"/>
    <s v="Travel_Rarely"/>
    <n v="783"/>
    <x v="1"/>
    <n v="7"/>
    <n v="4"/>
    <s v="Medical"/>
    <n v="1885"/>
    <n v="4"/>
    <x v="1"/>
    <n v="78"/>
    <n v="3"/>
    <n v="2"/>
    <x v="1"/>
    <n v="1"/>
    <x v="1"/>
    <n v="4284"/>
    <n v="5"/>
    <x v="0"/>
    <n v="22"/>
    <n v="4"/>
    <n v="3"/>
    <n v="1"/>
    <n v="16"/>
    <n v="2"/>
    <n v="3"/>
    <n v="5"/>
    <n v="3"/>
    <n v="0"/>
    <n v="4"/>
    <x v="1"/>
    <x v="0"/>
    <x v="2"/>
    <x v="2"/>
    <x v="0"/>
    <x v="0"/>
    <x v="3"/>
    <x v="3"/>
    <s v="Low"/>
    <x v="1"/>
    <x v="0"/>
    <x v="0"/>
    <x v="2"/>
  </r>
  <r>
    <n v="35"/>
    <x v="1"/>
    <s v="Travel_Rarely"/>
    <n v="219"/>
    <x v="1"/>
    <n v="16"/>
    <n v="2"/>
    <s v="Other"/>
    <n v="1886"/>
    <n v="4"/>
    <x v="0"/>
    <n v="44"/>
    <n v="2"/>
    <n v="2"/>
    <x v="3"/>
    <n v="2"/>
    <x v="1"/>
    <n v="4788"/>
    <n v="0"/>
    <x v="0"/>
    <n v="11"/>
    <n v="3"/>
    <n v="4"/>
    <n v="0"/>
    <n v="4"/>
    <n v="2"/>
    <n v="3"/>
    <n v="3"/>
    <n v="2"/>
    <n v="0"/>
    <n v="2"/>
    <x v="1"/>
    <x v="0"/>
    <x v="0"/>
    <x v="2"/>
    <x v="1"/>
    <x v="0"/>
    <x v="1"/>
    <x v="1"/>
    <s v="No Options"/>
    <x v="1"/>
    <x v="0"/>
    <x v="0"/>
    <x v="2"/>
  </r>
  <r>
    <n v="45"/>
    <x v="1"/>
    <s v="Travel_Rarely"/>
    <n v="556"/>
    <x v="1"/>
    <n v="25"/>
    <n v="2"/>
    <s v="Life Sciences"/>
    <n v="1888"/>
    <n v="2"/>
    <x v="0"/>
    <n v="93"/>
    <n v="2"/>
    <n v="2"/>
    <x v="3"/>
    <n v="4"/>
    <x v="1"/>
    <n v="5906"/>
    <n v="0"/>
    <x v="1"/>
    <n v="13"/>
    <n v="3"/>
    <n v="4"/>
    <n v="2"/>
    <n v="10"/>
    <n v="2"/>
    <n v="2"/>
    <n v="9"/>
    <n v="8"/>
    <n v="3"/>
    <n v="8"/>
    <x v="1"/>
    <x v="1"/>
    <x v="0"/>
    <x v="0"/>
    <x v="1"/>
    <x v="0"/>
    <x v="0"/>
    <x v="1"/>
    <s v="Medium"/>
    <x v="2"/>
    <x v="1"/>
    <x v="0"/>
    <x v="0"/>
  </r>
  <r>
    <n v="36"/>
    <x v="1"/>
    <s v="Travel_Frequently"/>
    <n v="1213"/>
    <x v="2"/>
    <n v="2"/>
    <n v="1"/>
    <s v="Human Resources"/>
    <n v="1890"/>
    <n v="2"/>
    <x v="1"/>
    <n v="94"/>
    <n v="2"/>
    <n v="2"/>
    <x v="8"/>
    <n v="4"/>
    <x v="0"/>
    <n v="3886"/>
    <n v="1"/>
    <x v="1"/>
    <n v="21"/>
    <n v="4"/>
    <n v="4"/>
    <n v="0"/>
    <n v="10"/>
    <n v="2"/>
    <n v="2"/>
    <n v="10"/>
    <n v="1"/>
    <n v="0"/>
    <n v="8"/>
    <x v="1"/>
    <x v="1"/>
    <x v="1"/>
    <x v="0"/>
    <x v="1"/>
    <x v="0"/>
    <x v="0"/>
    <x v="1"/>
    <s v="No Options"/>
    <x v="2"/>
    <x v="0"/>
    <x v="0"/>
    <x v="0"/>
  </r>
  <r>
    <n v="40"/>
    <x v="1"/>
    <s v="Travel_Rarely"/>
    <n v="1137"/>
    <x v="1"/>
    <n v="1"/>
    <n v="4"/>
    <s v="Life Sciences"/>
    <n v="1892"/>
    <n v="1"/>
    <x v="1"/>
    <n v="98"/>
    <n v="3"/>
    <n v="4"/>
    <x v="5"/>
    <n v="1"/>
    <x v="2"/>
    <n v="16823"/>
    <n v="2"/>
    <x v="1"/>
    <n v="11"/>
    <n v="3"/>
    <n v="1"/>
    <n v="1"/>
    <n v="22"/>
    <n v="3"/>
    <n v="3"/>
    <n v="19"/>
    <n v="7"/>
    <n v="11"/>
    <n v="16"/>
    <x v="1"/>
    <x v="1"/>
    <x v="2"/>
    <x v="3"/>
    <x v="0"/>
    <x v="3"/>
    <x v="3"/>
    <x v="0"/>
    <s v="Low"/>
    <x v="1"/>
    <x v="0"/>
    <x v="3"/>
    <x v="4"/>
  </r>
  <r>
    <n v="26"/>
    <x v="1"/>
    <s v="Travel_Rarely"/>
    <n v="482"/>
    <x v="1"/>
    <n v="1"/>
    <n v="2"/>
    <s v="Life Sciences"/>
    <n v="1893"/>
    <n v="2"/>
    <x v="0"/>
    <n v="90"/>
    <n v="2"/>
    <n v="1"/>
    <x v="1"/>
    <n v="3"/>
    <x v="1"/>
    <n v="2933"/>
    <n v="1"/>
    <x v="0"/>
    <n v="13"/>
    <n v="3"/>
    <n v="3"/>
    <n v="1"/>
    <n v="1"/>
    <n v="3"/>
    <n v="2"/>
    <n v="1"/>
    <n v="0"/>
    <n v="1"/>
    <n v="0"/>
    <x v="1"/>
    <x v="0"/>
    <x v="0"/>
    <x v="0"/>
    <x v="1"/>
    <x v="1"/>
    <x v="2"/>
    <x v="3"/>
    <s v="Low"/>
    <x v="2"/>
    <x v="2"/>
    <x v="1"/>
    <x v="1"/>
  </r>
  <r>
    <n v="27"/>
    <x v="1"/>
    <s v="Travel_Rarely"/>
    <n v="511"/>
    <x v="0"/>
    <n v="2"/>
    <n v="2"/>
    <s v="Medical"/>
    <n v="1898"/>
    <n v="1"/>
    <x v="0"/>
    <n v="89"/>
    <n v="4"/>
    <n v="2"/>
    <x v="0"/>
    <n v="3"/>
    <x v="0"/>
    <n v="6500"/>
    <n v="0"/>
    <x v="1"/>
    <n v="14"/>
    <n v="3"/>
    <n v="2"/>
    <n v="0"/>
    <n v="9"/>
    <n v="5"/>
    <n v="2"/>
    <n v="8"/>
    <n v="7"/>
    <n v="0"/>
    <n v="7"/>
    <x v="1"/>
    <x v="1"/>
    <x v="0"/>
    <x v="3"/>
    <x v="2"/>
    <x v="0"/>
    <x v="2"/>
    <x v="2"/>
    <s v="No Options"/>
    <x v="2"/>
    <x v="2"/>
    <x v="0"/>
    <x v="0"/>
  </r>
  <r>
    <n v="48"/>
    <x v="1"/>
    <s v="Travel_Frequently"/>
    <n v="117"/>
    <x v="1"/>
    <n v="22"/>
    <n v="3"/>
    <s v="Medical"/>
    <n v="1900"/>
    <n v="4"/>
    <x v="0"/>
    <n v="58"/>
    <n v="3"/>
    <n v="4"/>
    <x v="5"/>
    <n v="4"/>
    <x v="2"/>
    <n v="17174"/>
    <n v="3"/>
    <x v="1"/>
    <n v="11"/>
    <n v="3"/>
    <n v="2"/>
    <n v="1"/>
    <n v="24"/>
    <n v="3"/>
    <n v="3"/>
    <n v="22"/>
    <n v="17"/>
    <n v="4"/>
    <n v="7"/>
    <x v="1"/>
    <x v="1"/>
    <x v="3"/>
    <x v="2"/>
    <x v="0"/>
    <x v="3"/>
    <x v="0"/>
    <x v="2"/>
    <s v="Low"/>
    <x v="1"/>
    <x v="1"/>
    <x v="3"/>
    <x v="3"/>
  </r>
  <r>
    <n v="44"/>
    <x v="1"/>
    <s v="Travel_Rarely"/>
    <n v="170"/>
    <x v="1"/>
    <n v="1"/>
    <n v="4"/>
    <s v="Life Sciences"/>
    <n v="1903"/>
    <n v="2"/>
    <x v="1"/>
    <n v="78"/>
    <n v="4"/>
    <n v="2"/>
    <x v="4"/>
    <n v="1"/>
    <x v="1"/>
    <n v="5033"/>
    <n v="2"/>
    <x v="1"/>
    <n v="15"/>
    <n v="3"/>
    <n v="4"/>
    <n v="1"/>
    <n v="10"/>
    <n v="5"/>
    <n v="3"/>
    <n v="2"/>
    <n v="0"/>
    <n v="2"/>
    <n v="2"/>
    <x v="1"/>
    <x v="1"/>
    <x v="2"/>
    <x v="0"/>
    <x v="2"/>
    <x v="0"/>
    <x v="3"/>
    <x v="1"/>
    <s v="Low"/>
    <x v="1"/>
    <x v="0"/>
    <x v="0"/>
    <x v="1"/>
  </r>
  <r>
    <n v="34"/>
    <x v="0"/>
    <s v="Non-Travel"/>
    <n v="967"/>
    <x v="1"/>
    <n v="16"/>
    <n v="4"/>
    <s v="Technical Degree"/>
    <n v="1905"/>
    <n v="4"/>
    <x v="1"/>
    <n v="85"/>
    <n v="1"/>
    <n v="1"/>
    <x v="1"/>
    <n v="1"/>
    <x v="1"/>
    <n v="2307"/>
    <n v="1"/>
    <x v="0"/>
    <n v="23"/>
    <n v="4"/>
    <n v="2"/>
    <n v="1"/>
    <n v="5"/>
    <n v="2"/>
    <n v="3"/>
    <n v="5"/>
    <n v="2"/>
    <n v="3"/>
    <n v="0"/>
    <x v="0"/>
    <x v="0"/>
    <x v="2"/>
    <x v="2"/>
    <x v="3"/>
    <x v="1"/>
    <x v="3"/>
    <x v="2"/>
    <s v="Low"/>
    <x v="1"/>
    <x v="2"/>
    <x v="1"/>
    <x v="2"/>
  </r>
  <r>
    <n v="56"/>
    <x v="0"/>
    <s v="Travel_Rarely"/>
    <n v="1162"/>
    <x v="1"/>
    <n v="24"/>
    <n v="2"/>
    <s v="Life Sciences"/>
    <n v="1907"/>
    <n v="1"/>
    <x v="1"/>
    <n v="97"/>
    <n v="3"/>
    <n v="1"/>
    <x v="2"/>
    <n v="4"/>
    <x v="0"/>
    <n v="2587"/>
    <n v="1"/>
    <x v="1"/>
    <n v="16"/>
    <n v="3"/>
    <n v="4"/>
    <n v="0"/>
    <n v="5"/>
    <n v="3"/>
    <n v="3"/>
    <n v="4"/>
    <n v="2"/>
    <n v="1"/>
    <n v="0"/>
    <x v="0"/>
    <x v="1"/>
    <x v="0"/>
    <x v="3"/>
    <x v="0"/>
    <x v="1"/>
    <x v="0"/>
    <x v="1"/>
    <s v="No Options"/>
    <x v="1"/>
    <x v="3"/>
    <x v="1"/>
    <x v="2"/>
  </r>
  <r>
    <n v="36"/>
    <x v="1"/>
    <s v="Travel_Rarely"/>
    <n v="335"/>
    <x v="0"/>
    <n v="17"/>
    <n v="2"/>
    <s v="Marketing"/>
    <n v="1908"/>
    <n v="3"/>
    <x v="1"/>
    <n v="33"/>
    <n v="2"/>
    <n v="2"/>
    <x v="0"/>
    <n v="2"/>
    <x v="1"/>
    <n v="5507"/>
    <n v="2"/>
    <x v="1"/>
    <n v="16"/>
    <n v="3"/>
    <n v="3"/>
    <n v="2"/>
    <n v="12"/>
    <n v="1"/>
    <n v="1"/>
    <n v="4"/>
    <n v="2"/>
    <n v="1"/>
    <n v="3"/>
    <x v="1"/>
    <x v="1"/>
    <x v="0"/>
    <x v="1"/>
    <x v="1"/>
    <x v="0"/>
    <x v="1"/>
    <x v="3"/>
    <s v="Medium"/>
    <x v="0"/>
    <x v="0"/>
    <x v="0"/>
    <x v="2"/>
  </r>
  <r>
    <n v="41"/>
    <x v="1"/>
    <s v="Travel_Rarely"/>
    <n v="337"/>
    <x v="0"/>
    <n v="8"/>
    <n v="3"/>
    <s v="Marketing"/>
    <n v="1909"/>
    <n v="3"/>
    <x v="0"/>
    <n v="54"/>
    <n v="3"/>
    <n v="2"/>
    <x v="0"/>
    <n v="2"/>
    <x v="1"/>
    <n v="4393"/>
    <n v="5"/>
    <x v="1"/>
    <n v="21"/>
    <n v="4"/>
    <n v="3"/>
    <n v="1"/>
    <n v="14"/>
    <n v="3"/>
    <n v="3"/>
    <n v="5"/>
    <n v="4"/>
    <n v="1"/>
    <n v="4"/>
    <x v="1"/>
    <x v="1"/>
    <x v="3"/>
    <x v="1"/>
    <x v="0"/>
    <x v="0"/>
    <x v="1"/>
    <x v="3"/>
    <s v="Low"/>
    <x v="1"/>
    <x v="0"/>
    <x v="0"/>
    <x v="2"/>
  </r>
  <r>
    <n v="42"/>
    <x v="1"/>
    <s v="Travel_Rarely"/>
    <n v="1396"/>
    <x v="1"/>
    <n v="6"/>
    <n v="3"/>
    <s v="Medical"/>
    <n v="1911"/>
    <n v="3"/>
    <x v="1"/>
    <n v="83"/>
    <n v="3"/>
    <n v="3"/>
    <x v="7"/>
    <n v="1"/>
    <x v="1"/>
    <n v="13348"/>
    <n v="9"/>
    <x v="1"/>
    <n v="13"/>
    <n v="3"/>
    <n v="2"/>
    <n v="1"/>
    <n v="18"/>
    <n v="3"/>
    <n v="4"/>
    <n v="13"/>
    <n v="7"/>
    <n v="5"/>
    <n v="7"/>
    <x v="1"/>
    <x v="1"/>
    <x v="3"/>
    <x v="1"/>
    <x v="0"/>
    <x v="2"/>
    <x v="3"/>
    <x v="2"/>
    <s v="Low"/>
    <x v="3"/>
    <x v="0"/>
    <x v="3"/>
    <x v="4"/>
  </r>
  <r>
    <n v="31"/>
    <x v="1"/>
    <s v="Travel_Rarely"/>
    <n v="1079"/>
    <x v="0"/>
    <n v="10"/>
    <n v="2"/>
    <s v="Medical"/>
    <n v="1912"/>
    <n v="3"/>
    <x v="0"/>
    <n v="86"/>
    <n v="3"/>
    <n v="2"/>
    <x v="0"/>
    <n v="4"/>
    <x v="2"/>
    <n v="6583"/>
    <n v="2"/>
    <x v="0"/>
    <n v="11"/>
    <n v="3"/>
    <n v="4"/>
    <n v="1"/>
    <n v="8"/>
    <n v="2"/>
    <n v="3"/>
    <n v="5"/>
    <n v="2"/>
    <n v="1"/>
    <n v="4"/>
    <x v="1"/>
    <x v="0"/>
    <x v="0"/>
    <x v="1"/>
    <x v="0"/>
    <x v="0"/>
    <x v="0"/>
    <x v="1"/>
    <s v="Low"/>
    <x v="1"/>
    <x v="2"/>
    <x v="0"/>
    <x v="2"/>
  </r>
  <r>
    <n v="34"/>
    <x v="1"/>
    <s v="Travel_Rarely"/>
    <n v="735"/>
    <x v="0"/>
    <n v="3"/>
    <n v="1"/>
    <s v="Medical"/>
    <n v="1915"/>
    <n v="4"/>
    <x v="0"/>
    <n v="75"/>
    <n v="2"/>
    <n v="2"/>
    <x v="0"/>
    <n v="4"/>
    <x v="1"/>
    <n v="8103"/>
    <n v="3"/>
    <x v="0"/>
    <n v="12"/>
    <n v="3"/>
    <n v="3"/>
    <n v="0"/>
    <n v="9"/>
    <n v="3"/>
    <n v="2"/>
    <n v="4"/>
    <n v="2"/>
    <n v="0"/>
    <n v="1"/>
    <x v="1"/>
    <x v="0"/>
    <x v="1"/>
    <x v="2"/>
    <x v="1"/>
    <x v="0"/>
    <x v="0"/>
    <x v="3"/>
    <s v="No Options"/>
    <x v="2"/>
    <x v="2"/>
    <x v="2"/>
    <x v="2"/>
  </r>
  <r>
    <n v="31"/>
    <x v="1"/>
    <s v="Travel_Rarely"/>
    <n v="471"/>
    <x v="1"/>
    <n v="4"/>
    <n v="3"/>
    <s v="Medical"/>
    <n v="1916"/>
    <n v="1"/>
    <x v="0"/>
    <n v="62"/>
    <n v="4"/>
    <n v="1"/>
    <x v="2"/>
    <n v="3"/>
    <x v="2"/>
    <n v="3978"/>
    <n v="8"/>
    <x v="1"/>
    <n v="12"/>
    <n v="3"/>
    <n v="2"/>
    <n v="1"/>
    <n v="4"/>
    <n v="0"/>
    <n v="2"/>
    <n v="2"/>
    <n v="2"/>
    <n v="2"/>
    <n v="2"/>
    <x v="1"/>
    <x v="1"/>
    <x v="3"/>
    <x v="3"/>
    <x v="2"/>
    <x v="1"/>
    <x v="2"/>
    <x v="2"/>
    <s v="Low"/>
    <x v="2"/>
    <x v="2"/>
    <x v="0"/>
    <x v="1"/>
  </r>
  <r>
    <n v="26"/>
    <x v="1"/>
    <s v="Travel_Frequently"/>
    <n v="1096"/>
    <x v="1"/>
    <n v="6"/>
    <n v="3"/>
    <s v="Other"/>
    <n v="1918"/>
    <n v="3"/>
    <x v="1"/>
    <n v="61"/>
    <n v="4"/>
    <n v="1"/>
    <x v="2"/>
    <n v="4"/>
    <x v="1"/>
    <n v="2544"/>
    <n v="0"/>
    <x v="1"/>
    <n v="18"/>
    <n v="3"/>
    <n v="1"/>
    <n v="1"/>
    <n v="8"/>
    <n v="3"/>
    <n v="3"/>
    <n v="7"/>
    <n v="7"/>
    <n v="7"/>
    <n v="7"/>
    <x v="1"/>
    <x v="1"/>
    <x v="3"/>
    <x v="1"/>
    <x v="2"/>
    <x v="1"/>
    <x v="0"/>
    <x v="0"/>
    <s v="Low"/>
    <x v="1"/>
    <x v="2"/>
    <x v="1"/>
    <x v="0"/>
  </r>
  <r>
    <n v="45"/>
    <x v="1"/>
    <s v="Travel_Frequently"/>
    <n v="1297"/>
    <x v="1"/>
    <n v="1"/>
    <n v="4"/>
    <s v="Medical"/>
    <n v="1922"/>
    <n v="2"/>
    <x v="1"/>
    <n v="44"/>
    <n v="3"/>
    <n v="2"/>
    <x v="4"/>
    <n v="3"/>
    <x v="0"/>
    <n v="5399"/>
    <n v="4"/>
    <x v="1"/>
    <n v="12"/>
    <n v="3"/>
    <n v="3"/>
    <n v="0"/>
    <n v="12"/>
    <n v="3"/>
    <n v="3"/>
    <n v="4"/>
    <n v="2"/>
    <n v="0"/>
    <n v="3"/>
    <x v="1"/>
    <x v="1"/>
    <x v="2"/>
    <x v="0"/>
    <x v="0"/>
    <x v="0"/>
    <x v="2"/>
    <x v="3"/>
    <s v="No Options"/>
    <x v="1"/>
    <x v="1"/>
    <x v="0"/>
    <x v="2"/>
  </r>
  <r>
    <n v="33"/>
    <x v="1"/>
    <s v="Travel_Rarely"/>
    <n v="217"/>
    <x v="0"/>
    <n v="10"/>
    <n v="4"/>
    <s v="Marketing"/>
    <n v="1924"/>
    <n v="2"/>
    <x v="1"/>
    <n v="43"/>
    <n v="3"/>
    <n v="2"/>
    <x v="0"/>
    <n v="3"/>
    <x v="0"/>
    <n v="5487"/>
    <n v="1"/>
    <x v="1"/>
    <n v="14"/>
    <n v="3"/>
    <n v="2"/>
    <n v="0"/>
    <n v="10"/>
    <n v="2"/>
    <n v="2"/>
    <n v="10"/>
    <n v="4"/>
    <n v="0"/>
    <n v="9"/>
    <x v="1"/>
    <x v="1"/>
    <x v="2"/>
    <x v="0"/>
    <x v="0"/>
    <x v="0"/>
    <x v="2"/>
    <x v="2"/>
    <s v="No Options"/>
    <x v="2"/>
    <x v="2"/>
    <x v="0"/>
    <x v="0"/>
  </r>
  <r>
    <n v="28"/>
    <x v="1"/>
    <s v="Travel_Frequently"/>
    <n v="783"/>
    <x v="0"/>
    <n v="1"/>
    <n v="2"/>
    <s v="Life Sciences"/>
    <n v="1927"/>
    <n v="3"/>
    <x v="1"/>
    <n v="42"/>
    <n v="2"/>
    <n v="2"/>
    <x v="0"/>
    <n v="4"/>
    <x v="1"/>
    <n v="6834"/>
    <n v="1"/>
    <x v="0"/>
    <n v="12"/>
    <n v="3"/>
    <n v="3"/>
    <n v="1"/>
    <n v="7"/>
    <n v="2"/>
    <n v="3"/>
    <n v="7"/>
    <n v="7"/>
    <n v="0"/>
    <n v="7"/>
    <x v="1"/>
    <x v="0"/>
    <x v="0"/>
    <x v="1"/>
    <x v="1"/>
    <x v="0"/>
    <x v="0"/>
    <x v="3"/>
    <s v="Low"/>
    <x v="1"/>
    <x v="2"/>
    <x v="0"/>
    <x v="0"/>
  </r>
  <r>
    <n v="29"/>
    <x v="0"/>
    <s v="Travel_Frequently"/>
    <n v="746"/>
    <x v="0"/>
    <n v="24"/>
    <n v="3"/>
    <s v="Technical Degree"/>
    <n v="1928"/>
    <n v="3"/>
    <x v="1"/>
    <n v="45"/>
    <n v="4"/>
    <n v="1"/>
    <x v="6"/>
    <n v="1"/>
    <x v="0"/>
    <n v="1091"/>
    <n v="1"/>
    <x v="1"/>
    <n v="17"/>
    <n v="3"/>
    <n v="4"/>
    <n v="0"/>
    <n v="1"/>
    <n v="3"/>
    <n v="3"/>
    <n v="1"/>
    <n v="0"/>
    <n v="0"/>
    <n v="0"/>
    <x v="0"/>
    <x v="1"/>
    <x v="3"/>
    <x v="1"/>
    <x v="2"/>
    <x v="1"/>
    <x v="3"/>
    <x v="1"/>
    <s v="No Options"/>
    <x v="1"/>
    <x v="2"/>
    <x v="1"/>
    <x v="1"/>
  </r>
  <r>
    <n v="39"/>
    <x v="1"/>
    <s v="Non-Travel"/>
    <n v="1251"/>
    <x v="0"/>
    <n v="21"/>
    <n v="4"/>
    <s v="Life Sciences"/>
    <n v="1929"/>
    <n v="1"/>
    <x v="0"/>
    <n v="32"/>
    <n v="1"/>
    <n v="2"/>
    <x v="0"/>
    <n v="3"/>
    <x v="1"/>
    <n v="5736"/>
    <n v="6"/>
    <x v="1"/>
    <n v="19"/>
    <n v="3"/>
    <n v="3"/>
    <n v="1"/>
    <n v="10"/>
    <n v="1"/>
    <n v="3"/>
    <n v="3"/>
    <n v="2"/>
    <n v="1"/>
    <n v="2"/>
    <x v="1"/>
    <x v="1"/>
    <x v="2"/>
    <x v="3"/>
    <x v="3"/>
    <x v="0"/>
    <x v="2"/>
    <x v="3"/>
    <s v="Low"/>
    <x v="1"/>
    <x v="0"/>
    <x v="0"/>
    <x v="2"/>
  </r>
  <r>
    <n v="27"/>
    <x v="1"/>
    <s v="Travel_Rarely"/>
    <n v="1354"/>
    <x v="1"/>
    <n v="2"/>
    <n v="4"/>
    <s v="Technical Degree"/>
    <n v="1931"/>
    <n v="2"/>
    <x v="1"/>
    <n v="41"/>
    <n v="3"/>
    <n v="1"/>
    <x v="1"/>
    <n v="2"/>
    <x v="1"/>
    <n v="2226"/>
    <n v="1"/>
    <x v="1"/>
    <n v="11"/>
    <n v="3"/>
    <n v="3"/>
    <n v="1"/>
    <n v="6"/>
    <n v="3"/>
    <n v="2"/>
    <n v="5"/>
    <n v="3"/>
    <n v="1"/>
    <n v="2"/>
    <x v="1"/>
    <x v="1"/>
    <x v="2"/>
    <x v="0"/>
    <x v="0"/>
    <x v="1"/>
    <x v="1"/>
    <x v="3"/>
    <s v="Low"/>
    <x v="2"/>
    <x v="2"/>
    <x v="1"/>
    <x v="2"/>
  </r>
  <r>
    <n v="34"/>
    <x v="1"/>
    <s v="Travel_Frequently"/>
    <n v="735"/>
    <x v="1"/>
    <n v="22"/>
    <n v="4"/>
    <s v="Other"/>
    <n v="1932"/>
    <n v="3"/>
    <x v="1"/>
    <n v="86"/>
    <n v="2"/>
    <n v="2"/>
    <x v="1"/>
    <n v="4"/>
    <x v="1"/>
    <n v="5747"/>
    <n v="1"/>
    <x v="0"/>
    <n v="15"/>
    <n v="3"/>
    <n v="2"/>
    <n v="0"/>
    <n v="16"/>
    <n v="3"/>
    <n v="3"/>
    <n v="15"/>
    <n v="10"/>
    <n v="6"/>
    <n v="11"/>
    <x v="1"/>
    <x v="0"/>
    <x v="2"/>
    <x v="1"/>
    <x v="1"/>
    <x v="0"/>
    <x v="0"/>
    <x v="2"/>
    <s v="No Options"/>
    <x v="1"/>
    <x v="2"/>
    <x v="0"/>
    <x v="4"/>
  </r>
  <r>
    <n v="28"/>
    <x v="0"/>
    <s v="Travel_Rarely"/>
    <n v="1475"/>
    <x v="0"/>
    <n v="13"/>
    <n v="2"/>
    <s v="Marketing"/>
    <n v="1933"/>
    <n v="4"/>
    <x v="0"/>
    <n v="84"/>
    <n v="3"/>
    <n v="2"/>
    <x v="0"/>
    <n v="3"/>
    <x v="0"/>
    <n v="9854"/>
    <n v="3"/>
    <x v="0"/>
    <n v="11"/>
    <n v="3"/>
    <n v="4"/>
    <n v="0"/>
    <n v="6"/>
    <n v="0"/>
    <n v="3"/>
    <n v="2"/>
    <n v="0"/>
    <n v="2"/>
    <n v="2"/>
    <x v="0"/>
    <x v="0"/>
    <x v="0"/>
    <x v="2"/>
    <x v="0"/>
    <x v="0"/>
    <x v="2"/>
    <x v="1"/>
    <s v="No Options"/>
    <x v="1"/>
    <x v="2"/>
    <x v="2"/>
    <x v="1"/>
  </r>
  <r>
    <n v="47"/>
    <x v="1"/>
    <s v="Non-Travel"/>
    <n v="1169"/>
    <x v="1"/>
    <n v="14"/>
    <n v="4"/>
    <s v="Technical Degree"/>
    <n v="1934"/>
    <n v="3"/>
    <x v="1"/>
    <n v="64"/>
    <n v="3"/>
    <n v="2"/>
    <x v="1"/>
    <n v="2"/>
    <x v="1"/>
    <n v="5467"/>
    <n v="8"/>
    <x v="1"/>
    <n v="18"/>
    <n v="3"/>
    <n v="3"/>
    <n v="1"/>
    <n v="16"/>
    <n v="4"/>
    <n v="4"/>
    <n v="8"/>
    <n v="7"/>
    <n v="1"/>
    <n v="7"/>
    <x v="1"/>
    <x v="1"/>
    <x v="2"/>
    <x v="1"/>
    <x v="0"/>
    <x v="0"/>
    <x v="1"/>
    <x v="3"/>
    <s v="Low"/>
    <x v="3"/>
    <x v="1"/>
    <x v="0"/>
    <x v="0"/>
  </r>
  <r>
    <n v="56"/>
    <x v="1"/>
    <s v="Travel_Rarely"/>
    <n v="1443"/>
    <x v="0"/>
    <n v="11"/>
    <n v="5"/>
    <s v="Marketing"/>
    <n v="1935"/>
    <n v="4"/>
    <x v="0"/>
    <n v="89"/>
    <n v="2"/>
    <n v="2"/>
    <x v="0"/>
    <n v="1"/>
    <x v="1"/>
    <n v="5380"/>
    <n v="4"/>
    <x v="1"/>
    <n v="16"/>
    <n v="3"/>
    <n v="3"/>
    <n v="1"/>
    <n v="6"/>
    <n v="3"/>
    <n v="3"/>
    <n v="0"/>
    <n v="0"/>
    <n v="0"/>
    <n v="0"/>
    <x v="1"/>
    <x v="1"/>
    <x v="4"/>
    <x v="2"/>
    <x v="1"/>
    <x v="0"/>
    <x v="3"/>
    <x v="3"/>
    <s v="Low"/>
    <x v="1"/>
    <x v="3"/>
    <x v="0"/>
    <x v="1"/>
  </r>
  <r>
    <n v="39"/>
    <x v="1"/>
    <s v="Travel_Rarely"/>
    <n v="867"/>
    <x v="1"/>
    <n v="9"/>
    <n v="2"/>
    <s v="Medical"/>
    <n v="1936"/>
    <n v="1"/>
    <x v="1"/>
    <n v="87"/>
    <n v="3"/>
    <n v="2"/>
    <x v="3"/>
    <n v="1"/>
    <x v="1"/>
    <n v="5151"/>
    <n v="1"/>
    <x v="1"/>
    <n v="25"/>
    <n v="4"/>
    <n v="4"/>
    <n v="1"/>
    <n v="10"/>
    <n v="3"/>
    <n v="3"/>
    <n v="10"/>
    <n v="0"/>
    <n v="7"/>
    <n v="9"/>
    <x v="1"/>
    <x v="1"/>
    <x v="0"/>
    <x v="3"/>
    <x v="0"/>
    <x v="0"/>
    <x v="3"/>
    <x v="1"/>
    <s v="Low"/>
    <x v="1"/>
    <x v="0"/>
    <x v="0"/>
    <x v="0"/>
  </r>
  <r>
    <n v="38"/>
    <x v="1"/>
    <s v="Travel_Frequently"/>
    <n v="1394"/>
    <x v="1"/>
    <n v="8"/>
    <n v="3"/>
    <s v="Medical"/>
    <n v="1937"/>
    <n v="4"/>
    <x v="0"/>
    <n v="58"/>
    <n v="2"/>
    <n v="2"/>
    <x v="1"/>
    <n v="2"/>
    <x v="2"/>
    <n v="2133"/>
    <n v="1"/>
    <x v="0"/>
    <n v="16"/>
    <n v="3"/>
    <n v="3"/>
    <n v="1"/>
    <n v="20"/>
    <n v="3"/>
    <n v="3"/>
    <n v="20"/>
    <n v="11"/>
    <n v="0"/>
    <n v="7"/>
    <x v="1"/>
    <x v="0"/>
    <x v="3"/>
    <x v="2"/>
    <x v="1"/>
    <x v="0"/>
    <x v="1"/>
    <x v="3"/>
    <s v="Low"/>
    <x v="1"/>
    <x v="0"/>
    <x v="1"/>
    <x v="4"/>
  </r>
  <r>
    <n v="58"/>
    <x v="1"/>
    <s v="Travel_Rarely"/>
    <n v="605"/>
    <x v="0"/>
    <n v="21"/>
    <n v="3"/>
    <s v="Life Sciences"/>
    <n v="1938"/>
    <n v="4"/>
    <x v="0"/>
    <n v="72"/>
    <n v="3"/>
    <n v="4"/>
    <x v="5"/>
    <n v="4"/>
    <x v="1"/>
    <n v="17875"/>
    <n v="4"/>
    <x v="0"/>
    <n v="13"/>
    <n v="3"/>
    <n v="3"/>
    <n v="1"/>
    <n v="29"/>
    <n v="2"/>
    <n v="2"/>
    <n v="1"/>
    <n v="0"/>
    <n v="0"/>
    <n v="0"/>
    <x v="1"/>
    <x v="0"/>
    <x v="3"/>
    <x v="2"/>
    <x v="0"/>
    <x v="3"/>
    <x v="0"/>
    <x v="3"/>
    <s v="Low"/>
    <x v="2"/>
    <x v="3"/>
    <x v="3"/>
    <x v="1"/>
  </r>
  <r>
    <n v="32"/>
    <x v="0"/>
    <s v="Travel_Frequently"/>
    <n v="238"/>
    <x v="1"/>
    <n v="5"/>
    <n v="2"/>
    <s v="Life Sciences"/>
    <n v="1939"/>
    <n v="1"/>
    <x v="0"/>
    <n v="47"/>
    <n v="4"/>
    <n v="1"/>
    <x v="1"/>
    <n v="3"/>
    <x v="0"/>
    <n v="2432"/>
    <n v="3"/>
    <x v="0"/>
    <n v="14"/>
    <n v="3"/>
    <n v="1"/>
    <n v="0"/>
    <n v="8"/>
    <n v="2"/>
    <n v="3"/>
    <n v="4"/>
    <n v="1"/>
    <n v="0"/>
    <n v="3"/>
    <x v="0"/>
    <x v="0"/>
    <x v="0"/>
    <x v="3"/>
    <x v="2"/>
    <x v="1"/>
    <x v="2"/>
    <x v="0"/>
    <s v="No Options"/>
    <x v="1"/>
    <x v="2"/>
    <x v="1"/>
    <x v="2"/>
  </r>
  <r>
    <n v="38"/>
    <x v="1"/>
    <s v="Travel_Rarely"/>
    <n v="1206"/>
    <x v="1"/>
    <n v="9"/>
    <n v="2"/>
    <s v="Life Sciences"/>
    <n v="1940"/>
    <n v="2"/>
    <x v="1"/>
    <n v="71"/>
    <n v="3"/>
    <n v="1"/>
    <x v="1"/>
    <n v="4"/>
    <x v="2"/>
    <n v="4771"/>
    <n v="2"/>
    <x v="1"/>
    <n v="19"/>
    <n v="3"/>
    <n v="4"/>
    <n v="2"/>
    <n v="10"/>
    <n v="0"/>
    <n v="4"/>
    <n v="5"/>
    <n v="2"/>
    <n v="0"/>
    <n v="3"/>
    <x v="1"/>
    <x v="1"/>
    <x v="0"/>
    <x v="0"/>
    <x v="0"/>
    <x v="1"/>
    <x v="0"/>
    <x v="1"/>
    <s v="Medium"/>
    <x v="3"/>
    <x v="0"/>
    <x v="0"/>
    <x v="2"/>
  </r>
  <r>
    <n v="49"/>
    <x v="1"/>
    <s v="Travel_Frequently"/>
    <n v="1064"/>
    <x v="1"/>
    <n v="2"/>
    <n v="1"/>
    <s v="Life Sciences"/>
    <n v="1941"/>
    <n v="2"/>
    <x v="1"/>
    <n v="42"/>
    <n v="3"/>
    <n v="5"/>
    <x v="7"/>
    <n v="4"/>
    <x v="1"/>
    <n v="19161"/>
    <n v="3"/>
    <x v="1"/>
    <n v="15"/>
    <n v="3"/>
    <n v="4"/>
    <n v="0"/>
    <n v="28"/>
    <n v="3"/>
    <n v="3"/>
    <n v="5"/>
    <n v="4"/>
    <n v="4"/>
    <n v="3"/>
    <x v="1"/>
    <x v="1"/>
    <x v="1"/>
    <x v="0"/>
    <x v="0"/>
    <x v="4"/>
    <x v="0"/>
    <x v="1"/>
    <s v="No Options"/>
    <x v="1"/>
    <x v="1"/>
    <x v="3"/>
    <x v="2"/>
  </r>
  <r>
    <n v="42"/>
    <x v="1"/>
    <s v="Travel_Rarely"/>
    <n v="419"/>
    <x v="0"/>
    <n v="12"/>
    <n v="4"/>
    <s v="Marketing"/>
    <n v="1943"/>
    <n v="2"/>
    <x v="1"/>
    <n v="77"/>
    <n v="3"/>
    <n v="2"/>
    <x v="0"/>
    <n v="4"/>
    <x v="2"/>
    <n v="5087"/>
    <n v="3"/>
    <x v="0"/>
    <n v="12"/>
    <n v="3"/>
    <n v="3"/>
    <n v="2"/>
    <n v="14"/>
    <n v="4"/>
    <n v="3"/>
    <n v="0"/>
    <n v="0"/>
    <n v="0"/>
    <n v="0"/>
    <x v="1"/>
    <x v="0"/>
    <x v="2"/>
    <x v="0"/>
    <x v="0"/>
    <x v="0"/>
    <x v="0"/>
    <x v="3"/>
    <s v="Medium"/>
    <x v="1"/>
    <x v="0"/>
    <x v="0"/>
    <x v="1"/>
  </r>
  <r>
    <n v="27"/>
    <x v="0"/>
    <s v="Travel_Frequently"/>
    <n v="1337"/>
    <x v="2"/>
    <n v="22"/>
    <n v="3"/>
    <s v="Human Resources"/>
    <n v="1944"/>
    <n v="1"/>
    <x v="0"/>
    <n v="58"/>
    <n v="2"/>
    <n v="1"/>
    <x v="8"/>
    <n v="2"/>
    <x v="1"/>
    <n v="2863"/>
    <n v="1"/>
    <x v="1"/>
    <n v="12"/>
    <n v="3"/>
    <n v="1"/>
    <n v="0"/>
    <n v="1"/>
    <n v="2"/>
    <n v="3"/>
    <n v="1"/>
    <n v="0"/>
    <n v="0"/>
    <n v="0"/>
    <x v="0"/>
    <x v="1"/>
    <x v="3"/>
    <x v="3"/>
    <x v="1"/>
    <x v="1"/>
    <x v="1"/>
    <x v="0"/>
    <s v="No Options"/>
    <x v="1"/>
    <x v="2"/>
    <x v="1"/>
    <x v="1"/>
  </r>
  <r>
    <n v="35"/>
    <x v="1"/>
    <s v="Travel_Rarely"/>
    <n v="682"/>
    <x v="0"/>
    <n v="18"/>
    <n v="4"/>
    <s v="Medical"/>
    <n v="1945"/>
    <n v="2"/>
    <x v="1"/>
    <n v="71"/>
    <n v="3"/>
    <n v="2"/>
    <x v="0"/>
    <n v="1"/>
    <x v="1"/>
    <n v="5561"/>
    <n v="0"/>
    <x v="1"/>
    <n v="16"/>
    <n v="3"/>
    <n v="4"/>
    <n v="1"/>
    <n v="6"/>
    <n v="2"/>
    <n v="1"/>
    <n v="5"/>
    <n v="3"/>
    <n v="0"/>
    <n v="4"/>
    <x v="1"/>
    <x v="1"/>
    <x v="2"/>
    <x v="0"/>
    <x v="0"/>
    <x v="0"/>
    <x v="3"/>
    <x v="1"/>
    <s v="Low"/>
    <x v="0"/>
    <x v="0"/>
    <x v="0"/>
    <x v="2"/>
  </r>
  <r>
    <n v="28"/>
    <x v="1"/>
    <s v="Non-Travel"/>
    <n v="1103"/>
    <x v="1"/>
    <n v="16"/>
    <n v="3"/>
    <s v="Medical"/>
    <n v="1947"/>
    <n v="3"/>
    <x v="1"/>
    <n v="49"/>
    <n v="3"/>
    <n v="1"/>
    <x v="1"/>
    <n v="3"/>
    <x v="0"/>
    <n v="2144"/>
    <n v="1"/>
    <x v="1"/>
    <n v="14"/>
    <n v="3"/>
    <n v="3"/>
    <n v="0"/>
    <n v="5"/>
    <n v="3"/>
    <n v="2"/>
    <n v="5"/>
    <n v="3"/>
    <n v="1"/>
    <n v="4"/>
    <x v="1"/>
    <x v="1"/>
    <x v="3"/>
    <x v="1"/>
    <x v="0"/>
    <x v="1"/>
    <x v="2"/>
    <x v="3"/>
    <s v="No Options"/>
    <x v="2"/>
    <x v="2"/>
    <x v="1"/>
    <x v="2"/>
  </r>
  <r>
    <n v="31"/>
    <x v="1"/>
    <s v="Non-Travel"/>
    <n v="976"/>
    <x v="1"/>
    <n v="3"/>
    <n v="2"/>
    <s v="Medical"/>
    <n v="1948"/>
    <n v="3"/>
    <x v="1"/>
    <n v="48"/>
    <n v="3"/>
    <n v="1"/>
    <x v="1"/>
    <n v="1"/>
    <x v="2"/>
    <n v="3065"/>
    <n v="1"/>
    <x v="0"/>
    <n v="13"/>
    <n v="3"/>
    <n v="4"/>
    <n v="1"/>
    <n v="4"/>
    <n v="3"/>
    <n v="4"/>
    <n v="4"/>
    <n v="2"/>
    <n v="2"/>
    <n v="3"/>
    <x v="1"/>
    <x v="0"/>
    <x v="0"/>
    <x v="1"/>
    <x v="0"/>
    <x v="1"/>
    <x v="3"/>
    <x v="1"/>
    <s v="Low"/>
    <x v="3"/>
    <x v="2"/>
    <x v="0"/>
    <x v="2"/>
  </r>
  <r>
    <n v="36"/>
    <x v="1"/>
    <s v="Non-Travel"/>
    <n v="1351"/>
    <x v="1"/>
    <n v="9"/>
    <n v="4"/>
    <s v="Life Sciences"/>
    <n v="1949"/>
    <n v="1"/>
    <x v="1"/>
    <n v="66"/>
    <n v="4"/>
    <n v="1"/>
    <x v="2"/>
    <n v="2"/>
    <x v="1"/>
    <n v="2810"/>
    <n v="1"/>
    <x v="1"/>
    <n v="22"/>
    <n v="4"/>
    <n v="2"/>
    <n v="0"/>
    <n v="5"/>
    <n v="3"/>
    <n v="3"/>
    <n v="5"/>
    <n v="4"/>
    <n v="0"/>
    <n v="2"/>
    <x v="1"/>
    <x v="1"/>
    <x v="2"/>
    <x v="3"/>
    <x v="2"/>
    <x v="1"/>
    <x v="1"/>
    <x v="2"/>
    <s v="No Options"/>
    <x v="1"/>
    <x v="0"/>
    <x v="1"/>
    <x v="2"/>
  </r>
  <r>
    <n v="34"/>
    <x v="1"/>
    <s v="Travel_Rarely"/>
    <n v="937"/>
    <x v="0"/>
    <n v="1"/>
    <n v="3"/>
    <s v="Marketing"/>
    <n v="1950"/>
    <n v="1"/>
    <x v="1"/>
    <n v="32"/>
    <n v="3"/>
    <n v="3"/>
    <x v="0"/>
    <n v="4"/>
    <x v="0"/>
    <n v="9888"/>
    <n v="1"/>
    <x v="1"/>
    <n v="21"/>
    <n v="4"/>
    <n v="1"/>
    <n v="0"/>
    <n v="14"/>
    <n v="3"/>
    <n v="2"/>
    <n v="14"/>
    <n v="8"/>
    <n v="2"/>
    <n v="1"/>
    <x v="1"/>
    <x v="1"/>
    <x v="3"/>
    <x v="3"/>
    <x v="0"/>
    <x v="2"/>
    <x v="0"/>
    <x v="0"/>
    <s v="No Options"/>
    <x v="2"/>
    <x v="2"/>
    <x v="2"/>
    <x v="4"/>
  </r>
  <r>
    <n v="34"/>
    <x v="1"/>
    <s v="Travel_Rarely"/>
    <n v="1239"/>
    <x v="0"/>
    <n v="13"/>
    <n v="4"/>
    <s v="Medical"/>
    <n v="1951"/>
    <n v="4"/>
    <x v="1"/>
    <n v="39"/>
    <n v="3"/>
    <n v="3"/>
    <x v="0"/>
    <n v="3"/>
    <x v="2"/>
    <n v="8628"/>
    <n v="1"/>
    <x v="1"/>
    <n v="18"/>
    <n v="3"/>
    <n v="3"/>
    <n v="1"/>
    <n v="9"/>
    <n v="2"/>
    <n v="2"/>
    <n v="8"/>
    <n v="7"/>
    <n v="1"/>
    <n v="1"/>
    <x v="1"/>
    <x v="1"/>
    <x v="2"/>
    <x v="2"/>
    <x v="0"/>
    <x v="2"/>
    <x v="2"/>
    <x v="3"/>
    <s v="Low"/>
    <x v="2"/>
    <x v="2"/>
    <x v="2"/>
    <x v="0"/>
  </r>
  <r>
    <n v="26"/>
    <x v="1"/>
    <s v="Travel_Rarely"/>
    <n v="157"/>
    <x v="1"/>
    <n v="1"/>
    <n v="3"/>
    <s v="Medical"/>
    <n v="1952"/>
    <n v="3"/>
    <x v="1"/>
    <n v="95"/>
    <n v="3"/>
    <n v="1"/>
    <x v="2"/>
    <n v="1"/>
    <x v="0"/>
    <n v="2867"/>
    <n v="0"/>
    <x v="1"/>
    <n v="13"/>
    <n v="3"/>
    <n v="4"/>
    <n v="0"/>
    <n v="8"/>
    <n v="6"/>
    <n v="2"/>
    <n v="7"/>
    <n v="7"/>
    <n v="7"/>
    <n v="6"/>
    <x v="1"/>
    <x v="1"/>
    <x v="3"/>
    <x v="1"/>
    <x v="0"/>
    <x v="1"/>
    <x v="3"/>
    <x v="1"/>
    <s v="No Options"/>
    <x v="2"/>
    <x v="2"/>
    <x v="1"/>
    <x v="0"/>
  </r>
  <r>
    <n v="29"/>
    <x v="1"/>
    <s v="Travel_Rarely"/>
    <n v="136"/>
    <x v="1"/>
    <n v="1"/>
    <n v="3"/>
    <s v="Life Sciences"/>
    <n v="1954"/>
    <n v="1"/>
    <x v="1"/>
    <n v="89"/>
    <n v="3"/>
    <n v="2"/>
    <x v="4"/>
    <n v="1"/>
    <x v="1"/>
    <n v="5373"/>
    <n v="0"/>
    <x v="1"/>
    <n v="12"/>
    <n v="3"/>
    <n v="1"/>
    <n v="1"/>
    <n v="6"/>
    <n v="5"/>
    <n v="2"/>
    <n v="5"/>
    <n v="3"/>
    <n v="0"/>
    <n v="2"/>
    <x v="1"/>
    <x v="1"/>
    <x v="3"/>
    <x v="3"/>
    <x v="0"/>
    <x v="0"/>
    <x v="3"/>
    <x v="0"/>
    <s v="Low"/>
    <x v="2"/>
    <x v="2"/>
    <x v="0"/>
    <x v="2"/>
  </r>
  <r>
    <n v="32"/>
    <x v="1"/>
    <s v="Non-Travel"/>
    <n v="1146"/>
    <x v="1"/>
    <n v="15"/>
    <n v="4"/>
    <s v="Medical"/>
    <n v="1955"/>
    <n v="3"/>
    <x v="0"/>
    <n v="34"/>
    <n v="3"/>
    <n v="2"/>
    <x v="4"/>
    <n v="4"/>
    <x v="2"/>
    <n v="6667"/>
    <n v="5"/>
    <x v="1"/>
    <n v="18"/>
    <n v="3"/>
    <n v="2"/>
    <n v="1"/>
    <n v="9"/>
    <n v="6"/>
    <n v="3"/>
    <n v="5"/>
    <n v="1"/>
    <n v="1"/>
    <n v="2"/>
    <x v="1"/>
    <x v="1"/>
    <x v="2"/>
    <x v="1"/>
    <x v="0"/>
    <x v="0"/>
    <x v="0"/>
    <x v="2"/>
    <s v="Low"/>
    <x v="1"/>
    <x v="2"/>
    <x v="0"/>
    <x v="2"/>
  </r>
  <r>
    <n v="31"/>
    <x v="1"/>
    <s v="Travel_Frequently"/>
    <n v="1125"/>
    <x v="1"/>
    <n v="1"/>
    <n v="3"/>
    <s v="Life Sciences"/>
    <n v="1956"/>
    <n v="4"/>
    <x v="1"/>
    <n v="48"/>
    <n v="1"/>
    <n v="2"/>
    <x v="1"/>
    <n v="1"/>
    <x v="1"/>
    <n v="5003"/>
    <n v="1"/>
    <x v="1"/>
    <n v="21"/>
    <n v="4"/>
    <n v="2"/>
    <n v="0"/>
    <n v="10"/>
    <n v="6"/>
    <n v="3"/>
    <n v="10"/>
    <n v="8"/>
    <n v="8"/>
    <n v="7"/>
    <x v="1"/>
    <x v="1"/>
    <x v="3"/>
    <x v="2"/>
    <x v="3"/>
    <x v="0"/>
    <x v="3"/>
    <x v="2"/>
    <s v="No Options"/>
    <x v="1"/>
    <x v="2"/>
    <x v="0"/>
    <x v="0"/>
  </r>
  <r>
    <n v="28"/>
    <x v="0"/>
    <s v="Travel_Rarely"/>
    <n v="1404"/>
    <x v="1"/>
    <n v="17"/>
    <n v="3"/>
    <s v="Technical Degree"/>
    <n v="1960"/>
    <n v="3"/>
    <x v="1"/>
    <n v="32"/>
    <n v="2"/>
    <n v="1"/>
    <x v="2"/>
    <n v="4"/>
    <x v="2"/>
    <n v="2367"/>
    <n v="5"/>
    <x v="1"/>
    <n v="12"/>
    <n v="3"/>
    <n v="1"/>
    <n v="1"/>
    <n v="6"/>
    <n v="2"/>
    <n v="2"/>
    <n v="4"/>
    <n v="1"/>
    <n v="0"/>
    <n v="3"/>
    <x v="0"/>
    <x v="1"/>
    <x v="3"/>
    <x v="1"/>
    <x v="1"/>
    <x v="1"/>
    <x v="0"/>
    <x v="0"/>
    <s v="Low"/>
    <x v="2"/>
    <x v="2"/>
    <x v="1"/>
    <x v="2"/>
  </r>
  <r>
    <n v="38"/>
    <x v="1"/>
    <s v="Travel_Rarely"/>
    <n v="1404"/>
    <x v="0"/>
    <n v="1"/>
    <n v="3"/>
    <s v="Life Sciences"/>
    <n v="1961"/>
    <n v="1"/>
    <x v="1"/>
    <n v="59"/>
    <n v="2"/>
    <n v="1"/>
    <x v="6"/>
    <n v="1"/>
    <x v="0"/>
    <n v="2858"/>
    <n v="4"/>
    <x v="1"/>
    <n v="14"/>
    <n v="3"/>
    <n v="1"/>
    <n v="0"/>
    <n v="20"/>
    <n v="3"/>
    <n v="2"/>
    <n v="1"/>
    <n v="0"/>
    <n v="0"/>
    <n v="0"/>
    <x v="1"/>
    <x v="1"/>
    <x v="3"/>
    <x v="3"/>
    <x v="1"/>
    <x v="1"/>
    <x v="3"/>
    <x v="0"/>
    <s v="No Options"/>
    <x v="2"/>
    <x v="0"/>
    <x v="1"/>
    <x v="1"/>
  </r>
  <r>
    <n v="35"/>
    <x v="1"/>
    <s v="Travel_Rarely"/>
    <n v="1224"/>
    <x v="0"/>
    <n v="7"/>
    <n v="4"/>
    <s v="Life Sciences"/>
    <n v="1962"/>
    <n v="3"/>
    <x v="0"/>
    <n v="55"/>
    <n v="3"/>
    <n v="2"/>
    <x v="0"/>
    <n v="4"/>
    <x v="1"/>
    <n v="5204"/>
    <n v="1"/>
    <x v="0"/>
    <n v="11"/>
    <n v="3"/>
    <n v="4"/>
    <n v="0"/>
    <n v="10"/>
    <n v="2"/>
    <n v="3"/>
    <n v="10"/>
    <n v="8"/>
    <n v="0"/>
    <n v="9"/>
    <x v="1"/>
    <x v="0"/>
    <x v="2"/>
    <x v="1"/>
    <x v="0"/>
    <x v="0"/>
    <x v="0"/>
    <x v="1"/>
    <s v="No Options"/>
    <x v="1"/>
    <x v="0"/>
    <x v="0"/>
    <x v="0"/>
  </r>
  <r>
    <n v="27"/>
    <x v="1"/>
    <s v="Travel_Rarely"/>
    <n v="954"/>
    <x v="0"/>
    <n v="9"/>
    <n v="3"/>
    <s v="Marketing"/>
    <n v="1965"/>
    <n v="4"/>
    <x v="1"/>
    <n v="44"/>
    <n v="3"/>
    <n v="2"/>
    <x v="0"/>
    <n v="4"/>
    <x v="0"/>
    <n v="4105"/>
    <n v="1"/>
    <x v="1"/>
    <n v="14"/>
    <n v="3"/>
    <n v="1"/>
    <n v="0"/>
    <n v="7"/>
    <n v="5"/>
    <n v="3"/>
    <n v="7"/>
    <n v="7"/>
    <n v="0"/>
    <n v="7"/>
    <x v="1"/>
    <x v="1"/>
    <x v="3"/>
    <x v="2"/>
    <x v="0"/>
    <x v="0"/>
    <x v="0"/>
    <x v="0"/>
    <s v="No Options"/>
    <x v="1"/>
    <x v="2"/>
    <x v="0"/>
    <x v="0"/>
  </r>
  <r>
    <n v="32"/>
    <x v="1"/>
    <s v="Travel_Rarely"/>
    <n v="1373"/>
    <x v="1"/>
    <n v="5"/>
    <n v="4"/>
    <s v="Life Sciences"/>
    <n v="1966"/>
    <n v="4"/>
    <x v="1"/>
    <n v="56"/>
    <n v="2"/>
    <n v="2"/>
    <x v="3"/>
    <n v="4"/>
    <x v="0"/>
    <n v="9679"/>
    <n v="8"/>
    <x v="1"/>
    <n v="24"/>
    <n v="4"/>
    <n v="2"/>
    <n v="0"/>
    <n v="8"/>
    <n v="1"/>
    <n v="3"/>
    <n v="1"/>
    <n v="0"/>
    <n v="0"/>
    <n v="0"/>
    <x v="1"/>
    <x v="1"/>
    <x v="2"/>
    <x v="2"/>
    <x v="1"/>
    <x v="0"/>
    <x v="0"/>
    <x v="2"/>
    <s v="No Options"/>
    <x v="1"/>
    <x v="2"/>
    <x v="2"/>
    <x v="1"/>
  </r>
  <r>
    <n v="31"/>
    <x v="0"/>
    <s v="Travel_Frequently"/>
    <n v="754"/>
    <x v="0"/>
    <n v="26"/>
    <n v="4"/>
    <s v="Marketing"/>
    <n v="1967"/>
    <n v="1"/>
    <x v="1"/>
    <n v="63"/>
    <n v="3"/>
    <n v="2"/>
    <x v="0"/>
    <n v="4"/>
    <x v="1"/>
    <n v="5617"/>
    <n v="1"/>
    <x v="0"/>
    <n v="11"/>
    <n v="3"/>
    <n v="3"/>
    <n v="0"/>
    <n v="10"/>
    <n v="4"/>
    <n v="3"/>
    <n v="10"/>
    <n v="7"/>
    <n v="0"/>
    <n v="8"/>
    <x v="0"/>
    <x v="0"/>
    <x v="2"/>
    <x v="3"/>
    <x v="0"/>
    <x v="0"/>
    <x v="0"/>
    <x v="3"/>
    <s v="No Options"/>
    <x v="1"/>
    <x v="2"/>
    <x v="0"/>
    <x v="0"/>
  </r>
  <r>
    <n v="53"/>
    <x v="0"/>
    <s v="Travel_Rarely"/>
    <n v="1168"/>
    <x v="0"/>
    <n v="24"/>
    <n v="4"/>
    <s v="Life Sciences"/>
    <n v="1968"/>
    <n v="1"/>
    <x v="1"/>
    <n v="66"/>
    <n v="3"/>
    <n v="3"/>
    <x v="0"/>
    <n v="1"/>
    <x v="0"/>
    <n v="10448"/>
    <n v="6"/>
    <x v="0"/>
    <n v="13"/>
    <n v="3"/>
    <n v="2"/>
    <n v="0"/>
    <n v="15"/>
    <n v="2"/>
    <n v="2"/>
    <n v="2"/>
    <n v="2"/>
    <n v="2"/>
    <n v="2"/>
    <x v="0"/>
    <x v="0"/>
    <x v="2"/>
    <x v="3"/>
    <x v="0"/>
    <x v="2"/>
    <x v="3"/>
    <x v="2"/>
    <s v="No Options"/>
    <x v="2"/>
    <x v="1"/>
    <x v="2"/>
    <x v="1"/>
  </r>
  <r>
    <n v="54"/>
    <x v="1"/>
    <s v="Travel_Rarely"/>
    <n v="155"/>
    <x v="1"/>
    <n v="9"/>
    <n v="2"/>
    <s v="Life Sciences"/>
    <n v="1969"/>
    <n v="1"/>
    <x v="0"/>
    <n v="67"/>
    <n v="3"/>
    <n v="2"/>
    <x v="1"/>
    <n v="3"/>
    <x v="1"/>
    <n v="2897"/>
    <n v="3"/>
    <x v="1"/>
    <n v="11"/>
    <n v="3"/>
    <n v="3"/>
    <n v="2"/>
    <n v="9"/>
    <n v="6"/>
    <n v="2"/>
    <n v="4"/>
    <n v="3"/>
    <n v="2"/>
    <n v="3"/>
    <x v="1"/>
    <x v="1"/>
    <x v="0"/>
    <x v="3"/>
    <x v="0"/>
    <x v="0"/>
    <x v="2"/>
    <x v="3"/>
    <s v="Medium"/>
    <x v="2"/>
    <x v="1"/>
    <x v="1"/>
    <x v="2"/>
  </r>
  <r>
    <n v="33"/>
    <x v="1"/>
    <s v="Travel_Frequently"/>
    <n v="1303"/>
    <x v="1"/>
    <n v="7"/>
    <n v="2"/>
    <s v="Life Sciences"/>
    <n v="1970"/>
    <n v="4"/>
    <x v="1"/>
    <n v="36"/>
    <n v="3"/>
    <n v="2"/>
    <x v="4"/>
    <n v="3"/>
    <x v="2"/>
    <n v="5968"/>
    <n v="1"/>
    <x v="1"/>
    <n v="20"/>
    <n v="4"/>
    <n v="3"/>
    <n v="3"/>
    <n v="9"/>
    <n v="2"/>
    <n v="3"/>
    <n v="9"/>
    <n v="7"/>
    <n v="2"/>
    <n v="8"/>
    <x v="1"/>
    <x v="1"/>
    <x v="0"/>
    <x v="2"/>
    <x v="0"/>
    <x v="0"/>
    <x v="2"/>
    <x v="3"/>
    <s v="High"/>
    <x v="1"/>
    <x v="2"/>
    <x v="0"/>
    <x v="0"/>
  </r>
  <r>
    <n v="43"/>
    <x v="1"/>
    <s v="Travel_Rarely"/>
    <n v="574"/>
    <x v="1"/>
    <n v="11"/>
    <n v="3"/>
    <s v="Life Sciences"/>
    <n v="1971"/>
    <n v="1"/>
    <x v="1"/>
    <n v="30"/>
    <n v="3"/>
    <n v="3"/>
    <x v="4"/>
    <n v="3"/>
    <x v="1"/>
    <n v="7510"/>
    <n v="1"/>
    <x v="1"/>
    <n v="17"/>
    <n v="3"/>
    <n v="2"/>
    <n v="1"/>
    <n v="10"/>
    <n v="1"/>
    <n v="3"/>
    <n v="10"/>
    <n v="9"/>
    <n v="0"/>
    <n v="9"/>
    <x v="1"/>
    <x v="1"/>
    <x v="3"/>
    <x v="3"/>
    <x v="0"/>
    <x v="2"/>
    <x v="2"/>
    <x v="2"/>
    <s v="Low"/>
    <x v="1"/>
    <x v="0"/>
    <x v="2"/>
    <x v="0"/>
  </r>
  <r>
    <n v="38"/>
    <x v="1"/>
    <s v="Travel_Frequently"/>
    <n v="1444"/>
    <x v="2"/>
    <n v="1"/>
    <n v="4"/>
    <s v="Other"/>
    <n v="1972"/>
    <n v="4"/>
    <x v="1"/>
    <n v="88"/>
    <n v="3"/>
    <n v="1"/>
    <x v="8"/>
    <n v="2"/>
    <x v="1"/>
    <n v="2991"/>
    <n v="0"/>
    <x v="0"/>
    <n v="11"/>
    <n v="3"/>
    <n v="2"/>
    <n v="1"/>
    <n v="7"/>
    <n v="2"/>
    <n v="3"/>
    <n v="6"/>
    <n v="2"/>
    <n v="1"/>
    <n v="2"/>
    <x v="1"/>
    <x v="0"/>
    <x v="2"/>
    <x v="2"/>
    <x v="0"/>
    <x v="1"/>
    <x v="1"/>
    <x v="2"/>
    <s v="Low"/>
    <x v="1"/>
    <x v="0"/>
    <x v="1"/>
    <x v="0"/>
  </r>
  <r>
    <n v="55"/>
    <x v="1"/>
    <s v="Travel_Rarely"/>
    <n v="189"/>
    <x v="2"/>
    <n v="26"/>
    <n v="4"/>
    <s v="Human Resources"/>
    <n v="1973"/>
    <n v="3"/>
    <x v="1"/>
    <n v="71"/>
    <n v="4"/>
    <n v="5"/>
    <x v="5"/>
    <n v="2"/>
    <x v="1"/>
    <n v="19636"/>
    <n v="4"/>
    <x v="0"/>
    <n v="18"/>
    <n v="3"/>
    <n v="1"/>
    <n v="1"/>
    <n v="35"/>
    <n v="0"/>
    <n v="3"/>
    <n v="10"/>
    <n v="9"/>
    <n v="1"/>
    <n v="4"/>
    <x v="1"/>
    <x v="0"/>
    <x v="2"/>
    <x v="1"/>
    <x v="2"/>
    <x v="4"/>
    <x v="1"/>
    <x v="0"/>
    <s v="Low"/>
    <x v="1"/>
    <x v="3"/>
    <x v="3"/>
    <x v="0"/>
  </r>
  <r>
    <n v="31"/>
    <x v="1"/>
    <s v="Travel_Rarely"/>
    <n v="1276"/>
    <x v="1"/>
    <n v="2"/>
    <n v="1"/>
    <s v="Medical"/>
    <n v="1974"/>
    <n v="4"/>
    <x v="0"/>
    <n v="59"/>
    <n v="1"/>
    <n v="1"/>
    <x v="2"/>
    <n v="4"/>
    <x v="2"/>
    <n v="1129"/>
    <n v="1"/>
    <x v="0"/>
    <n v="11"/>
    <n v="3"/>
    <n v="3"/>
    <n v="3"/>
    <n v="1"/>
    <n v="4"/>
    <n v="3"/>
    <n v="1"/>
    <n v="0"/>
    <n v="0"/>
    <n v="0"/>
    <x v="1"/>
    <x v="0"/>
    <x v="1"/>
    <x v="2"/>
    <x v="3"/>
    <x v="1"/>
    <x v="0"/>
    <x v="3"/>
    <s v="High"/>
    <x v="1"/>
    <x v="2"/>
    <x v="1"/>
    <x v="1"/>
  </r>
  <r>
    <n v="39"/>
    <x v="1"/>
    <s v="Travel_Rarely"/>
    <n v="119"/>
    <x v="0"/>
    <n v="15"/>
    <n v="4"/>
    <s v="Marketing"/>
    <n v="1975"/>
    <n v="2"/>
    <x v="1"/>
    <n v="77"/>
    <n v="3"/>
    <n v="4"/>
    <x v="0"/>
    <n v="1"/>
    <x v="0"/>
    <n v="13341"/>
    <n v="0"/>
    <x v="1"/>
    <n v="12"/>
    <n v="3"/>
    <n v="1"/>
    <n v="0"/>
    <n v="21"/>
    <n v="3"/>
    <n v="3"/>
    <n v="20"/>
    <n v="8"/>
    <n v="11"/>
    <n v="10"/>
    <x v="1"/>
    <x v="1"/>
    <x v="2"/>
    <x v="0"/>
    <x v="0"/>
    <x v="3"/>
    <x v="3"/>
    <x v="0"/>
    <s v="No Options"/>
    <x v="1"/>
    <x v="0"/>
    <x v="3"/>
    <x v="4"/>
  </r>
  <r>
    <n v="42"/>
    <x v="1"/>
    <s v="Non-Travel"/>
    <n v="335"/>
    <x v="1"/>
    <n v="23"/>
    <n v="2"/>
    <s v="Life Sciences"/>
    <n v="1976"/>
    <n v="4"/>
    <x v="1"/>
    <n v="37"/>
    <n v="2"/>
    <n v="2"/>
    <x v="1"/>
    <n v="3"/>
    <x v="0"/>
    <n v="4332"/>
    <n v="1"/>
    <x v="1"/>
    <n v="12"/>
    <n v="3"/>
    <n v="4"/>
    <n v="0"/>
    <n v="20"/>
    <n v="2"/>
    <n v="3"/>
    <n v="20"/>
    <n v="9"/>
    <n v="3"/>
    <n v="7"/>
    <x v="1"/>
    <x v="1"/>
    <x v="0"/>
    <x v="2"/>
    <x v="1"/>
    <x v="0"/>
    <x v="2"/>
    <x v="1"/>
    <s v="No Options"/>
    <x v="1"/>
    <x v="0"/>
    <x v="0"/>
    <x v="4"/>
  </r>
  <r>
    <n v="31"/>
    <x v="1"/>
    <s v="Non-Travel"/>
    <n v="697"/>
    <x v="1"/>
    <n v="10"/>
    <n v="3"/>
    <s v="Medical"/>
    <n v="1979"/>
    <n v="3"/>
    <x v="0"/>
    <n v="40"/>
    <n v="3"/>
    <n v="3"/>
    <x v="7"/>
    <n v="3"/>
    <x v="1"/>
    <n v="11031"/>
    <n v="4"/>
    <x v="1"/>
    <n v="20"/>
    <n v="4"/>
    <n v="3"/>
    <n v="1"/>
    <n v="13"/>
    <n v="2"/>
    <n v="4"/>
    <n v="11"/>
    <n v="7"/>
    <n v="4"/>
    <n v="8"/>
    <x v="1"/>
    <x v="1"/>
    <x v="3"/>
    <x v="1"/>
    <x v="0"/>
    <x v="2"/>
    <x v="2"/>
    <x v="3"/>
    <s v="Low"/>
    <x v="3"/>
    <x v="2"/>
    <x v="2"/>
    <x v="4"/>
  </r>
  <r>
    <n v="54"/>
    <x v="1"/>
    <s v="Travel_Rarely"/>
    <n v="157"/>
    <x v="1"/>
    <n v="10"/>
    <n v="3"/>
    <s v="Medical"/>
    <n v="1980"/>
    <n v="3"/>
    <x v="0"/>
    <n v="77"/>
    <n v="3"/>
    <n v="2"/>
    <x v="3"/>
    <n v="1"/>
    <x v="0"/>
    <n v="4440"/>
    <n v="6"/>
    <x v="0"/>
    <n v="19"/>
    <n v="3"/>
    <n v="4"/>
    <n v="0"/>
    <n v="9"/>
    <n v="3"/>
    <n v="3"/>
    <n v="5"/>
    <n v="2"/>
    <n v="1"/>
    <n v="4"/>
    <x v="1"/>
    <x v="0"/>
    <x v="3"/>
    <x v="1"/>
    <x v="0"/>
    <x v="0"/>
    <x v="3"/>
    <x v="1"/>
    <s v="No Options"/>
    <x v="1"/>
    <x v="1"/>
    <x v="0"/>
    <x v="2"/>
  </r>
  <r>
    <n v="24"/>
    <x v="1"/>
    <s v="Travel_Rarely"/>
    <n v="771"/>
    <x v="1"/>
    <n v="1"/>
    <n v="2"/>
    <s v="Life Sciences"/>
    <n v="1981"/>
    <n v="2"/>
    <x v="1"/>
    <n v="45"/>
    <n v="2"/>
    <n v="2"/>
    <x v="4"/>
    <n v="3"/>
    <x v="0"/>
    <n v="4617"/>
    <n v="1"/>
    <x v="1"/>
    <n v="12"/>
    <n v="3"/>
    <n v="2"/>
    <n v="0"/>
    <n v="4"/>
    <n v="2"/>
    <n v="2"/>
    <n v="4"/>
    <n v="3"/>
    <n v="1"/>
    <n v="2"/>
    <x v="1"/>
    <x v="1"/>
    <x v="0"/>
    <x v="0"/>
    <x v="1"/>
    <x v="0"/>
    <x v="2"/>
    <x v="2"/>
    <s v="No Options"/>
    <x v="2"/>
    <x v="4"/>
    <x v="0"/>
    <x v="2"/>
  </r>
  <r>
    <n v="23"/>
    <x v="1"/>
    <s v="Travel_Rarely"/>
    <n v="571"/>
    <x v="1"/>
    <n v="12"/>
    <n v="2"/>
    <s v="Other"/>
    <n v="1982"/>
    <n v="4"/>
    <x v="1"/>
    <n v="78"/>
    <n v="3"/>
    <n v="1"/>
    <x v="2"/>
    <n v="4"/>
    <x v="0"/>
    <n v="2647"/>
    <n v="1"/>
    <x v="1"/>
    <n v="13"/>
    <n v="3"/>
    <n v="3"/>
    <n v="0"/>
    <n v="5"/>
    <n v="6"/>
    <n v="4"/>
    <n v="5"/>
    <n v="2"/>
    <n v="1"/>
    <n v="4"/>
    <x v="1"/>
    <x v="1"/>
    <x v="0"/>
    <x v="2"/>
    <x v="0"/>
    <x v="1"/>
    <x v="0"/>
    <x v="3"/>
    <s v="No Options"/>
    <x v="3"/>
    <x v="4"/>
    <x v="1"/>
    <x v="2"/>
  </r>
  <r>
    <n v="40"/>
    <x v="1"/>
    <s v="Travel_Frequently"/>
    <n v="692"/>
    <x v="1"/>
    <n v="11"/>
    <n v="3"/>
    <s v="Technical Degree"/>
    <n v="1985"/>
    <n v="4"/>
    <x v="0"/>
    <n v="73"/>
    <n v="3"/>
    <n v="2"/>
    <x v="2"/>
    <n v="3"/>
    <x v="1"/>
    <n v="6323"/>
    <n v="1"/>
    <x v="1"/>
    <n v="11"/>
    <n v="3"/>
    <n v="1"/>
    <n v="1"/>
    <n v="10"/>
    <n v="2"/>
    <n v="4"/>
    <n v="10"/>
    <n v="9"/>
    <n v="9"/>
    <n v="4"/>
    <x v="1"/>
    <x v="1"/>
    <x v="3"/>
    <x v="2"/>
    <x v="0"/>
    <x v="0"/>
    <x v="2"/>
    <x v="0"/>
    <s v="Low"/>
    <x v="3"/>
    <x v="0"/>
    <x v="0"/>
    <x v="0"/>
  </r>
  <r>
    <n v="40"/>
    <x v="1"/>
    <s v="Travel_Rarely"/>
    <n v="444"/>
    <x v="0"/>
    <n v="2"/>
    <n v="2"/>
    <s v="Marketing"/>
    <n v="1986"/>
    <n v="2"/>
    <x v="0"/>
    <n v="92"/>
    <n v="3"/>
    <n v="2"/>
    <x v="0"/>
    <n v="2"/>
    <x v="1"/>
    <n v="5677"/>
    <n v="3"/>
    <x v="1"/>
    <n v="14"/>
    <n v="3"/>
    <n v="3"/>
    <n v="1"/>
    <n v="15"/>
    <n v="4"/>
    <n v="3"/>
    <n v="11"/>
    <n v="8"/>
    <n v="5"/>
    <n v="10"/>
    <x v="1"/>
    <x v="1"/>
    <x v="0"/>
    <x v="0"/>
    <x v="0"/>
    <x v="0"/>
    <x v="1"/>
    <x v="3"/>
    <s v="Low"/>
    <x v="1"/>
    <x v="0"/>
    <x v="0"/>
    <x v="4"/>
  </r>
  <r>
    <n v="25"/>
    <x v="1"/>
    <s v="Travel_Rarely"/>
    <n v="309"/>
    <x v="2"/>
    <n v="2"/>
    <n v="3"/>
    <s v="Human Resources"/>
    <n v="1987"/>
    <n v="3"/>
    <x v="0"/>
    <n v="82"/>
    <n v="3"/>
    <n v="1"/>
    <x v="8"/>
    <n v="2"/>
    <x v="1"/>
    <n v="2187"/>
    <n v="4"/>
    <x v="1"/>
    <n v="14"/>
    <n v="3"/>
    <n v="3"/>
    <n v="0"/>
    <n v="6"/>
    <n v="3"/>
    <n v="3"/>
    <n v="2"/>
    <n v="0"/>
    <n v="1"/>
    <n v="2"/>
    <x v="1"/>
    <x v="1"/>
    <x v="3"/>
    <x v="1"/>
    <x v="0"/>
    <x v="1"/>
    <x v="1"/>
    <x v="3"/>
    <s v="No Options"/>
    <x v="1"/>
    <x v="2"/>
    <x v="1"/>
    <x v="1"/>
  </r>
  <r>
    <n v="30"/>
    <x v="1"/>
    <s v="Travel_Rarely"/>
    <n v="911"/>
    <x v="1"/>
    <n v="1"/>
    <n v="2"/>
    <s v="Medical"/>
    <n v="1989"/>
    <n v="4"/>
    <x v="1"/>
    <n v="76"/>
    <n v="3"/>
    <n v="1"/>
    <x v="2"/>
    <n v="2"/>
    <x v="1"/>
    <n v="3748"/>
    <n v="1"/>
    <x v="1"/>
    <n v="13"/>
    <n v="3"/>
    <n v="3"/>
    <n v="0"/>
    <n v="12"/>
    <n v="6"/>
    <n v="2"/>
    <n v="12"/>
    <n v="8"/>
    <n v="1"/>
    <n v="7"/>
    <x v="1"/>
    <x v="1"/>
    <x v="0"/>
    <x v="2"/>
    <x v="0"/>
    <x v="1"/>
    <x v="1"/>
    <x v="3"/>
    <s v="No Options"/>
    <x v="2"/>
    <x v="2"/>
    <x v="0"/>
    <x v="4"/>
  </r>
  <r>
    <n v="25"/>
    <x v="1"/>
    <s v="Travel_Rarely"/>
    <n v="977"/>
    <x v="1"/>
    <n v="2"/>
    <n v="1"/>
    <s v="Other"/>
    <n v="1992"/>
    <n v="4"/>
    <x v="1"/>
    <n v="57"/>
    <n v="3"/>
    <n v="1"/>
    <x v="2"/>
    <n v="3"/>
    <x v="2"/>
    <n v="3977"/>
    <n v="6"/>
    <x v="0"/>
    <n v="19"/>
    <n v="3"/>
    <n v="3"/>
    <n v="1"/>
    <n v="7"/>
    <n v="2"/>
    <n v="2"/>
    <n v="2"/>
    <n v="2"/>
    <n v="0"/>
    <n v="2"/>
    <x v="1"/>
    <x v="0"/>
    <x v="1"/>
    <x v="2"/>
    <x v="0"/>
    <x v="1"/>
    <x v="2"/>
    <x v="3"/>
    <s v="Low"/>
    <x v="2"/>
    <x v="2"/>
    <x v="0"/>
    <x v="1"/>
  </r>
  <r>
    <n v="47"/>
    <x v="1"/>
    <s v="Travel_Rarely"/>
    <n v="1180"/>
    <x v="1"/>
    <n v="25"/>
    <n v="3"/>
    <s v="Medical"/>
    <n v="1993"/>
    <n v="1"/>
    <x v="1"/>
    <n v="84"/>
    <n v="3"/>
    <n v="3"/>
    <x v="4"/>
    <n v="3"/>
    <x v="0"/>
    <n v="8633"/>
    <n v="2"/>
    <x v="1"/>
    <n v="23"/>
    <n v="4"/>
    <n v="2"/>
    <n v="0"/>
    <n v="25"/>
    <n v="3"/>
    <n v="3"/>
    <n v="17"/>
    <n v="14"/>
    <n v="12"/>
    <n v="11"/>
    <x v="1"/>
    <x v="1"/>
    <x v="3"/>
    <x v="3"/>
    <x v="0"/>
    <x v="2"/>
    <x v="2"/>
    <x v="2"/>
    <s v="No Options"/>
    <x v="1"/>
    <x v="1"/>
    <x v="2"/>
    <x v="4"/>
  </r>
  <r>
    <n v="33"/>
    <x v="1"/>
    <s v="Non-Travel"/>
    <n v="1313"/>
    <x v="1"/>
    <n v="1"/>
    <n v="2"/>
    <s v="Medical"/>
    <n v="1994"/>
    <n v="2"/>
    <x v="1"/>
    <n v="59"/>
    <n v="2"/>
    <n v="1"/>
    <x v="2"/>
    <n v="3"/>
    <x v="2"/>
    <n v="2008"/>
    <n v="1"/>
    <x v="1"/>
    <n v="12"/>
    <n v="3"/>
    <n v="3"/>
    <n v="3"/>
    <n v="1"/>
    <n v="2"/>
    <n v="2"/>
    <n v="1"/>
    <n v="1"/>
    <n v="0"/>
    <n v="0"/>
    <x v="1"/>
    <x v="1"/>
    <x v="0"/>
    <x v="0"/>
    <x v="1"/>
    <x v="1"/>
    <x v="2"/>
    <x v="3"/>
    <s v="High"/>
    <x v="2"/>
    <x v="2"/>
    <x v="1"/>
    <x v="1"/>
  </r>
  <r>
    <n v="38"/>
    <x v="1"/>
    <s v="Travel_Rarely"/>
    <n v="1321"/>
    <x v="0"/>
    <n v="1"/>
    <n v="4"/>
    <s v="Life Sciences"/>
    <n v="1995"/>
    <n v="4"/>
    <x v="1"/>
    <n v="86"/>
    <n v="3"/>
    <n v="2"/>
    <x v="0"/>
    <n v="2"/>
    <x v="1"/>
    <n v="4440"/>
    <n v="0"/>
    <x v="1"/>
    <n v="15"/>
    <n v="3"/>
    <n v="1"/>
    <n v="2"/>
    <n v="16"/>
    <n v="3"/>
    <n v="3"/>
    <n v="15"/>
    <n v="13"/>
    <n v="5"/>
    <n v="8"/>
    <x v="1"/>
    <x v="1"/>
    <x v="2"/>
    <x v="2"/>
    <x v="0"/>
    <x v="0"/>
    <x v="1"/>
    <x v="0"/>
    <s v="Medium"/>
    <x v="1"/>
    <x v="0"/>
    <x v="0"/>
    <x v="4"/>
  </r>
  <r>
    <n v="31"/>
    <x v="1"/>
    <s v="Travel_Rarely"/>
    <n v="1154"/>
    <x v="0"/>
    <n v="2"/>
    <n v="2"/>
    <s v="Life Sciences"/>
    <n v="1996"/>
    <n v="1"/>
    <x v="1"/>
    <n v="54"/>
    <n v="3"/>
    <n v="1"/>
    <x v="6"/>
    <n v="3"/>
    <x v="1"/>
    <n v="3067"/>
    <n v="0"/>
    <x v="1"/>
    <n v="19"/>
    <n v="3"/>
    <n v="3"/>
    <n v="1"/>
    <n v="3"/>
    <n v="1"/>
    <n v="3"/>
    <n v="2"/>
    <n v="2"/>
    <n v="1"/>
    <n v="2"/>
    <x v="1"/>
    <x v="1"/>
    <x v="0"/>
    <x v="3"/>
    <x v="0"/>
    <x v="1"/>
    <x v="2"/>
    <x v="3"/>
    <s v="Low"/>
    <x v="1"/>
    <x v="2"/>
    <x v="0"/>
    <x v="1"/>
  </r>
  <r>
    <n v="38"/>
    <x v="1"/>
    <s v="Travel_Frequently"/>
    <n v="508"/>
    <x v="1"/>
    <n v="6"/>
    <n v="4"/>
    <s v="Life Sciences"/>
    <n v="1997"/>
    <n v="1"/>
    <x v="1"/>
    <n v="72"/>
    <n v="2"/>
    <n v="2"/>
    <x v="3"/>
    <n v="3"/>
    <x v="1"/>
    <n v="5321"/>
    <n v="2"/>
    <x v="1"/>
    <n v="11"/>
    <n v="3"/>
    <n v="4"/>
    <n v="1"/>
    <n v="10"/>
    <n v="1"/>
    <n v="3"/>
    <n v="8"/>
    <n v="3"/>
    <n v="7"/>
    <n v="7"/>
    <x v="1"/>
    <x v="1"/>
    <x v="2"/>
    <x v="3"/>
    <x v="1"/>
    <x v="0"/>
    <x v="2"/>
    <x v="1"/>
    <s v="Low"/>
    <x v="1"/>
    <x v="0"/>
    <x v="0"/>
    <x v="0"/>
  </r>
  <r>
    <n v="42"/>
    <x v="1"/>
    <s v="Travel_Rarely"/>
    <n v="557"/>
    <x v="1"/>
    <n v="18"/>
    <n v="4"/>
    <s v="Life Sciences"/>
    <n v="1998"/>
    <n v="4"/>
    <x v="1"/>
    <n v="35"/>
    <n v="3"/>
    <n v="2"/>
    <x v="1"/>
    <n v="1"/>
    <x v="2"/>
    <n v="5410"/>
    <n v="6"/>
    <x v="0"/>
    <n v="17"/>
    <n v="3"/>
    <n v="3"/>
    <n v="1"/>
    <n v="9"/>
    <n v="3"/>
    <n v="2"/>
    <n v="4"/>
    <n v="3"/>
    <n v="1"/>
    <n v="2"/>
    <x v="1"/>
    <x v="0"/>
    <x v="2"/>
    <x v="2"/>
    <x v="0"/>
    <x v="0"/>
    <x v="3"/>
    <x v="3"/>
    <s v="Low"/>
    <x v="2"/>
    <x v="0"/>
    <x v="0"/>
    <x v="2"/>
  </r>
  <r>
    <n v="41"/>
    <x v="1"/>
    <s v="Travel_Rarely"/>
    <n v="642"/>
    <x v="1"/>
    <n v="1"/>
    <n v="3"/>
    <s v="Life Sciences"/>
    <n v="1999"/>
    <n v="4"/>
    <x v="1"/>
    <n v="76"/>
    <n v="3"/>
    <n v="1"/>
    <x v="1"/>
    <n v="4"/>
    <x v="1"/>
    <n v="2782"/>
    <n v="3"/>
    <x v="1"/>
    <n v="22"/>
    <n v="4"/>
    <n v="1"/>
    <n v="1"/>
    <n v="12"/>
    <n v="3"/>
    <n v="3"/>
    <n v="5"/>
    <n v="3"/>
    <n v="1"/>
    <n v="0"/>
    <x v="1"/>
    <x v="1"/>
    <x v="3"/>
    <x v="2"/>
    <x v="0"/>
    <x v="1"/>
    <x v="0"/>
    <x v="0"/>
    <s v="Low"/>
    <x v="1"/>
    <x v="0"/>
    <x v="1"/>
    <x v="2"/>
  </r>
  <r>
    <n v="47"/>
    <x v="1"/>
    <s v="Non-Travel"/>
    <n v="1162"/>
    <x v="1"/>
    <n v="1"/>
    <n v="1"/>
    <s v="Medical"/>
    <n v="2000"/>
    <n v="3"/>
    <x v="0"/>
    <n v="98"/>
    <n v="3"/>
    <n v="3"/>
    <x v="7"/>
    <n v="2"/>
    <x v="1"/>
    <n v="11957"/>
    <n v="0"/>
    <x v="1"/>
    <n v="18"/>
    <n v="3"/>
    <n v="1"/>
    <n v="2"/>
    <n v="14"/>
    <n v="3"/>
    <n v="1"/>
    <n v="13"/>
    <n v="8"/>
    <n v="5"/>
    <n v="12"/>
    <x v="1"/>
    <x v="1"/>
    <x v="1"/>
    <x v="1"/>
    <x v="0"/>
    <x v="2"/>
    <x v="1"/>
    <x v="0"/>
    <s v="Medium"/>
    <x v="0"/>
    <x v="1"/>
    <x v="2"/>
    <x v="4"/>
  </r>
  <r>
    <n v="35"/>
    <x v="1"/>
    <s v="Travel_Rarely"/>
    <n v="1490"/>
    <x v="1"/>
    <n v="11"/>
    <n v="4"/>
    <s v="Medical"/>
    <n v="2003"/>
    <n v="4"/>
    <x v="1"/>
    <n v="43"/>
    <n v="3"/>
    <n v="1"/>
    <x v="2"/>
    <n v="3"/>
    <x v="1"/>
    <n v="2660"/>
    <n v="7"/>
    <x v="0"/>
    <n v="11"/>
    <n v="3"/>
    <n v="3"/>
    <n v="1"/>
    <n v="5"/>
    <n v="3"/>
    <n v="3"/>
    <n v="2"/>
    <n v="2"/>
    <n v="2"/>
    <n v="2"/>
    <x v="1"/>
    <x v="0"/>
    <x v="2"/>
    <x v="2"/>
    <x v="0"/>
    <x v="1"/>
    <x v="2"/>
    <x v="3"/>
    <s v="Low"/>
    <x v="1"/>
    <x v="0"/>
    <x v="1"/>
    <x v="1"/>
  </r>
  <r>
    <n v="22"/>
    <x v="1"/>
    <s v="Travel_Rarely"/>
    <n v="581"/>
    <x v="1"/>
    <n v="1"/>
    <n v="2"/>
    <s v="Life Sciences"/>
    <n v="2007"/>
    <n v="4"/>
    <x v="1"/>
    <n v="63"/>
    <n v="3"/>
    <n v="1"/>
    <x v="1"/>
    <n v="3"/>
    <x v="0"/>
    <n v="3375"/>
    <n v="0"/>
    <x v="1"/>
    <n v="12"/>
    <n v="3"/>
    <n v="4"/>
    <n v="0"/>
    <n v="4"/>
    <n v="2"/>
    <n v="4"/>
    <n v="3"/>
    <n v="2"/>
    <n v="1"/>
    <n v="2"/>
    <x v="1"/>
    <x v="1"/>
    <x v="0"/>
    <x v="2"/>
    <x v="0"/>
    <x v="1"/>
    <x v="2"/>
    <x v="1"/>
    <s v="No Options"/>
    <x v="3"/>
    <x v="4"/>
    <x v="0"/>
    <x v="2"/>
  </r>
  <r>
    <n v="35"/>
    <x v="1"/>
    <s v="Travel_Rarely"/>
    <n v="1395"/>
    <x v="1"/>
    <n v="9"/>
    <n v="4"/>
    <s v="Medical"/>
    <n v="2008"/>
    <n v="2"/>
    <x v="1"/>
    <n v="48"/>
    <n v="3"/>
    <n v="2"/>
    <x v="1"/>
    <n v="3"/>
    <x v="0"/>
    <n v="5098"/>
    <n v="1"/>
    <x v="1"/>
    <n v="19"/>
    <n v="3"/>
    <n v="2"/>
    <n v="0"/>
    <n v="10"/>
    <n v="5"/>
    <n v="3"/>
    <n v="10"/>
    <n v="7"/>
    <n v="0"/>
    <n v="8"/>
    <x v="1"/>
    <x v="1"/>
    <x v="2"/>
    <x v="0"/>
    <x v="0"/>
    <x v="0"/>
    <x v="2"/>
    <x v="2"/>
    <s v="No Options"/>
    <x v="1"/>
    <x v="0"/>
    <x v="0"/>
    <x v="0"/>
  </r>
  <r>
    <n v="33"/>
    <x v="1"/>
    <s v="Travel_Rarely"/>
    <n v="501"/>
    <x v="1"/>
    <n v="15"/>
    <n v="2"/>
    <s v="Medical"/>
    <n v="2009"/>
    <n v="2"/>
    <x v="0"/>
    <n v="95"/>
    <n v="3"/>
    <n v="2"/>
    <x v="4"/>
    <n v="4"/>
    <x v="1"/>
    <n v="4878"/>
    <n v="0"/>
    <x v="0"/>
    <n v="13"/>
    <n v="3"/>
    <n v="1"/>
    <n v="1"/>
    <n v="10"/>
    <n v="6"/>
    <n v="3"/>
    <n v="9"/>
    <n v="7"/>
    <n v="8"/>
    <n v="1"/>
    <x v="1"/>
    <x v="0"/>
    <x v="0"/>
    <x v="0"/>
    <x v="0"/>
    <x v="0"/>
    <x v="0"/>
    <x v="0"/>
    <s v="Low"/>
    <x v="1"/>
    <x v="2"/>
    <x v="0"/>
    <x v="0"/>
  </r>
  <r>
    <n v="32"/>
    <x v="1"/>
    <s v="Travel_Rarely"/>
    <n v="267"/>
    <x v="1"/>
    <n v="29"/>
    <n v="4"/>
    <s v="Life Sciences"/>
    <n v="2010"/>
    <n v="3"/>
    <x v="0"/>
    <n v="49"/>
    <n v="2"/>
    <n v="1"/>
    <x v="2"/>
    <n v="2"/>
    <x v="0"/>
    <n v="2837"/>
    <n v="1"/>
    <x v="1"/>
    <n v="13"/>
    <n v="3"/>
    <n v="3"/>
    <n v="0"/>
    <n v="6"/>
    <n v="3"/>
    <n v="3"/>
    <n v="6"/>
    <n v="2"/>
    <n v="4"/>
    <n v="1"/>
    <x v="1"/>
    <x v="1"/>
    <x v="2"/>
    <x v="1"/>
    <x v="1"/>
    <x v="1"/>
    <x v="1"/>
    <x v="3"/>
    <s v="No Options"/>
    <x v="1"/>
    <x v="2"/>
    <x v="1"/>
    <x v="0"/>
  </r>
  <r>
    <n v="40"/>
    <x v="1"/>
    <s v="Travel_Rarely"/>
    <n v="543"/>
    <x v="1"/>
    <n v="1"/>
    <n v="4"/>
    <s v="Life Sciences"/>
    <n v="2012"/>
    <n v="1"/>
    <x v="1"/>
    <n v="83"/>
    <n v="3"/>
    <n v="1"/>
    <x v="2"/>
    <n v="4"/>
    <x v="1"/>
    <n v="2406"/>
    <n v="8"/>
    <x v="1"/>
    <n v="19"/>
    <n v="3"/>
    <n v="3"/>
    <n v="2"/>
    <n v="8"/>
    <n v="3"/>
    <n v="2"/>
    <n v="1"/>
    <n v="0"/>
    <n v="0"/>
    <n v="0"/>
    <x v="1"/>
    <x v="1"/>
    <x v="2"/>
    <x v="3"/>
    <x v="0"/>
    <x v="1"/>
    <x v="0"/>
    <x v="3"/>
    <s v="Medium"/>
    <x v="2"/>
    <x v="0"/>
    <x v="1"/>
    <x v="1"/>
  </r>
  <r>
    <n v="32"/>
    <x v="1"/>
    <s v="Travel_Rarely"/>
    <n v="234"/>
    <x v="0"/>
    <n v="1"/>
    <n v="4"/>
    <s v="Medical"/>
    <n v="2013"/>
    <n v="2"/>
    <x v="1"/>
    <n v="68"/>
    <n v="2"/>
    <n v="1"/>
    <x v="6"/>
    <n v="2"/>
    <x v="1"/>
    <n v="2269"/>
    <n v="0"/>
    <x v="1"/>
    <n v="14"/>
    <n v="3"/>
    <n v="2"/>
    <n v="1"/>
    <n v="3"/>
    <n v="2"/>
    <n v="3"/>
    <n v="2"/>
    <n v="2"/>
    <n v="2"/>
    <n v="2"/>
    <x v="1"/>
    <x v="1"/>
    <x v="2"/>
    <x v="0"/>
    <x v="1"/>
    <x v="1"/>
    <x v="1"/>
    <x v="2"/>
    <s v="Low"/>
    <x v="1"/>
    <x v="2"/>
    <x v="1"/>
    <x v="1"/>
  </r>
  <r>
    <n v="39"/>
    <x v="1"/>
    <s v="Travel_Rarely"/>
    <n v="116"/>
    <x v="1"/>
    <n v="24"/>
    <n v="1"/>
    <s v="Life Sciences"/>
    <n v="2014"/>
    <n v="1"/>
    <x v="1"/>
    <n v="52"/>
    <n v="3"/>
    <n v="2"/>
    <x v="1"/>
    <n v="4"/>
    <x v="0"/>
    <n v="4108"/>
    <n v="7"/>
    <x v="1"/>
    <n v="13"/>
    <n v="3"/>
    <n v="1"/>
    <n v="0"/>
    <n v="18"/>
    <n v="2"/>
    <n v="3"/>
    <n v="7"/>
    <n v="7"/>
    <n v="1"/>
    <n v="7"/>
    <x v="1"/>
    <x v="1"/>
    <x v="1"/>
    <x v="3"/>
    <x v="0"/>
    <x v="0"/>
    <x v="0"/>
    <x v="0"/>
    <s v="No Options"/>
    <x v="1"/>
    <x v="0"/>
    <x v="0"/>
    <x v="0"/>
  </r>
  <r>
    <n v="38"/>
    <x v="1"/>
    <s v="Travel_Rarely"/>
    <n v="201"/>
    <x v="1"/>
    <n v="10"/>
    <n v="3"/>
    <s v="Medical"/>
    <n v="2015"/>
    <n v="2"/>
    <x v="0"/>
    <n v="99"/>
    <n v="1"/>
    <n v="3"/>
    <x v="7"/>
    <n v="3"/>
    <x v="1"/>
    <n v="13206"/>
    <n v="3"/>
    <x v="1"/>
    <n v="12"/>
    <n v="3"/>
    <n v="1"/>
    <n v="1"/>
    <n v="20"/>
    <n v="3"/>
    <n v="3"/>
    <n v="18"/>
    <n v="16"/>
    <n v="1"/>
    <n v="11"/>
    <x v="1"/>
    <x v="1"/>
    <x v="3"/>
    <x v="0"/>
    <x v="3"/>
    <x v="2"/>
    <x v="2"/>
    <x v="0"/>
    <s v="Low"/>
    <x v="1"/>
    <x v="0"/>
    <x v="3"/>
    <x v="4"/>
  </r>
  <r>
    <n v="32"/>
    <x v="1"/>
    <s v="Travel_Rarely"/>
    <n v="801"/>
    <x v="0"/>
    <n v="1"/>
    <n v="4"/>
    <s v="Marketing"/>
    <n v="2016"/>
    <n v="3"/>
    <x v="0"/>
    <n v="48"/>
    <n v="3"/>
    <n v="3"/>
    <x v="0"/>
    <n v="4"/>
    <x v="1"/>
    <n v="10422"/>
    <n v="1"/>
    <x v="1"/>
    <n v="19"/>
    <n v="3"/>
    <n v="3"/>
    <n v="2"/>
    <n v="14"/>
    <n v="3"/>
    <n v="3"/>
    <n v="14"/>
    <n v="10"/>
    <n v="5"/>
    <n v="7"/>
    <x v="1"/>
    <x v="1"/>
    <x v="2"/>
    <x v="1"/>
    <x v="0"/>
    <x v="2"/>
    <x v="0"/>
    <x v="3"/>
    <s v="Medium"/>
    <x v="1"/>
    <x v="2"/>
    <x v="2"/>
    <x v="4"/>
  </r>
  <r>
    <n v="37"/>
    <x v="1"/>
    <s v="Travel_Rarely"/>
    <n v="161"/>
    <x v="1"/>
    <n v="10"/>
    <n v="3"/>
    <s v="Life Sciences"/>
    <n v="2017"/>
    <n v="3"/>
    <x v="0"/>
    <n v="42"/>
    <n v="4"/>
    <n v="3"/>
    <x v="7"/>
    <n v="4"/>
    <x v="1"/>
    <n v="13744"/>
    <n v="1"/>
    <x v="0"/>
    <n v="25"/>
    <n v="4"/>
    <n v="1"/>
    <n v="1"/>
    <n v="16"/>
    <n v="2"/>
    <n v="3"/>
    <n v="16"/>
    <n v="11"/>
    <n v="6"/>
    <n v="8"/>
    <x v="1"/>
    <x v="0"/>
    <x v="3"/>
    <x v="1"/>
    <x v="2"/>
    <x v="2"/>
    <x v="0"/>
    <x v="0"/>
    <s v="Low"/>
    <x v="1"/>
    <x v="0"/>
    <x v="3"/>
    <x v="4"/>
  </r>
  <r>
    <n v="25"/>
    <x v="1"/>
    <s v="Travel_Rarely"/>
    <n v="1382"/>
    <x v="0"/>
    <n v="8"/>
    <n v="2"/>
    <s v="Other"/>
    <n v="2018"/>
    <n v="1"/>
    <x v="0"/>
    <n v="85"/>
    <n v="3"/>
    <n v="2"/>
    <x v="0"/>
    <n v="3"/>
    <x v="2"/>
    <n v="4907"/>
    <n v="0"/>
    <x v="0"/>
    <n v="22"/>
    <n v="4"/>
    <n v="2"/>
    <n v="1"/>
    <n v="6"/>
    <n v="3"/>
    <n v="2"/>
    <n v="5"/>
    <n v="3"/>
    <n v="0"/>
    <n v="4"/>
    <x v="1"/>
    <x v="0"/>
    <x v="0"/>
    <x v="3"/>
    <x v="0"/>
    <x v="0"/>
    <x v="2"/>
    <x v="2"/>
    <s v="Low"/>
    <x v="2"/>
    <x v="2"/>
    <x v="0"/>
    <x v="2"/>
  </r>
  <r>
    <n v="52"/>
    <x v="1"/>
    <s v="Non-Travel"/>
    <n v="585"/>
    <x v="0"/>
    <n v="29"/>
    <n v="4"/>
    <s v="Life Sciences"/>
    <n v="2019"/>
    <n v="1"/>
    <x v="1"/>
    <n v="40"/>
    <n v="3"/>
    <n v="1"/>
    <x v="6"/>
    <n v="4"/>
    <x v="2"/>
    <n v="3482"/>
    <n v="2"/>
    <x v="1"/>
    <n v="15"/>
    <n v="3"/>
    <n v="2"/>
    <n v="2"/>
    <n v="16"/>
    <n v="3"/>
    <n v="2"/>
    <n v="9"/>
    <n v="8"/>
    <n v="0"/>
    <n v="0"/>
    <x v="1"/>
    <x v="1"/>
    <x v="2"/>
    <x v="3"/>
    <x v="0"/>
    <x v="1"/>
    <x v="0"/>
    <x v="2"/>
    <s v="Medium"/>
    <x v="2"/>
    <x v="1"/>
    <x v="0"/>
    <x v="0"/>
  </r>
  <r>
    <n v="44"/>
    <x v="1"/>
    <s v="Travel_Rarely"/>
    <n v="1037"/>
    <x v="1"/>
    <n v="1"/>
    <n v="3"/>
    <s v="Medical"/>
    <n v="2020"/>
    <n v="2"/>
    <x v="1"/>
    <n v="42"/>
    <n v="3"/>
    <n v="1"/>
    <x v="1"/>
    <n v="4"/>
    <x v="0"/>
    <n v="2436"/>
    <n v="6"/>
    <x v="0"/>
    <n v="12"/>
    <n v="3"/>
    <n v="3"/>
    <n v="0"/>
    <n v="6"/>
    <n v="2"/>
    <n v="3"/>
    <n v="4"/>
    <n v="3"/>
    <n v="1"/>
    <n v="2"/>
    <x v="1"/>
    <x v="0"/>
    <x v="3"/>
    <x v="0"/>
    <x v="0"/>
    <x v="1"/>
    <x v="0"/>
    <x v="3"/>
    <s v="No Options"/>
    <x v="1"/>
    <x v="0"/>
    <x v="1"/>
    <x v="2"/>
  </r>
  <r>
    <n v="21"/>
    <x v="1"/>
    <s v="Travel_Rarely"/>
    <n v="501"/>
    <x v="0"/>
    <n v="5"/>
    <n v="1"/>
    <s v="Medical"/>
    <n v="2021"/>
    <n v="3"/>
    <x v="1"/>
    <n v="58"/>
    <n v="3"/>
    <n v="1"/>
    <x v="6"/>
    <n v="1"/>
    <x v="0"/>
    <n v="2380"/>
    <n v="1"/>
    <x v="0"/>
    <n v="11"/>
    <n v="3"/>
    <n v="4"/>
    <n v="0"/>
    <n v="2"/>
    <n v="6"/>
    <n v="3"/>
    <n v="2"/>
    <n v="2"/>
    <n v="1"/>
    <n v="2"/>
    <x v="1"/>
    <x v="0"/>
    <x v="1"/>
    <x v="1"/>
    <x v="0"/>
    <x v="1"/>
    <x v="3"/>
    <x v="1"/>
    <s v="No Options"/>
    <x v="1"/>
    <x v="4"/>
    <x v="1"/>
    <x v="1"/>
  </r>
  <r>
    <n v="39"/>
    <x v="1"/>
    <s v="Non-Travel"/>
    <n v="105"/>
    <x v="1"/>
    <n v="9"/>
    <n v="3"/>
    <s v="Life Sciences"/>
    <n v="2022"/>
    <n v="4"/>
    <x v="1"/>
    <n v="87"/>
    <n v="3"/>
    <n v="5"/>
    <x v="5"/>
    <n v="4"/>
    <x v="0"/>
    <n v="19431"/>
    <n v="2"/>
    <x v="1"/>
    <n v="13"/>
    <n v="3"/>
    <n v="3"/>
    <n v="0"/>
    <n v="21"/>
    <n v="3"/>
    <n v="2"/>
    <n v="6"/>
    <n v="0"/>
    <n v="1"/>
    <n v="3"/>
    <x v="1"/>
    <x v="1"/>
    <x v="3"/>
    <x v="2"/>
    <x v="0"/>
    <x v="4"/>
    <x v="0"/>
    <x v="3"/>
    <s v="No Options"/>
    <x v="2"/>
    <x v="0"/>
    <x v="3"/>
    <x v="0"/>
  </r>
  <r>
    <n v="23"/>
    <x v="0"/>
    <s v="Travel_Frequently"/>
    <n v="638"/>
    <x v="0"/>
    <n v="9"/>
    <n v="3"/>
    <s v="Marketing"/>
    <n v="2023"/>
    <n v="4"/>
    <x v="1"/>
    <n v="33"/>
    <n v="3"/>
    <n v="1"/>
    <x v="6"/>
    <n v="1"/>
    <x v="1"/>
    <n v="1790"/>
    <n v="1"/>
    <x v="1"/>
    <n v="19"/>
    <n v="3"/>
    <n v="1"/>
    <n v="1"/>
    <n v="1"/>
    <n v="3"/>
    <n v="2"/>
    <n v="1"/>
    <n v="0"/>
    <n v="1"/>
    <n v="0"/>
    <x v="0"/>
    <x v="1"/>
    <x v="3"/>
    <x v="2"/>
    <x v="0"/>
    <x v="1"/>
    <x v="3"/>
    <x v="0"/>
    <s v="Low"/>
    <x v="2"/>
    <x v="4"/>
    <x v="1"/>
    <x v="1"/>
  </r>
  <r>
    <n v="36"/>
    <x v="1"/>
    <s v="Travel_Rarely"/>
    <n v="557"/>
    <x v="0"/>
    <n v="3"/>
    <n v="3"/>
    <s v="Medical"/>
    <n v="2024"/>
    <n v="1"/>
    <x v="0"/>
    <n v="94"/>
    <n v="2"/>
    <n v="3"/>
    <x v="0"/>
    <n v="4"/>
    <x v="1"/>
    <n v="7644"/>
    <n v="0"/>
    <x v="1"/>
    <n v="19"/>
    <n v="3"/>
    <n v="3"/>
    <n v="2"/>
    <n v="10"/>
    <n v="2"/>
    <n v="3"/>
    <n v="9"/>
    <n v="7"/>
    <n v="3"/>
    <n v="4"/>
    <x v="1"/>
    <x v="1"/>
    <x v="3"/>
    <x v="3"/>
    <x v="1"/>
    <x v="2"/>
    <x v="0"/>
    <x v="3"/>
    <s v="Medium"/>
    <x v="1"/>
    <x v="0"/>
    <x v="2"/>
    <x v="0"/>
  </r>
  <r>
    <n v="36"/>
    <x v="1"/>
    <s v="Travel_Frequently"/>
    <n v="688"/>
    <x v="1"/>
    <n v="4"/>
    <n v="2"/>
    <s v="Life Sciences"/>
    <n v="2025"/>
    <n v="4"/>
    <x v="0"/>
    <n v="97"/>
    <n v="3"/>
    <n v="2"/>
    <x v="3"/>
    <n v="2"/>
    <x v="2"/>
    <n v="5131"/>
    <n v="7"/>
    <x v="1"/>
    <n v="13"/>
    <n v="3"/>
    <n v="2"/>
    <n v="3"/>
    <n v="18"/>
    <n v="3"/>
    <n v="3"/>
    <n v="4"/>
    <n v="2"/>
    <n v="0"/>
    <n v="2"/>
    <x v="1"/>
    <x v="1"/>
    <x v="0"/>
    <x v="2"/>
    <x v="0"/>
    <x v="0"/>
    <x v="1"/>
    <x v="2"/>
    <s v="High"/>
    <x v="1"/>
    <x v="0"/>
    <x v="0"/>
    <x v="2"/>
  </r>
  <r>
    <n v="56"/>
    <x v="1"/>
    <s v="Non-Travel"/>
    <n v="667"/>
    <x v="1"/>
    <n v="1"/>
    <n v="4"/>
    <s v="Life Sciences"/>
    <n v="2026"/>
    <n v="3"/>
    <x v="1"/>
    <n v="57"/>
    <n v="3"/>
    <n v="2"/>
    <x v="4"/>
    <n v="3"/>
    <x v="2"/>
    <n v="6306"/>
    <n v="1"/>
    <x v="1"/>
    <n v="21"/>
    <n v="4"/>
    <n v="1"/>
    <n v="1"/>
    <n v="13"/>
    <n v="2"/>
    <n v="2"/>
    <n v="13"/>
    <n v="12"/>
    <n v="1"/>
    <n v="9"/>
    <x v="1"/>
    <x v="1"/>
    <x v="2"/>
    <x v="1"/>
    <x v="0"/>
    <x v="0"/>
    <x v="2"/>
    <x v="0"/>
    <s v="Low"/>
    <x v="2"/>
    <x v="3"/>
    <x v="0"/>
    <x v="4"/>
  </r>
  <r>
    <n v="29"/>
    <x v="0"/>
    <s v="Travel_Rarely"/>
    <n v="1092"/>
    <x v="1"/>
    <n v="1"/>
    <n v="4"/>
    <s v="Medical"/>
    <n v="2027"/>
    <n v="1"/>
    <x v="1"/>
    <n v="36"/>
    <n v="3"/>
    <n v="1"/>
    <x v="1"/>
    <n v="4"/>
    <x v="1"/>
    <n v="4787"/>
    <n v="9"/>
    <x v="0"/>
    <n v="14"/>
    <n v="3"/>
    <n v="2"/>
    <n v="3"/>
    <n v="4"/>
    <n v="3"/>
    <n v="4"/>
    <n v="2"/>
    <n v="2"/>
    <n v="2"/>
    <n v="2"/>
    <x v="0"/>
    <x v="0"/>
    <x v="2"/>
    <x v="3"/>
    <x v="0"/>
    <x v="1"/>
    <x v="0"/>
    <x v="2"/>
    <s v="High"/>
    <x v="3"/>
    <x v="2"/>
    <x v="0"/>
    <x v="1"/>
  </r>
  <r>
    <n v="42"/>
    <x v="1"/>
    <s v="Travel_Rarely"/>
    <n v="300"/>
    <x v="1"/>
    <n v="2"/>
    <n v="3"/>
    <s v="Life Sciences"/>
    <n v="2031"/>
    <n v="1"/>
    <x v="1"/>
    <n v="56"/>
    <n v="3"/>
    <n v="5"/>
    <x v="5"/>
    <n v="3"/>
    <x v="1"/>
    <n v="18880"/>
    <n v="5"/>
    <x v="1"/>
    <n v="11"/>
    <n v="3"/>
    <n v="1"/>
    <n v="0"/>
    <n v="24"/>
    <n v="2"/>
    <n v="2"/>
    <n v="22"/>
    <n v="6"/>
    <n v="4"/>
    <n v="14"/>
    <x v="1"/>
    <x v="1"/>
    <x v="3"/>
    <x v="3"/>
    <x v="0"/>
    <x v="4"/>
    <x v="2"/>
    <x v="0"/>
    <s v="No Options"/>
    <x v="2"/>
    <x v="0"/>
    <x v="3"/>
    <x v="3"/>
  </r>
  <r>
    <n v="56"/>
    <x v="0"/>
    <s v="Travel_Rarely"/>
    <n v="310"/>
    <x v="1"/>
    <n v="7"/>
    <n v="2"/>
    <s v="Technical Degree"/>
    <n v="2032"/>
    <n v="4"/>
    <x v="1"/>
    <n v="72"/>
    <n v="3"/>
    <n v="1"/>
    <x v="2"/>
    <n v="3"/>
    <x v="1"/>
    <n v="2339"/>
    <n v="8"/>
    <x v="1"/>
    <n v="11"/>
    <n v="3"/>
    <n v="4"/>
    <n v="1"/>
    <n v="14"/>
    <n v="4"/>
    <n v="1"/>
    <n v="10"/>
    <n v="9"/>
    <n v="9"/>
    <n v="8"/>
    <x v="0"/>
    <x v="1"/>
    <x v="0"/>
    <x v="2"/>
    <x v="0"/>
    <x v="1"/>
    <x v="2"/>
    <x v="1"/>
    <s v="Low"/>
    <x v="0"/>
    <x v="3"/>
    <x v="1"/>
    <x v="0"/>
  </r>
  <r>
    <n v="41"/>
    <x v="1"/>
    <s v="Travel_Rarely"/>
    <n v="582"/>
    <x v="1"/>
    <n v="28"/>
    <n v="4"/>
    <s v="Life Sciences"/>
    <n v="2034"/>
    <n v="1"/>
    <x v="0"/>
    <n v="60"/>
    <n v="2"/>
    <n v="4"/>
    <x v="3"/>
    <n v="2"/>
    <x v="1"/>
    <n v="13570"/>
    <n v="0"/>
    <x v="1"/>
    <n v="23"/>
    <n v="4"/>
    <n v="3"/>
    <n v="1"/>
    <n v="21"/>
    <n v="3"/>
    <n v="3"/>
    <n v="20"/>
    <n v="7"/>
    <n v="0"/>
    <n v="10"/>
    <x v="1"/>
    <x v="1"/>
    <x v="2"/>
    <x v="3"/>
    <x v="1"/>
    <x v="3"/>
    <x v="1"/>
    <x v="3"/>
    <s v="Low"/>
    <x v="1"/>
    <x v="0"/>
    <x v="3"/>
    <x v="4"/>
  </r>
  <r>
    <n v="34"/>
    <x v="1"/>
    <s v="Travel_Rarely"/>
    <n v="704"/>
    <x v="0"/>
    <n v="28"/>
    <n v="3"/>
    <s v="Marketing"/>
    <n v="2035"/>
    <n v="4"/>
    <x v="0"/>
    <n v="95"/>
    <n v="2"/>
    <n v="2"/>
    <x v="0"/>
    <n v="3"/>
    <x v="1"/>
    <n v="6712"/>
    <n v="1"/>
    <x v="1"/>
    <n v="21"/>
    <n v="4"/>
    <n v="4"/>
    <n v="2"/>
    <n v="8"/>
    <n v="2"/>
    <n v="3"/>
    <n v="8"/>
    <n v="7"/>
    <n v="1"/>
    <n v="7"/>
    <x v="1"/>
    <x v="1"/>
    <x v="3"/>
    <x v="2"/>
    <x v="1"/>
    <x v="0"/>
    <x v="2"/>
    <x v="1"/>
    <s v="Medium"/>
    <x v="1"/>
    <x v="2"/>
    <x v="0"/>
    <x v="0"/>
  </r>
  <r>
    <n v="36"/>
    <x v="1"/>
    <s v="Non-Travel"/>
    <n v="301"/>
    <x v="0"/>
    <n v="15"/>
    <n v="4"/>
    <s v="Marketing"/>
    <n v="2036"/>
    <n v="4"/>
    <x v="1"/>
    <n v="88"/>
    <n v="1"/>
    <n v="2"/>
    <x v="0"/>
    <n v="4"/>
    <x v="2"/>
    <n v="5406"/>
    <n v="1"/>
    <x v="1"/>
    <n v="24"/>
    <n v="4"/>
    <n v="1"/>
    <n v="1"/>
    <n v="15"/>
    <n v="4"/>
    <n v="2"/>
    <n v="15"/>
    <n v="12"/>
    <n v="11"/>
    <n v="11"/>
    <x v="1"/>
    <x v="1"/>
    <x v="2"/>
    <x v="2"/>
    <x v="3"/>
    <x v="0"/>
    <x v="0"/>
    <x v="0"/>
    <s v="Low"/>
    <x v="2"/>
    <x v="0"/>
    <x v="0"/>
    <x v="4"/>
  </r>
  <r>
    <n v="41"/>
    <x v="1"/>
    <s v="Travel_Rarely"/>
    <n v="930"/>
    <x v="0"/>
    <n v="3"/>
    <n v="3"/>
    <s v="Life Sciences"/>
    <n v="2037"/>
    <n v="3"/>
    <x v="1"/>
    <n v="57"/>
    <n v="2"/>
    <n v="2"/>
    <x v="0"/>
    <n v="2"/>
    <x v="2"/>
    <n v="8938"/>
    <n v="2"/>
    <x v="1"/>
    <n v="11"/>
    <n v="3"/>
    <n v="3"/>
    <n v="1"/>
    <n v="14"/>
    <n v="5"/>
    <n v="3"/>
    <n v="5"/>
    <n v="4"/>
    <n v="0"/>
    <n v="4"/>
    <x v="1"/>
    <x v="1"/>
    <x v="3"/>
    <x v="1"/>
    <x v="1"/>
    <x v="0"/>
    <x v="1"/>
    <x v="3"/>
    <s v="Low"/>
    <x v="1"/>
    <x v="0"/>
    <x v="2"/>
    <x v="2"/>
  </r>
  <r>
    <n v="32"/>
    <x v="1"/>
    <s v="Travel_Rarely"/>
    <n v="529"/>
    <x v="1"/>
    <n v="2"/>
    <n v="3"/>
    <s v="Technical Degree"/>
    <n v="2038"/>
    <n v="4"/>
    <x v="1"/>
    <n v="78"/>
    <n v="3"/>
    <n v="1"/>
    <x v="1"/>
    <n v="1"/>
    <x v="0"/>
    <n v="2439"/>
    <n v="1"/>
    <x v="1"/>
    <n v="14"/>
    <n v="3"/>
    <n v="4"/>
    <n v="0"/>
    <n v="4"/>
    <n v="4"/>
    <n v="3"/>
    <n v="4"/>
    <n v="2"/>
    <n v="1"/>
    <n v="2"/>
    <x v="1"/>
    <x v="1"/>
    <x v="3"/>
    <x v="2"/>
    <x v="0"/>
    <x v="1"/>
    <x v="3"/>
    <x v="1"/>
    <s v="No Options"/>
    <x v="1"/>
    <x v="2"/>
    <x v="1"/>
    <x v="2"/>
  </r>
  <r>
    <n v="35"/>
    <x v="1"/>
    <s v="Travel_Rarely"/>
    <n v="1146"/>
    <x v="2"/>
    <n v="26"/>
    <n v="4"/>
    <s v="Life Sciences"/>
    <n v="2040"/>
    <n v="3"/>
    <x v="0"/>
    <n v="31"/>
    <n v="3"/>
    <n v="3"/>
    <x v="8"/>
    <n v="4"/>
    <x v="0"/>
    <n v="8837"/>
    <n v="1"/>
    <x v="0"/>
    <n v="16"/>
    <n v="3"/>
    <n v="3"/>
    <n v="0"/>
    <n v="9"/>
    <n v="2"/>
    <n v="3"/>
    <n v="9"/>
    <n v="0"/>
    <n v="1"/>
    <n v="7"/>
    <x v="1"/>
    <x v="0"/>
    <x v="2"/>
    <x v="1"/>
    <x v="0"/>
    <x v="2"/>
    <x v="0"/>
    <x v="3"/>
    <s v="No Options"/>
    <x v="1"/>
    <x v="0"/>
    <x v="2"/>
    <x v="0"/>
  </r>
  <r>
    <n v="38"/>
    <x v="1"/>
    <s v="Travel_Rarely"/>
    <n v="345"/>
    <x v="0"/>
    <n v="10"/>
    <n v="2"/>
    <s v="Life Sciences"/>
    <n v="2041"/>
    <n v="1"/>
    <x v="0"/>
    <n v="100"/>
    <n v="3"/>
    <n v="2"/>
    <x v="0"/>
    <n v="4"/>
    <x v="1"/>
    <n v="5343"/>
    <n v="1"/>
    <x v="1"/>
    <n v="11"/>
    <n v="3"/>
    <n v="3"/>
    <n v="1"/>
    <n v="10"/>
    <n v="1"/>
    <n v="3"/>
    <n v="10"/>
    <n v="7"/>
    <n v="1"/>
    <n v="9"/>
    <x v="1"/>
    <x v="1"/>
    <x v="0"/>
    <x v="3"/>
    <x v="0"/>
    <x v="0"/>
    <x v="0"/>
    <x v="3"/>
    <s v="Low"/>
    <x v="1"/>
    <x v="0"/>
    <x v="0"/>
    <x v="0"/>
  </r>
  <r>
    <n v="50"/>
    <x v="0"/>
    <s v="Travel_Frequently"/>
    <n v="878"/>
    <x v="0"/>
    <n v="1"/>
    <n v="4"/>
    <s v="Life Sciences"/>
    <n v="2044"/>
    <n v="2"/>
    <x v="1"/>
    <n v="94"/>
    <n v="3"/>
    <n v="2"/>
    <x v="0"/>
    <n v="3"/>
    <x v="2"/>
    <n v="6728"/>
    <n v="7"/>
    <x v="1"/>
    <n v="12"/>
    <n v="3"/>
    <n v="4"/>
    <n v="2"/>
    <n v="12"/>
    <n v="3"/>
    <n v="3"/>
    <n v="6"/>
    <n v="3"/>
    <n v="0"/>
    <n v="1"/>
    <x v="0"/>
    <x v="1"/>
    <x v="2"/>
    <x v="0"/>
    <x v="0"/>
    <x v="0"/>
    <x v="2"/>
    <x v="1"/>
    <s v="Medium"/>
    <x v="1"/>
    <x v="1"/>
    <x v="0"/>
    <x v="0"/>
  </r>
  <r>
    <n v="36"/>
    <x v="1"/>
    <s v="Travel_Rarely"/>
    <n v="1120"/>
    <x v="0"/>
    <n v="11"/>
    <n v="4"/>
    <s v="Marketing"/>
    <n v="2045"/>
    <n v="2"/>
    <x v="0"/>
    <n v="100"/>
    <n v="2"/>
    <n v="2"/>
    <x v="0"/>
    <n v="4"/>
    <x v="1"/>
    <n v="6652"/>
    <n v="4"/>
    <x v="1"/>
    <n v="13"/>
    <n v="3"/>
    <n v="1"/>
    <n v="1"/>
    <n v="8"/>
    <n v="2"/>
    <n v="2"/>
    <n v="6"/>
    <n v="3"/>
    <n v="0"/>
    <n v="0"/>
    <x v="1"/>
    <x v="1"/>
    <x v="2"/>
    <x v="0"/>
    <x v="1"/>
    <x v="0"/>
    <x v="0"/>
    <x v="0"/>
    <s v="Low"/>
    <x v="2"/>
    <x v="0"/>
    <x v="0"/>
    <x v="0"/>
  </r>
  <r>
    <n v="45"/>
    <x v="1"/>
    <s v="Travel_Rarely"/>
    <n v="374"/>
    <x v="0"/>
    <n v="20"/>
    <n v="3"/>
    <s v="Life Sciences"/>
    <n v="2046"/>
    <n v="4"/>
    <x v="0"/>
    <n v="50"/>
    <n v="3"/>
    <n v="2"/>
    <x v="0"/>
    <n v="3"/>
    <x v="0"/>
    <n v="4850"/>
    <n v="8"/>
    <x v="1"/>
    <n v="15"/>
    <n v="3"/>
    <n v="3"/>
    <n v="0"/>
    <n v="8"/>
    <n v="3"/>
    <n v="3"/>
    <n v="5"/>
    <n v="3"/>
    <n v="0"/>
    <n v="1"/>
    <x v="1"/>
    <x v="1"/>
    <x v="3"/>
    <x v="2"/>
    <x v="0"/>
    <x v="0"/>
    <x v="2"/>
    <x v="3"/>
    <s v="No Options"/>
    <x v="1"/>
    <x v="1"/>
    <x v="0"/>
    <x v="2"/>
  </r>
  <r>
    <n v="40"/>
    <x v="1"/>
    <s v="Travel_Rarely"/>
    <n v="1322"/>
    <x v="1"/>
    <n v="2"/>
    <n v="4"/>
    <s v="Life Sciences"/>
    <n v="2048"/>
    <n v="3"/>
    <x v="1"/>
    <n v="52"/>
    <n v="2"/>
    <n v="1"/>
    <x v="1"/>
    <n v="3"/>
    <x v="0"/>
    <n v="2809"/>
    <n v="2"/>
    <x v="1"/>
    <n v="14"/>
    <n v="3"/>
    <n v="4"/>
    <n v="0"/>
    <n v="8"/>
    <n v="2"/>
    <n v="3"/>
    <n v="2"/>
    <n v="2"/>
    <n v="2"/>
    <n v="2"/>
    <x v="1"/>
    <x v="1"/>
    <x v="2"/>
    <x v="1"/>
    <x v="1"/>
    <x v="1"/>
    <x v="2"/>
    <x v="1"/>
    <s v="No Options"/>
    <x v="1"/>
    <x v="0"/>
    <x v="1"/>
    <x v="1"/>
  </r>
  <r>
    <n v="35"/>
    <x v="1"/>
    <s v="Travel_Frequently"/>
    <n v="1199"/>
    <x v="1"/>
    <n v="18"/>
    <n v="4"/>
    <s v="Life Sciences"/>
    <n v="2049"/>
    <n v="3"/>
    <x v="1"/>
    <n v="80"/>
    <n v="3"/>
    <n v="2"/>
    <x v="4"/>
    <n v="3"/>
    <x v="1"/>
    <n v="5689"/>
    <n v="1"/>
    <x v="0"/>
    <n v="14"/>
    <n v="3"/>
    <n v="4"/>
    <n v="2"/>
    <n v="10"/>
    <n v="2"/>
    <n v="4"/>
    <n v="10"/>
    <n v="2"/>
    <n v="0"/>
    <n v="2"/>
    <x v="1"/>
    <x v="0"/>
    <x v="2"/>
    <x v="1"/>
    <x v="0"/>
    <x v="0"/>
    <x v="2"/>
    <x v="1"/>
    <s v="Medium"/>
    <x v="3"/>
    <x v="0"/>
    <x v="0"/>
    <x v="0"/>
  </r>
  <r>
    <n v="40"/>
    <x v="1"/>
    <s v="Travel_Rarely"/>
    <n v="1194"/>
    <x v="1"/>
    <n v="2"/>
    <n v="4"/>
    <s v="Medical"/>
    <n v="2051"/>
    <n v="3"/>
    <x v="0"/>
    <n v="98"/>
    <n v="3"/>
    <n v="1"/>
    <x v="1"/>
    <n v="3"/>
    <x v="1"/>
    <n v="2001"/>
    <n v="2"/>
    <x v="1"/>
    <n v="14"/>
    <n v="3"/>
    <n v="2"/>
    <n v="3"/>
    <n v="20"/>
    <n v="2"/>
    <n v="3"/>
    <n v="5"/>
    <n v="3"/>
    <n v="0"/>
    <n v="2"/>
    <x v="1"/>
    <x v="1"/>
    <x v="2"/>
    <x v="1"/>
    <x v="0"/>
    <x v="1"/>
    <x v="2"/>
    <x v="2"/>
    <s v="High"/>
    <x v="1"/>
    <x v="0"/>
    <x v="1"/>
    <x v="2"/>
  </r>
  <r>
    <n v="35"/>
    <x v="1"/>
    <s v="Travel_Rarely"/>
    <n v="287"/>
    <x v="1"/>
    <n v="1"/>
    <n v="4"/>
    <s v="Life Sciences"/>
    <n v="2052"/>
    <n v="3"/>
    <x v="0"/>
    <n v="62"/>
    <n v="1"/>
    <n v="1"/>
    <x v="1"/>
    <n v="4"/>
    <x v="1"/>
    <n v="2977"/>
    <n v="1"/>
    <x v="1"/>
    <n v="12"/>
    <n v="3"/>
    <n v="4"/>
    <n v="1"/>
    <n v="4"/>
    <n v="5"/>
    <n v="3"/>
    <n v="4"/>
    <n v="3"/>
    <n v="1"/>
    <n v="1"/>
    <x v="1"/>
    <x v="1"/>
    <x v="2"/>
    <x v="1"/>
    <x v="3"/>
    <x v="1"/>
    <x v="0"/>
    <x v="1"/>
    <s v="Low"/>
    <x v="1"/>
    <x v="0"/>
    <x v="1"/>
    <x v="2"/>
  </r>
  <r>
    <n v="29"/>
    <x v="1"/>
    <s v="Travel_Rarely"/>
    <n v="1378"/>
    <x v="1"/>
    <n v="13"/>
    <n v="2"/>
    <s v="Other"/>
    <n v="2053"/>
    <n v="4"/>
    <x v="1"/>
    <n v="46"/>
    <n v="2"/>
    <n v="2"/>
    <x v="2"/>
    <n v="2"/>
    <x v="1"/>
    <n v="4025"/>
    <n v="4"/>
    <x v="0"/>
    <n v="13"/>
    <n v="3"/>
    <n v="1"/>
    <n v="1"/>
    <n v="10"/>
    <n v="2"/>
    <n v="3"/>
    <n v="4"/>
    <n v="3"/>
    <n v="0"/>
    <n v="3"/>
    <x v="1"/>
    <x v="0"/>
    <x v="0"/>
    <x v="2"/>
    <x v="1"/>
    <x v="0"/>
    <x v="1"/>
    <x v="0"/>
    <s v="Low"/>
    <x v="1"/>
    <x v="2"/>
    <x v="0"/>
    <x v="2"/>
  </r>
  <r>
    <n v="29"/>
    <x v="1"/>
    <s v="Travel_Rarely"/>
    <n v="468"/>
    <x v="1"/>
    <n v="28"/>
    <n v="4"/>
    <s v="Medical"/>
    <n v="2054"/>
    <n v="4"/>
    <x v="0"/>
    <n v="73"/>
    <n v="2"/>
    <n v="1"/>
    <x v="1"/>
    <n v="1"/>
    <x v="0"/>
    <n v="3785"/>
    <n v="1"/>
    <x v="1"/>
    <n v="14"/>
    <n v="3"/>
    <n v="2"/>
    <n v="0"/>
    <n v="5"/>
    <n v="3"/>
    <n v="1"/>
    <n v="5"/>
    <n v="4"/>
    <n v="0"/>
    <n v="4"/>
    <x v="1"/>
    <x v="1"/>
    <x v="2"/>
    <x v="2"/>
    <x v="1"/>
    <x v="1"/>
    <x v="3"/>
    <x v="2"/>
    <s v="No Options"/>
    <x v="0"/>
    <x v="2"/>
    <x v="0"/>
    <x v="2"/>
  </r>
  <r>
    <n v="50"/>
    <x v="0"/>
    <s v="Travel_Rarely"/>
    <n v="410"/>
    <x v="0"/>
    <n v="28"/>
    <n v="3"/>
    <s v="Marketing"/>
    <n v="2055"/>
    <n v="4"/>
    <x v="1"/>
    <n v="39"/>
    <n v="2"/>
    <n v="3"/>
    <x v="0"/>
    <n v="1"/>
    <x v="2"/>
    <n v="10854"/>
    <n v="4"/>
    <x v="0"/>
    <n v="13"/>
    <n v="3"/>
    <n v="2"/>
    <n v="1"/>
    <n v="20"/>
    <n v="3"/>
    <n v="3"/>
    <n v="3"/>
    <n v="2"/>
    <n v="2"/>
    <n v="0"/>
    <x v="0"/>
    <x v="0"/>
    <x v="3"/>
    <x v="2"/>
    <x v="1"/>
    <x v="2"/>
    <x v="3"/>
    <x v="2"/>
    <s v="Low"/>
    <x v="1"/>
    <x v="1"/>
    <x v="2"/>
    <x v="2"/>
  </r>
  <r>
    <n v="39"/>
    <x v="1"/>
    <s v="Travel_Rarely"/>
    <n v="722"/>
    <x v="0"/>
    <n v="24"/>
    <n v="1"/>
    <s v="Marketing"/>
    <n v="2056"/>
    <n v="2"/>
    <x v="0"/>
    <n v="60"/>
    <n v="2"/>
    <n v="4"/>
    <x v="0"/>
    <n v="4"/>
    <x v="1"/>
    <n v="12031"/>
    <n v="0"/>
    <x v="1"/>
    <n v="11"/>
    <n v="3"/>
    <n v="1"/>
    <n v="1"/>
    <n v="21"/>
    <n v="2"/>
    <n v="2"/>
    <n v="20"/>
    <n v="9"/>
    <n v="9"/>
    <n v="6"/>
    <x v="1"/>
    <x v="1"/>
    <x v="1"/>
    <x v="0"/>
    <x v="1"/>
    <x v="3"/>
    <x v="0"/>
    <x v="0"/>
    <s v="Low"/>
    <x v="2"/>
    <x v="0"/>
    <x v="2"/>
    <x v="4"/>
  </r>
  <r>
    <n v="31"/>
    <x v="1"/>
    <s v="Non-Travel"/>
    <n v="325"/>
    <x v="1"/>
    <n v="5"/>
    <n v="3"/>
    <s v="Medical"/>
    <n v="2057"/>
    <n v="2"/>
    <x v="1"/>
    <n v="74"/>
    <n v="3"/>
    <n v="2"/>
    <x v="3"/>
    <n v="1"/>
    <x v="0"/>
    <n v="9936"/>
    <n v="0"/>
    <x v="1"/>
    <n v="19"/>
    <n v="3"/>
    <n v="2"/>
    <n v="0"/>
    <n v="10"/>
    <n v="2"/>
    <n v="3"/>
    <n v="9"/>
    <n v="4"/>
    <n v="1"/>
    <n v="7"/>
    <x v="1"/>
    <x v="1"/>
    <x v="3"/>
    <x v="0"/>
    <x v="0"/>
    <x v="0"/>
    <x v="3"/>
    <x v="2"/>
    <s v="No Options"/>
    <x v="1"/>
    <x v="2"/>
    <x v="2"/>
    <x v="0"/>
  </r>
  <r>
    <n v="26"/>
    <x v="1"/>
    <s v="Travel_Rarely"/>
    <n v="1167"/>
    <x v="0"/>
    <n v="5"/>
    <n v="3"/>
    <s v="Other"/>
    <n v="2060"/>
    <n v="4"/>
    <x v="0"/>
    <n v="30"/>
    <n v="2"/>
    <n v="1"/>
    <x v="6"/>
    <n v="3"/>
    <x v="0"/>
    <n v="2966"/>
    <n v="0"/>
    <x v="1"/>
    <n v="18"/>
    <n v="3"/>
    <n v="4"/>
    <n v="0"/>
    <n v="5"/>
    <n v="2"/>
    <n v="3"/>
    <n v="4"/>
    <n v="2"/>
    <n v="0"/>
    <n v="0"/>
    <x v="1"/>
    <x v="1"/>
    <x v="3"/>
    <x v="2"/>
    <x v="1"/>
    <x v="1"/>
    <x v="2"/>
    <x v="1"/>
    <s v="No Options"/>
    <x v="1"/>
    <x v="2"/>
    <x v="1"/>
    <x v="2"/>
  </r>
  <r>
    <n v="36"/>
    <x v="1"/>
    <s v="Travel_Frequently"/>
    <n v="884"/>
    <x v="1"/>
    <n v="23"/>
    <n v="2"/>
    <s v="Medical"/>
    <n v="2061"/>
    <n v="3"/>
    <x v="1"/>
    <n v="41"/>
    <n v="4"/>
    <n v="2"/>
    <x v="2"/>
    <n v="4"/>
    <x v="1"/>
    <n v="2571"/>
    <n v="4"/>
    <x v="1"/>
    <n v="17"/>
    <n v="3"/>
    <n v="3"/>
    <n v="1"/>
    <n v="17"/>
    <n v="3"/>
    <n v="3"/>
    <n v="5"/>
    <n v="2"/>
    <n v="0"/>
    <n v="3"/>
    <x v="1"/>
    <x v="1"/>
    <x v="0"/>
    <x v="1"/>
    <x v="2"/>
    <x v="0"/>
    <x v="0"/>
    <x v="3"/>
    <s v="Low"/>
    <x v="1"/>
    <x v="0"/>
    <x v="1"/>
    <x v="2"/>
  </r>
  <r>
    <n v="39"/>
    <x v="1"/>
    <s v="Travel_Rarely"/>
    <n v="613"/>
    <x v="1"/>
    <n v="6"/>
    <n v="1"/>
    <s v="Medical"/>
    <n v="2062"/>
    <n v="4"/>
    <x v="1"/>
    <n v="42"/>
    <n v="2"/>
    <n v="3"/>
    <x v="4"/>
    <n v="1"/>
    <x v="1"/>
    <n v="9991"/>
    <n v="4"/>
    <x v="1"/>
    <n v="15"/>
    <n v="3"/>
    <n v="1"/>
    <n v="1"/>
    <n v="9"/>
    <n v="5"/>
    <n v="3"/>
    <n v="7"/>
    <n v="7"/>
    <n v="1"/>
    <n v="7"/>
    <x v="1"/>
    <x v="1"/>
    <x v="1"/>
    <x v="2"/>
    <x v="1"/>
    <x v="2"/>
    <x v="3"/>
    <x v="0"/>
    <s v="Low"/>
    <x v="1"/>
    <x v="0"/>
    <x v="2"/>
    <x v="0"/>
  </r>
  <r>
    <n v="27"/>
    <x v="1"/>
    <s v="Travel_Rarely"/>
    <n v="155"/>
    <x v="1"/>
    <n v="4"/>
    <n v="3"/>
    <s v="Life Sciences"/>
    <n v="2064"/>
    <n v="2"/>
    <x v="1"/>
    <n v="87"/>
    <n v="4"/>
    <n v="2"/>
    <x v="3"/>
    <n v="2"/>
    <x v="1"/>
    <n v="6142"/>
    <n v="1"/>
    <x v="0"/>
    <n v="20"/>
    <n v="4"/>
    <n v="2"/>
    <n v="1"/>
    <n v="6"/>
    <n v="0"/>
    <n v="3"/>
    <n v="6"/>
    <n v="2"/>
    <n v="0"/>
    <n v="3"/>
    <x v="1"/>
    <x v="0"/>
    <x v="3"/>
    <x v="0"/>
    <x v="2"/>
    <x v="0"/>
    <x v="1"/>
    <x v="2"/>
    <s v="Low"/>
    <x v="1"/>
    <x v="2"/>
    <x v="0"/>
    <x v="0"/>
  </r>
  <r>
    <n v="49"/>
    <x v="1"/>
    <s v="Travel_Frequently"/>
    <n v="1023"/>
    <x v="0"/>
    <n v="2"/>
    <n v="3"/>
    <s v="Medical"/>
    <n v="2065"/>
    <n v="4"/>
    <x v="1"/>
    <n v="63"/>
    <n v="2"/>
    <n v="2"/>
    <x v="0"/>
    <n v="2"/>
    <x v="1"/>
    <n v="5390"/>
    <n v="2"/>
    <x v="1"/>
    <n v="14"/>
    <n v="3"/>
    <n v="4"/>
    <n v="0"/>
    <n v="17"/>
    <n v="3"/>
    <n v="2"/>
    <n v="9"/>
    <n v="6"/>
    <n v="0"/>
    <n v="8"/>
    <x v="1"/>
    <x v="1"/>
    <x v="3"/>
    <x v="2"/>
    <x v="1"/>
    <x v="0"/>
    <x v="1"/>
    <x v="1"/>
    <s v="No Options"/>
    <x v="2"/>
    <x v="1"/>
    <x v="0"/>
    <x v="0"/>
  </r>
  <r>
    <n v="34"/>
    <x v="1"/>
    <s v="Travel_Rarely"/>
    <n v="628"/>
    <x v="1"/>
    <n v="8"/>
    <n v="3"/>
    <s v="Medical"/>
    <n v="2068"/>
    <n v="2"/>
    <x v="1"/>
    <n v="82"/>
    <n v="4"/>
    <n v="2"/>
    <x v="2"/>
    <n v="3"/>
    <x v="1"/>
    <n v="4404"/>
    <n v="2"/>
    <x v="1"/>
    <n v="12"/>
    <n v="3"/>
    <n v="1"/>
    <n v="0"/>
    <n v="6"/>
    <n v="3"/>
    <n v="4"/>
    <n v="4"/>
    <n v="3"/>
    <n v="1"/>
    <n v="2"/>
    <x v="1"/>
    <x v="1"/>
    <x v="3"/>
    <x v="0"/>
    <x v="2"/>
    <x v="0"/>
    <x v="2"/>
    <x v="0"/>
    <s v="No Options"/>
    <x v="3"/>
    <x v="2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0251F-AB59-4F7E-87DB-40D2C16F70D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25:E28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10" baseItem="0"/>
    <dataField name="Total Employees" fld="31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A5174-A2F9-4255-9870-CCDB01FE29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5:E9" firstHeaderRow="0" firstDataRow="1" firstDataCol="1"/>
  <pivotFields count="44"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" baseItem="0"/>
    <dataField name="Total Employees" fld="3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EA9E4-2499-4F97-AD29-F113038E89F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12:E22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14" baseItem="0"/>
    <dataField name="Total Employees" fld="31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1C124-98FA-4749-A239-D44B0F0A47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5:E11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4"/>
        <item x="2"/>
        <item x="0"/>
        <item x="1"/>
        <item x="3"/>
        <item t="default"/>
      </items>
    </pivotField>
    <pivotField compact="0" showAll="0"/>
    <pivotField compact="0" showAll="0"/>
  </pivotFields>
  <rowFields count="1">
    <field x="4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1" baseItem="0"/>
    <dataField name="Total Employees" fld="31" subtotal="count" baseField="4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3E592-127B-4810-A4FD-59565EAC5EF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33:E39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 sortType="descending">
      <items count="6">
        <item x="3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6">
        <item x="4"/>
        <item x="2"/>
        <item x="0"/>
        <item x="1"/>
        <item x="3"/>
        <item t="default"/>
      </items>
    </pivotField>
    <pivotField compact="0" showAll="0"/>
    <pivotField axis="axisRow" compact="0" showAll="0">
      <items count="6">
        <item x="1"/>
        <item x="2"/>
        <item x="0"/>
        <item x="4"/>
        <item x="3"/>
        <item t="default"/>
      </items>
    </pivotField>
  </pivotFields>
  <rowFields count="1">
    <field x="4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1" baseItem="0"/>
    <dataField name="Total Employees" fld="31" subtotal="count" baseField="4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C990C-C582-4E6F-B710-01D2AF99A32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23:E29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6">
        <item x="1"/>
        <item x="0"/>
        <item x="3"/>
        <item x="2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6">
        <item x="4"/>
        <item x="2"/>
        <item x="0"/>
        <item x="1"/>
        <item x="3"/>
        <item t="default"/>
      </items>
    </pivotField>
    <pivotField compact="0" showAll="0"/>
    <pivotField compact="0" showAll="0"/>
  </pivotFields>
  <rowFields count="1">
    <field x="3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1" baseItem="0"/>
    <dataField name="Total Employees" fld="31" subtotal="count" baseField="4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0845D-83C9-4BEC-A9F6-3E63D944AD7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15:E19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axis="axisRow" compact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6">
        <item x="4"/>
        <item x="2"/>
        <item x="0"/>
        <item x="1"/>
        <item x="3"/>
        <item t="default"/>
      </items>
    </pivotField>
    <pivotField compact="0" showAll="0"/>
    <pivotField compact="0" showAll="0"/>
  </pivotFields>
  <rowFields count="1">
    <field x="16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1" baseItem="0"/>
    <dataField name="Total Employees" fld="31" subtotal="count" baseField="4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17414-FC48-4AC7-B4DA-DF5989AA844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5:E10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</pivotFields>
  <rowFields count="1">
    <field x="42"/>
  </rowFields>
  <rowItems count="5">
    <i>
      <x v="1"/>
    </i>
    <i>
      <x v="2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2" baseItem="0"/>
    <dataField name="Total Employees" fld="31" subtotal="count" baseField="4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F73DE-872F-4DED-83D3-DDB84201E821}" name="PivotTable8" cacheId="0" applyNumberFormats="0" applyBorderFormats="0" applyFontFormats="0" applyPatternFormats="0" applyAlignmentFormats="0" applyWidthHeightFormats="1" dataCaption="Values" updatedVersion="8" minRefreshableVersion="3" showDrill="0" itemPrintTitles="1" createdVersion="8" indent="0" outline="1" outlineData="1" multipleFieldFilters="0" rowHeaderCaption="Department" colHeaderCaption="Overtime">
  <location ref="C31:F41" firstHeaderRow="0" firstDataRow="1" firstDataCol="1"/>
  <pivotFields count="44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</pivotFields>
  <rowFields count="2">
    <field x="4"/>
    <field x="19"/>
  </rowFields>
  <rowItems count="10">
    <i>
      <x/>
    </i>
    <i r="1">
      <x/>
    </i>
    <i r="1">
      <x v="1"/>
    </i>
    <i>
      <x v="1"/>
    </i>
    <i r="1">
      <x v="1"/>
    </i>
    <i r="1">
      <x/>
    </i>
    <i>
      <x v="2"/>
    </i>
    <i r="1">
      <x v="1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4" baseItem="0"/>
    <dataField name="Total Employees" fld="31" subtotal="count" baseField="4" baseItem="1"/>
    <dataField name="Attrition Rate %" fld="31" subtotal="average" baseField="4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31011-50A3-4E4D-A985-F95B52049E73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outline="1" outlineData="1" compactData="0" multipleFieldFilters="0">
  <location ref="C21:E27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1"/>
        <item x="0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</pivotFields>
  <rowFields count="1">
    <field x="3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2" baseItem="0"/>
    <dataField name="Total Employees" fld="31" subtotal="count" baseField="4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39137-2811-4B33-99C6-01A6F427074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C14:E17" firstHeaderRow="0" firstDataRow="1" firstDataCol="1"/>
  <pivotFields count="4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</pivotFields>
  <rowFields count="1">
    <field x="19"/>
  </rowFields>
  <rowItems count="3"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Employees Left" fld="31" baseField="42" baseItem="0"/>
    <dataField name="Total Employees" fld="31" subtotal="count" baseField="4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09B79-6F11-46E3-B835-C3A201E6F90F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Satisfaction_Label">
  <location ref="C5:F10" firstHeaderRow="0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37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36" baseItem="0"/>
    <dataField name="Total Employees" fld="31" subtotal="count" baseField="36" baseItem="0"/>
    <dataField name="Attrition Rate %" fld="31" subtotal="average" baseField="3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1243D-DF3D-4D1B-9FDE-F9BC31841802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Involvement_Label">
  <location ref="C23:F28" firstHeaderRow="0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5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36" baseItem="0"/>
    <dataField name="Total Employees" fld="31" subtotal="count" baseField="36" baseItem="0"/>
    <dataField name="Attrition Rate %" fld="31" subtotal="average" baseField="3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ACF59-79F6-4091-99BB-5B150153AD4D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lationshipSatisfaction_Label">
  <location ref="I14:L19" firstHeaderRow="0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</pivotFields>
  <rowFields count="1">
    <field x="38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36" baseItem="0"/>
    <dataField name="Total Employees" fld="31" subtotal="count" baseField="36" baseItem="0"/>
    <dataField name="Attrition Rate %" fld="31" subtotal="average" baseField="3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61182-B69E-42F5-9EDE-F122E1196A50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rkLifeBalance_Label">
  <location ref="I5:L10" firstHeaderRow="0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</pivotFields>
  <rowFields count="1">
    <field x="40"/>
  </rowFields>
  <rowItems count="5">
    <i>
      <x/>
    </i>
    <i>
      <x v="1"/>
    </i>
    <i>
      <x v="3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36" baseItem="0"/>
    <dataField name="Total Employees" fld="31" subtotal="count" baseField="36" baseItem="0"/>
    <dataField name="Attrition Rate %" fld="31" subtotal="average" baseField="3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47D67-9676-4853-A8E5-D463774849C0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nvironmentSatisfaction_Label">
  <location ref="C14:F19" firstHeaderRow="0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4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mployees Left" fld="31" baseField="36" baseItem="0"/>
    <dataField name="Total Employees" fld="31" subtotal="count" baseField="36" baseItem="0"/>
    <dataField name="Attrition Rate %" fld="31" subtotal="average" baseField="3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E7EF3-751B-4D5D-94D0-666758CC46A5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Role">
  <location ref="C17:E27" firstHeaderRow="0" firstDataRow="1" firstDataCol="1" rowPageCount="1" colPageCount="1"/>
  <pivotFields count="44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2"/>
        <item x="1"/>
        <item x="5"/>
        <item x="6"/>
        <item x="4"/>
        <item x="3"/>
        <item x="8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Employees Lost" fld="31" subtotal="count" baseField="4" baseItem="0"/>
    <dataField name="Average Monthly Income" fld="17" subtotal="average" baseField="4" baseItem="0" numFmtId="166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1E3EF-3274-47DF-9F6D-B057D88CD32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C7:E11" firstHeaderRow="0" firstDataRow="1" firstDataCol="1" rowPageCount="1" colPageCount="1"/>
  <pivotFields count="44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Employees Lost" fld="31" subtotal="count" baseField="4" baseItem="0"/>
    <dataField name="Average Monthly Income" fld="17" subtotal="average" baseField="4" baseItem="0" numFmtId="165"/>
  </dataFields>
  <formats count="3">
    <format dxfId="3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  <format dxfId="2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A1CB-0D70-4154-B268-D266880D4A26}">
  <dimension ref="A1:AI1471"/>
  <sheetViews>
    <sheetView topLeftCell="E1" workbookViewId="0">
      <selection activeCell="T1" sqref="T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AC39-F221-4619-A465-27FF28CF5455}">
  <dimension ref="A1:E63"/>
  <sheetViews>
    <sheetView topLeftCell="A41" zoomScaleNormal="100" workbookViewId="0">
      <selection activeCell="C49" sqref="C49"/>
    </sheetView>
  </sheetViews>
  <sheetFormatPr defaultRowHeight="14.4" x14ac:dyDescent="0.3"/>
  <cols>
    <col min="1" max="1" width="22" bestFit="1" customWidth="1"/>
    <col min="2" max="2" width="52.33203125" bestFit="1" customWidth="1"/>
    <col min="3" max="3" width="50.109375" bestFit="1" customWidth="1"/>
    <col min="4" max="4" width="54.33203125" bestFit="1" customWidth="1"/>
    <col min="5" max="5" width="45.6640625" bestFit="1" customWidth="1"/>
  </cols>
  <sheetData>
    <row r="1" spans="1:5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3">
      <c r="A2" t="s">
        <v>0</v>
      </c>
      <c r="B2" t="s">
        <v>67</v>
      </c>
      <c r="C2" t="s">
        <v>68</v>
      </c>
      <c r="D2" t="s">
        <v>69</v>
      </c>
      <c r="E2" t="s">
        <v>70</v>
      </c>
    </row>
    <row r="3" spans="1:5" x14ac:dyDescent="0.3">
      <c r="A3" t="s">
        <v>1</v>
      </c>
      <c r="B3" t="s">
        <v>71</v>
      </c>
      <c r="C3" t="s">
        <v>72</v>
      </c>
      <c r="D3" t="s">
        <v>73</v>
      </c>
      <c r="E3" t="s">
        <v>74</v>
      </c>
    </row>
    <row r="4" spans="1:5" x14ac:dyDescent="0.3">
      <c r="A4" t="s">
        <v>2</v>
      </c>
      <c r="B4" t="s">
        <v>71</v>
      </c>
      <c r="C4" t="s">
        <v>75</v>
      </c>
      <c r="D4" t="s">
        <v>76</v>
      </c>
      <c r="E4" t="s">
        <v>77</v>
      </c>
    </row>
    <row r="5" spans="1:5" x14ac:dyDescent="0.3">
      <c r="A5" t="s">
        <v>3</v>
      </c>
      <c r="B5" t="s">
        <v>67</v>
      </c>
      <c r="C5" t="s">
        <v>78</v>
      </c>
      <c r="D5" t="s">
        <v>81</v>
      </c>
      <c r="E5" t="s">
        <v>84</v>
      </c>
    </row>
    <row r="6" spans="1:5" x14ac:dyDescent="0.3">
      <c r="A6" t="s">
        <v>4</v>
      </c>
      <c r="B6" t="s">
        <v>71</v>
      </c>
      <c r="C6" t="s">
        <v>79</v>
      </c>
      <c r="D6" t="s">
        <v>82</v>
      </c>
      <c r="E6" t="s">
        <v>77</v>
      </c>
    </row>
    <row r="7" spans="1:5" x14ac:dyDescent="0.3">
      <c r="A7" t="s">
        <v>5</v>
      </c>
      <c r="B7" t="s">
        <v>67</v>
      </c>
      <c r="C7" t="s">
        <v>80</v>
      </c>
      <c r="D7" t="s">
        <v>83</v>
      </c>
      <c r="E7" t="s">
        <v>77</v>
      </c>
    </row>
    <row r="8" spans="1:5" x14ac:dyDescent="0.3">
      <c r="A8" t="s">
        <v>6</v>
      </c>
      <c r="B8" t="s">
        <v>85</v>
      </c>
      <c r="C8" t="s">
        <v>86</v>
      </c>
      <c r="D8" t="s">
        <v>88</v>
      </c>
      <c r="E8" t="s">
        <v>90</v>
      </c>
    </row>
    <row r="9" spans="1:5" x14ac:dyDescent="0.3">
      <c r="A9" t="s">
        <v>7</v>
      </c>
      <c r="B9" t="s">
        <v>71</v>
      </c>
      <c r="C9" t="s">
        <v>87</v>
      </c>
      <c r="D9" t="s">
        <v>89</v>
      </c>
      <c r="E9" t="s">
        <v>77</v>
      </c>
    </row>
    <row r="10" spans="1:5" x14ac:dyDescent="0.3">
      <c r="A10" t="s">
        <v>8</v>
      </c>
      <c r="B10" t="s">
        <v>67</v>
      </c>
      <c r="C10" t="s">
        <v>91</v>
      </c>
      <c r="D10" t="s">
        <v>92</v>
      </c>
      <c r="E10" t="s">
        <v>93</v>
      </c>
    </row>
    <row r="11" spans="1:5" x14ac:dyDescent="0.3">
      <c r="A11" t="s">
        <v>9</v>
      </c>
      <c r="B11" t="s">
        <v>67</v>
      </c>
      <c r="C11" t="s">
        <v>94</v>
      </c>
      <c r="D11" t="s">
        <v>95</v>
      </c>
      <c r="E11" t="s">
        <v>96</v>
      </c>
    </row>
    <row r="12" spans="1:5" x14ac:dyDescent="0.3">
      <c r="A12" t="s">
        <v>10</v>
      </c>
      <c r="B12" t="s">
        <v>85</v>
      </c>
      <c r="C12" t="s">
        <v>98</v>
      </c>
      <c r="D12" t="s">
        <v>97</v>
      </c>
      <c r="E12" t="s">
        <v>90</v>
      </c>
    </row>
    <row r="13" spans="1:5" x14ac:dyDescent="0.3">
      <c r="A13" t="s">
        <v>11</v>
      </c>
      <c r="B13" t="s">
        <v>71</v>
      </c>
      <c r="C13" t="s">
        <v>99</v>
      </c>
      <c r="D13" t="s">
        <v>100</v>
      </c>
      <c r="E13" t="s">
        <v>77</v>
      </c>
    </row>
    <row r="14" spans="1:5" x14ac:dyDescent="0.3">
      <c r="A14" t="s">
        <v>12</v>
      </c>
      <c r="B14" t="s">
        <v>67</v>
      </c>
      <c r="C14" t="s">
        <v>101</v>
      </c>
      <c r="D14" t="s">
        <v>102</v>
      </c>
      <c r="E14" t="s">
        <v>84</v>
      </c>
    </row>
    <row r="15" spans="1:5" x14ac:dyDescent="0.3">
      <c r="A15" t="s">
        <v>13</v>
      </c>
      <c r="B15" t="s">
        <v>85</v>
      </c>
      <c r="C15" t="s">
        <v>103</v>
      </c>
      <c r="D15" t="s">
        <v>97</v>
      </c>
      <c r="E15" t="s">
        <v>90</v>
      </c>
    </row>
    <row r="16" spans="1:5" x14ac:dyDescent="0.3">
      <c r="A16" t="s">
        <v>14</v>
      </c>
      <c r="B16" t="s">
        <v>85</v>
      </c>
      <c r="C16" t="s">
        <v>104</v>
      </c>
      <c r="D16" t="s">
        <v>105</v>
      </c>
      <c r="E16" t="s">
        <v>90</v>
      </c>
    </row>
    <row r="17" spans="1:5" x14ac:dyDescent="0.3">
      <c r="A17" t="s">
        <v>15</v>
      </c>
      <c r="B17" t="s">
        <v>71</v>
      </c>
      <c r="C17" t="s">
        <v>106</v>
      </c>
      <c r="D17" t="s">
        <v>107</v>
      </c>
      <c r="E17" t="s">
        <v>77</v>
      </c>
    </row>
    <row r="18" spans="1:5" x14ac:dyDescent="0.3">
      <c r="A18" t="s">
        <v>16</v>
      </c>
      <c r="B18" t="s">
        <v>85</v>
      </c>
      <c r="C18" t="s">
        <v>108</v>
      </c>
      <c r="D18" t="s">
        <v>97</v>
      </c>
      <c r="E18" t="s">
        <v>90</v>
      </c>
    </row>
    <row r="19" spans="1:5" x14ac:dyDescent="0.3">
      <c r="A19" t="s">
        <v>17</v>
      </c>
      <c r="B19" t="s">
        <v>71</v>
      </c>
      <c r="C19" t="s">
        <v>109</v>
      </c>
      <c r="D19" t="s">
        <v>110</v>
      </c>
      <c r="E19" t="s">
        <v>77</v>
      </c>
    </row>
    <row r="20" spans="1:5" x14ac:dyDescent="0.3">
      <c r="A20" t="s">
        <v>18</v>
      </c>
      <c r="B20" t="s">
        <v>67</v>
      </c>
      <c r="C20" t="s">
        <v>111</v>
      </c>
      <c r="D20" t="s">
        <v>112</v>
      </c>
      <c r="E20" t="s">
        <v>113</v>
      </c>
    </row>
    <row r="21" spans="1:5" x14ac:dyDescent="0.3">
      <c r="A21" t="s">
        <v>19</v>
      </c>
      <c r="B21" t="s">
        <v>67</v>
      </c>
      <c r="C21" t="s">
        <v>114</v>
      </c>
      <c r="D21" t="s">
        <v>115</v>
      </c>
      <c r="E21" t="s">
        <v>116</v>
      </c>
    </row>
    <row r="22" spans="1:5" x14ac:dyDescent="0.3">
      <c r="A22" t="s">
        <v>20</v>
      </c>
      <c r="B22" t="s">
        <v>67</v>
      </c>
      <c r="C22" t="s">
        <v>117</v>
      </c>
      <c r="D22" t="s">
        <v>118</v>
      </c>
      <c r="E22" t="s">
        <v>77</v>
      </c>
    </row>
    <row r="23" spans="1:5" x14ac:dyDescent="0.3">
      <c r="A23" t="s">
        <v>21</v>
      </c>
      <c r="B23" t="s">
        <v>71</v>
      </c>
      <c r="C23" t="s">
        <v>91</v>
      </c>
      <c r="D23" t="s">
        <v>119</v>
      </c>
      <c r="E23" t="s">
        <v>93</v>
      </c>
    </row>
    <row r="24" spans="1:5" x14ac:dyDescent="0.3">
      <c r="A24" t="s">
        <v>22</v>
      </c>
      <c r="B24" t="s">
        <v>71</v>
      </c>
      <c r="C24" t="s">
        <v>120</v>
      </c>
      <c r="D24" t="s">
        <v>121</v>
      </c>
      <c r="E24" t="s">
        <v>74</v>
      </c>
    </row>
    <row r="25" spans="1:5" x14ac:dyDescent="0.3">
      <c r="A25" t="s">
        <v>23</v>
      </c>
      <c r="B25" t="s">
        <v>67</v>
      </c>
      <c r="C25" t="s">
        <v>122</v>
      </c>
      <c r="D25" t="s">
        <v>123</v>
      </c>
      <c r="E25" t="s">
        <v>124</v>
      </c>
    </row>
    <row r="26" spans="1:5" x14ac:dyDescent="0.3">
      <c r="A26" t="s">
        <v>24</v>
      </c>
      <c r="B26" t="s">
        <v>85</v>
      </c>
      <c r="C26" t="s">
        <v>125</v>
      </c>
      <c r="D26" t="s">
        <v>126</v>
      </c>
      <c r="E26" t="s">
        <v>127</v>
      </c>
    </row>
    <row r="27" spans="1:5" x14ac:dyDescent="0.3">
      <c r="A27" t="s">
        <v>25</v>
      </c>
      <c r="B27" t="s">
        <v>85</v>
      </c>
      <c r="C27" t="s">
        <v>128</v>
      </c>
      <c r="D27" t="s">
        <v>97</v>
      </c>
      <c r="E27" t="s">
        <v>90</v>
      </c>
    </row>
    <row r="28" spans="1:5" x14ac:dyDescent="0.3">
      <c r="A28" t="s">
        <v>26</v>
      </c>
      <c r="B28" t="s">
        <v>67</v>
      </c>
      <c r="C28" t="s">
        <v>91</v>
      </c>
      <c r="D28" t="s">
        <v>129</v>
      </c>
      <c r="E28" t="s">
        <v>93</v>
      </c>
    </row>
    <row r="29" spans="1:5" x14ac:dyDescent="0.3">
      <c r="A29" t="s">
        <v>27</v>
      </c>
      <c r="B29" t="s">
        <v>85</v>
      </c>
      <c r="C29" t="s">
        <v>130</v>
      </c>
      <c r="D29" t="s">
        <v>131</v>
      </c>
      <c r="E29" t="s">
        <v>90</v>
      </c>
    </row>
    <row r="30" spans="1:5" x14ac:dyDescent="0.3">
      <c r="A30" t="s">
        <v>28</v>
      </c>
      <c r="B30" t="s">
        <v>67</v>
      </c>
      <c r="C30" t="s">
        <v>132</v>
      </c>
      <c r="D30" t="s">
        <v>133</v>
      </c>
      <c r="E30" t="s">
        <v>77</v>
      </c>
    </row>
    <row r="31" spans="1:5" x14ac:dyDescent="0.3">
      <c r="A31" t="s">
        <v>29</v>
      </c>
      <c r="B31" t="s">
        <v>67</v>
      </c>
      <c r="C31" t="s">
        <v>134</v>
      </c>
      <c r="D31" t="s">
        <v>135</v>
      </c>
      <c r="E31" t="s">
        <v>136</v>
      </c>
    </row>
    <row r="32" spans="1:5" x14ac:dyDescent="0.3">
      <c r="A32" t="s">
        <v>30</v>
      </c>
      <c r="B32" t="s">
        <v>85</v>
      </c>
      <c r="C32" t="s">
        <v>137</v>
      </c>
      <c r="D32" t="s">
        <v>138</v>
      </c>
      <c r="E32" t="s">
        <v>90</v>
      </c>
    </row>
    <row r="33" spans="1:5" x14ac:dyDescent="0.3">
      <c r="A33" t="s">
        <v>31</v>
      </c>
      <c r="B33" t="s">
        <v>67</v>
      </c>
      <c r="C33" t="s">
        <v>139</v>
      </c>
      <c r="D33" t="s">
        <v>133</v>
      </c>
      <c r="E33" t="s">
        <v>77</v>
      </c>
    </row>
    <row r="34" spans="1:5" x14ac:dyDescent="0.3">
      <c r="A34" t="s">
        <v>32</v>
      </c>
      <c r="B34" t="s">
        <v>67</v>
      </c>
      <c r="C34" t="s">
        <v>140</v>
      </c>
      <c r="D34" t="s">
        <v>141</v>
      </c>
      <c r="E34" t="s">
        <v>77</v>
      </c>
    </row>
    <row r="35" spans="1:5" x14ac:dyDescent="0.3">
      <c r="A35" t="s">
        <v>33</v>
      </c>
      <c r="B35" t="s">
        <v>67</v>
      </c>
      <c r="C35" t="s">
        <v>142</v>
      </c>
      <c r="D35" t="s">
        <v>143</v>
      </c>
      <c r="E35" t="s">
        <v>77</v>
      </c>
    </row>
    <row r="36" spans="1:5" x14ac:dyDescent="0.3">
      <c r="A36" t="s">
        <v>34</v>
      </c>
      <c r="B36" t="s">
        <v>67</v>
      </c>
      <c r="C36" t="s">
        <v>144</v>
      </c>
      <c r="D36" t="s">
        <v>145</v>
      </c>
      <c r="E36" t="s">
        <v>77</v>
      </c>
    </row>
    <row r="37" spans="1:5" x14ac:dyDescent="0.3">
      <c r="A37" t="s">
        <v>265</v>
      </c>
      <c r="B37" t="s">
        <v>67</v>
      </c>
      <c r="C37" t="s">
        <v>266</v>
      </c>
      <c r="D37" s="18">
        <v>46143</v>
      </c>
      <c r="E37" t="s">
        <v>267</v>
      </c>
    </row>
    <row r="38" spans="1:5" x14ac:dyDescent="0.3">
      <c r="A38" t="s">
        <v>268</v>
      </c>
      <c r="B38" t="s">
        <v>67</v>
      </c>
      <c r="C38" t="s">
        <v>269</v>
      </c>
      <c r="D38" s="18">
        <v>46143</v>
      </c>
      <c r="E38" t="s">
        <v>267</v>
      </c>
    </row>
    <row r="39" spans="1:5" x14ac:dyDescent="0.3">
      <c r="A39" t="s">
        <v>270</v>
      </c>
      <c r="B39" t="s">
        <v>71</v>
      </c>
      <c r="C39" t="s">
        <v>271</v>
      </c>
      <c r="D39" s="18" t="s">
        <v>272</v>
      </c>
      <c r="E39" t="s">
        <v>273</v>
      </c>
    </row>
    <row r="40" spans="1:5" x14ac:dyDescent="0.3">
      <c r="A40" t="s">
        <v>274</v>
      </c>
      <c r="B40" t="s">
        <v>67</v>
      </c>
      <c r="C40" t="s">
        <v>275</v>
      </c>
      <c r="D40" s="18">
        <v>46113</v>
      </c>
      <c r="E40" t="s">
        <v>273</v>
      </c>
    </row>
    <row r="41" spans="1:5" x14ac:dyDescent="0.3">
      <c r="A41" t="s">
        <v>276</v>
      </c>
      <c r="B41" t="s">
        <v>71</v>
      </c>
      <c r="C41" t="s">
        <v>277</v>
      </c>
      <c r="D41" s="18" t="s">
        <v>278</v>
      </c>
      <c r="E41" t="s">
        <v>273</v>
      </c>
    </row>
    <row r="42" spans="1:5" x14ac:dyDescent="0.3">
      <c r="A42" t="s">
        <v>279</v>
      </c>
      <c r="B42" t="s">
        <v>67</v>
      </c>
      <c r="C42" t="s">
        <v>280</v>
      </c>
      <c r="D42" s="18">
        <v>46113</v>
      </c>
      <c r="E42" t="s">
        <v>273</v>
      </c>
    </row>
    <row r="43" spans="1:5" x14ac:dyDescent="0.3">
      <c r="D43" s="18"/>
    </row>
    <row r="44" spans="1:5" x14ac:dyDescent="0.3">
      <c r="D44" s="18"/>
    </row>
    <row r="45" spans="1:5" x14ac:dyDescent="0.3">
      <c r="D45" s="18"/>
    </row>
    <row r="46" spans="1:5" x14ac:dyDescent="0.3">
      <c r="D46" s="18"/>
    </row>
    <row r="47" spans="1:5" x14ac:dyDescent="0.3">
      <c r="A47" s="19" t="s">
        <v>281</v>
      </c>
      <c r="B47" s="19"/>
      <c r="C47" s="19"/>
      <c r="D47" s="19"/>
      <c r="E47" s="19"/>
    </row>
    <row r="50" spans="1:5" x14ac:dyDescent="0.3">
      <c r="A50" s="14" t="s">
        <v>159</v>
      </c>
      <c r="B50" s="14"/>
      <c r="C50" s="14"/>
      <c r="D50" s="14"/>
    </row>
    <row r="51" spans="1:5" x14ac:dyDescent="0.3">
      <c r="A51" s="1" t="s">
        <v>160</v>
      </c>
      <c r="B51" s="1" t="s">
        <v>161</v>
      </c>
      <c r="C51" s="1" t="s">
        <v>162</v>
      </c>
      <c r="D51" s="1" t="s">
        <v>163</v>
      </c>
    </row>
    <row r="52" spans="1:5" x14ac:dyDescent="0.3">
      <c r="A52">
        <v>1</v>
      </c>
      <c r="B52" t="s">
        <v>164</v>
      </c>
      <c r="C52" t="s">
        <v>165</v>
      </c>
      <c r="D52" t="s">
        <v>166</v>
      </c>
    </row>
    <row r="53" spans="1:5" x14ac:dyDescent="0.3">
      <c r="A53">
        <v>2</v>
      </c>
      <c r="B53" t="s">
        <v>167</v>
      </c>
      <c r="C53" t="s">
        <v>165</v>
      </c>
      <c r="D53" t="s">
        <v>168</v>
      </c>
    </row>
    <row r="54" spans="1:5" x14ac:dyDescent="0.3">
      <c r="A54">
        <v>3</v>
      </c>
      <c r="B54" t="s">
        <v>169</v>
      </c>
      <c r="C54" t="s">
        <v>170</v>
      </c>
      <c r="D54" t="s">
        <v>171</v>
      </c>
    </row>
    <row r="55" spans="1:5" x14ac:dyDescent="0.3">
      <c r="A55">
        <v>4</v>
      </c>
      <c r="B55" t="s">
        <v>172</v>
      </c>
      <c r="C55" t="s">
        <v>173</v>
      </c>
      <c r="D55" t="s">
        <v>174</v>
      </c>
    </row>
    <row r="56" spans="1:5" x14ac:dyDescent="0.3">
      <c r="A56">
        <v>5</v>
      </c>
      <c r="B56" t="s">
        <v>175</v>
      </c>
      <c r="C56" t="s">
        <v>176</v>
      </c>
      <c r="D56" t="s">
        <v>177</v>
      </c>
    </row>
    <row r="57" spans="1:5" x14ac:dyDescent="0.3">
      <c r="A57">
        <v>6</v>
      </c>
      <c r="B57" t="s">
        <v>178</v>
      </c>
      <c r="C57" t="s">
        <v>179</v>
      </c>
      <c r="D57" t="s">
        <v>180</v>
      </c>
    </row>
    <row r="58" spans="1:5" x14ac:dyDescent="0.3">
      <c r="A58">
        <v>7</v>
      </c>
      <c r="B58" t="s">
        <v>181</v>
      </c>
      <c r="C58" t="s">
        <v>182</v>
      </c>
      <c r="D58" t="s">
        <v>183</v>
      </c>
    </row>
    <row r="59" spans="1:5" x14ac:dyDescent="0.3">
      <c r="A59">
        <v>8</v>
      </c>
      <c r="B59" t="s">
        <v>184</v>
      </c>
      <c r="C59" t="s">
        <v>185</v>
      </c>
      <c r="D59" t="s">
        <v>186</v>
      </c>
    </row>
    <row r="60" spans="1:5" x14ac:dyDescent="0.3">
      <c r="A60">
        <v>9</v>
      </c>
      <c r="B60" t="s">
        <v>187</v>
      </c>
      <c r="C60" t="s">
        <v>188</v>
      </c>
      <c r="D60" t="s">
        <v>189</v>
      </c>
    </row>
    <row r="61" spans="1:5" x14ac:dyDescent="0.3">
      <c r="A61">
        <v>10</v>
      </c>
      <c r="B61" t="s">
        <v>190</v>
      </c>
      <c r="C61" t="s">
        <v>191</v>
      </c>
      <c r="D61" t="s">
        <v>192</v>
      </c>
    </row>
    <row r="62" spans="1:5" ht="15.6" customHeight="1" x14ac:dyDescent="0.3">
      <c r="A62" s="17">
        <v>11</v>
      </c>
      <c r="B62" t="s">
        <v>262</v>
      </c>
      <c r="C62" t="s">
        <v>259</v>
      </c>
      <c r="D62" s="16" t="s">
        <v>261</v>
      </c>
      <c r="E62" t="s">
        <v>264</v>
      </c>
    </row>
    <row r="63" spans="1:5" ht="57.6" customHeight="1" x14ac:dyDescent="0.3">
      <c r="A63" s="17">
        <v>12</v>
      </c>
      <c r="B63" t="s">
        <v>263</v>
      </c>
      <c r="C63" t="s">
        <v>259</v>
      </c>
      <c r="D63" s="15" t="s">
        <v>260</v>
      </c>
    </row>
  </sheetData>
  <mergeCells count="2">
    <mergeCell ref="A50:D50"/>
    <mergeCell ref="A47:E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0177-C66B-43EC-B75E-81B679B000B9}">
  <dimension ref="A1:AR1471"/>
  <sheetViews>
    <sheetView tabSelected="1" zoomScale="90" zoomScaleNormal="90" workbookViewId="0">
      <selection activeCell="AD1" sqref="AD1"/>
    </sheetView>
  </sheetViews>
  <sheetFormatPr defaultRowHeight="14.4" x14ac:dyDescent="0.3"/>
  <cols>
    <col min="1" max="1" width="4.109375" bestFit="1" customWidth="1"/>
    <col min="2" max="2" width="7.77734375" bestFit="1" customWidth="1"/>
    <col min="3" max="3" width="16" bestFit="1" customWidth="1"/>
    <col min="4" max="4" width="9" bestFit="1" customWidth="1"/>
    <col min="5" max="5" width="22.5546875" bestFit="1" customWidth="1"/>
    <col min="6" max="6" width="17.44140625" bestFit="1" customWidth="1"/>
    <col min="7" max="7" width="9.109375" bestFit="1" customWidth="1"/>
    <col min="8" max="8" width="16.109375" bestFit="1" customWidth="1"/>
    <col min="9" max="9" width="15.77734375" bestFit="1" customWidth="1"/>
    <col min="10" max="10" width="21.44140625" bestFit="1" customWidth="1"/>
    <col min="11" max="11" width="7" bestFit="1" customWidth="1"/>
    <col min="12" max="12" width="10.21875" bestFit="1" customWidth="1"/>
    <col min="13" max="13" width="14" bestFit="1" customWidth="1"/>
    <col min="14" max="14" width="8" bestFit="1" customWidth="1"/>
    <col min="15" max="15" width="23.6640625" bestFit="1" customWidth="1"/>
    <col min="16" max="16" width="13.5546875" bestFit="1" customWidth="1"/>
    <col min="17" max="17" width="12.109375" bestFit="1" customWidth="1"/>
    <col min="18" max="18" width="14" bestFit="1" customWidth="1"/>
    <col min="19" max="19" width="20.77734375" bestFit="1" customWidth="1"/>
    <col min="20" max="20" width="9" bestFit="1" customWidth="1"/>
    <col min="21" max="21" width="16.109375" bestFit="1" customWidth="1"/>
    <col min="22" max="22" width="17" bestFit="1" customWidth="1"/>
    <col min="23" max="23" width="21.44140625" bestFit="1" customWidth="1"/>
    <col min="24" max="24" width="15.44140625" bestFit="1" customWidth="1"/>
    <col min="25" max="25" width="16.88671875" bestFit="1" customWidth="1"/>
    <col min="26" max="26" width="20.21875" bestFit="1" customWidth="1"/>
    <col min="27" max="28" width="15.21875" bestFit="1" customWidth="1"/>
    <col min="29" max="29" width="17.109375" bestFit="1" customWidth="1"/>
    <col min="30" max="30" width="22.33203125" bestFit="1" customWidth="1"/>
    <col min="31" max="31" width="20.77734375" bestFit="1" customWidth="1"/>
    <col min="32" max="32" width="12.21875" bestFit="1" customWidth="1"/>
    <col min="33" max="33" width="13.6640625" bestFit="1" customWidth="1"/>
    <col min="34" max="34" width="14.88671875" bestFit="1" customWidth="1"/>
    <col min="35" max="35" width="27.21875" bestFit="1" customWidth="1"/>
    <col min="36" max="36" width="19.6640625" bestFit="1" customWidth="1"/>
    <col min="37" max="37" width="13.6640625" bestFit="1" customWidth="1"/>
    <col min="38" max="38" width="19.21875" bestFit="1" customWidth="1"/>
    <col min="39" max="39" width="27.21875" bestFit="1" customWidth="1"/>
    <col min="40" max="40" width="21.21875" bestFit="1" customWidth="1"/>
    <col min="41" max="41" width="20.88671875" bestFit="1" customWidth="1"/>
    <col min="42" max="42" width="10.21875" bestFit="1" customWidth="1"/>
    <col min="43" max="43" width="12.21875" bestFit="1" customWidth="1"/>
    <col min="44" max="44" width="12.7773437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20</v>
      </c>
      <c r="T1" t="s">
        <v>22</v>
      </c>
      <c r="U1" t="s">
        <v>23</v>
      </c>
      <c r="V1" t="s">
        <v>24</v>
      </c>
      <c r="W1" t="s">
        <v>25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146</v>
      </c>
      <c r="AG1" t="s">
        <v>147</v>
      </c>
      <c r="AH1" t="s">
        <v>148</v>
      </c>
      <c r="AI1" t="s">
        <v>149</v>
      </c>
      <c r="AJ1" t="s">
        <v>150</v>
      </c>
      <c r="AK1" t="s">
        <v>151</v>
      </c>
      <c r="AL1" t="s">
        <v>152</v>
      </c>
      <c r="AM1" t="s">
        <v>153</v>
      </c>
      <c r="AN1" t="s">
        <v>154</v>
      </c>
      <c r="AO1" t="s">
        <v>155</v>
      </c>
      <c r="AP1" t="s">
        <v>156</v>
      </c>
      <c r="AQ1" t="s">
        <v>157</v>
      </c>
      <c r="AR1" t="s">
        <v>158</v>
      </c>
    </row>
    <row r="2" spans="1:44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94</v>
      </c>
      <c r="M2">
        <v>3</v>
      </c>
      <c r="N2">
        <v>2</v>
      </c>
      <c r="O2" t="s">
        <v>40</v>
      </c>
      <c r="P2">
        <v>4</v>
      </c>
      <c r="Q2" t="s">
        <v>41</v>
      </c>
      <c r="R2">
        <v>5993</v>
      </c>
      <c r="S2">
        <v>8</v>
      </c>
      <c r="T2" t="s">
        <v>35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  <c r="AF2">
        <f>IF(B2="Yes",1,0)</f>
        <v>1</v>
      </c>
      <c r="AG2">
        <f>IF(T2="Yes",1,0)</f>
        <v>1</v>
      </c>
      <c r="AH2" t="str">
        <f>CHOOSE(G2,"Below College","College","Bachelor","Master","Doctor")</f>
        <v>College</v>
      </c>
      <c r="AI2" t="str">
        <f>CHOOSE(J2,"Low","Medium","High","Very High")</f>
        <v>Medium</v>
      </c>
      <c r="AJ2" t="str">
        <f>CHOOSE(M2,"Low","Medium","High","Very High")</f>
        <v>High</v>
      </c>
      <c r="AK2" t="str">
        <f>CHOOSE(N2,"Entry","Junior","Mid-Level","Senior","Executive")</f>
        <v>Junior</v>
      </c>
      <c r="AL2" t="str">
        <f>CHOOSE(P2,"Low","Medium","High","Very High")</f>
        <v>Very High</v>
      </c>
      <c r="AM2" t="str">
        <f>CHOOSE(W2,"Low","Medium","High","Very High")</f>
        <v>Low</v>
      </c>
      <c r="AN2" t="str">
        <f>CHOOSE(X2+1,"No Options","Low","Medium","High")</f>
        <v>No Options</v>
      </c>
      <c r="AO2" t="str">
        <f>CHOOSE(AA2,"Bad","Good","Better","Best")</f>
        <v>Bad</v>
      </c>
      <c r="AP2" t="str">
        <f>IF(A2&lt;=24,"Under 25",IF(A2&lt;=34,"25-34",IF(A2&lt;=44,"35-44",IF(A2&lt;=54,"45-54","55+"))))</f>
        <v>35-44</v>
      </c>
      <c r="AQ2" t="str">
        <f>IF(R2&lt;3000,"Low",IF(R2&lt;7000,"Lower-Mid",IF(R2&lt;13000,"Upper-Mid","High")))</f>
        <v>Lower-Mid</v>
      </c>
      <c r="AR2" t="str">
        <f>IF(AB2&lt;=2,"0-2 Years",IF(AB2&lt;=5,"3-5 Years",IF(AB2&lt;=10,"6-10 Years",IF(AB2&lt;=20,"11-20 Years","20+ Years"))))</f>
        <v>6-10 Years</v>
      </c>
    </row>
    <row r="3" spans="1:44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46</v>
      </c>
      <c r="L3">
        <v>61</v>
      </c>
      <c r="M3">
        <v>2</v>
      </c>
      <c r="N3">
        <v>2</v>
      </c>
      <c r="O3" t="s">
        <v>47</v>
      </c>
      <c r="P3">
        <v>2</v>
      </c>
      <c r="Q3" t="s">
        <v>48</v>
      </c>
      <c r="R3">
        <v>5130</v>
      </c>
      <c r="S3">
        <v>1</v>
      </c>
      <c r="T3" t="s">
        <v>43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  <c r="AF3">
        <f t="shared" ref="AF3:AF66" si="0">IF(B3="Yes",1,0)</f>
        <v>0</v>
      </c>
      <c r="AG3">
        <f t="shared" ref="AG3:AG66" si="1">IF(T3="Yes",1,0)</f>
        <v>0</v>
      </c>
      <c r="AH3" t="str">
        <f t="shared" ref="AH3:AH66" si="2">CHOOSE(G3,"Below College","College","Bachelor","Master","Doctor")</f>
        <v>Below College</v>
      </c>
      <c r="AI3" t="str">
        <f t="shared" ref="AI3:AI66" si="3">CHOOSE(J3,"Low","Medium","High","Very High")</f>
        <v>High</v>
      </c>
      <c r="AJ3" t="str">
        <f t="shared" ref="AJ3:AJ66" si="4">CHOOSE(M3,"Low","Medium","High","Very High")</f>
        <v>Medium</v>
      </c>
      <c r="AK3" t="str">
        <f t="shared" ref="AK3:AK66" si="5">CHOOSE(N3,"Entry","Junior","Mid-Level","Senior","Executive")</f>
        <v>Junior</v>
      </c>
      <c r="AL3" t="str">
        <f t="shared" ref="AL3:AL66" si="6">CHOOSE(P3,"Low","Medium","High","Very High")</f>
        <v>Medium</v>
      </c>
      <c r="AM3" t="str">
        <f t="shared" ref="AM3:AM66" si="7">CHOOSE(W3,"Low","Medium","High","Very High")</f>
        <v>Very High</v>
      </c>
      <c r="AN3" t="str">
        <f t="shared" ref="AN3:AN66" si="8">CHOOSE(X3+1,"No Options","Low","Medium","High")</f>
        <v>Low</v>
      </c>
      <c r="AO3" t="str">
        <f t="shared" ref="AO3:AO66" si="9">CHOOSE(AA3,"Bad","Good","Better","Best")</f>
        <v>Better</v>
      </c>
      <c r="AP3" t="str">
        <f t="shared" ref="AP3:AP66" si="10">IF(A3&lt;=24,"Under 25",IF(A3&lt;=34,"25-34",IF(A3&lt;=44,"35-44",IF(A3&lt;=54,"45-54","55+"))))</f>
        <v>45-54</v>
      </c>
      <c r="AQ3" t="str">
        <f t="shared" ref="AQ3:AQ66" si="11">IF(R3&lt;3000,"Low",IF(R3&lt;7000,"Lower-Mid",IF(R3&lt;13000,"Upper-Mid","High")))</f>
        <v>Lower-Mid</v>
      </c>
      <c r="AR3" t="str">
        <f t="shared" ref="AR3:AR66" si="12">IF(AB3&lt;=2,"0-2 Years",IF(AB3&lt;=5,"3-5 Years",IF(AB3&lt;=10,"6-10 Years",IF(AB3&lt;=20,"11-20 Years","20+ Years"))))</f>
        <v>6-10 Years</v>
      </c>
    </row>
    <row r="4" spans="1:44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92</v>
      </c>
      <c r="M4">
        <v>2</v>
      </c>
      <c r="N4">
        <v>1</v>
      </c>
      <c r="O4" t="s">
        <v>50</v>
      </c>
      <c r="P4">
        <v>3</v>
      </c>
      <c r="Q4" t="s">
        <v>41</v>
      </c>
      <c r="R4">
        <v>2090</v>
      </c>
      <c r="S4">
        <v>6</v>
      </c>
      <c r="T4" t="s">
        <v>35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  <c r="AF4">
        <f t="shared" si="0"/>
        <v>1</v>
      </c>
      <c r="AG4">
        <f t="shared" si="1"/>
        <v>1</v>
      </c>
      <c r="AH4" t="str">
        <f t="shared" si="2"/>
        <v>College</v>
      </c>
      <c r="AI4" t="str">
        <f t="shared" si="3"/>
        <v>Very High</v>
      </c>
      <c r="AJ4" t="str">
        <f t="shared" si="4"/>
        <v>Medium</v>
      </c>
      <c r="AK4" t="str">
        <f t="shared" si="5"/>
        <v>Entry</v>
      </c>
      <c r="AL4" t="str">
        <f t="shared" si="6"/>
        <v>High</v>
      </c>
      <c r="AM4" t="str">
        <f t="shared" si="7"/>
        <v>Medium</v>
      </c>
      <c r="AN4" t="str">
        <f t="shared" si="8"/>
        <v>No Options</v>
      </c>
      <c r="AO4" t="str">
        <f t="shared" si="9"/>
        <v>Better</v>
      </c>
      <c r="AP4" t="str">
        <f t="shared" si="10"/>
        <v>35-44</v>
      </c>
      <c r="AQ4" t="str">
        <f t="shared" si="11"/>
        <v>Low</v>
      </c>
      <c r="AR4" t="str">
        <f t="shared" si="12"/>
        <v>0-2 Years</v>
      </c>
    </row>
    <row r="5" spans="1:44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56</v>
      </c>
      <c r="M5">
        <v>3</v>
      </c>
      <c r="N5">
        <v>1</v>
      </c>
      <c r="O5" t="s">
        <v>47</v>
      </c>
      <c r="P5">
        <v>3</v>
      </c>
      <c r="Q5" t="s">
        <v>48</v>
      </c>
      <c r="R5">
        <v>2909</v>
      </c>
      <c r="S5">
        <v>1</v>
      </c>
      <c r="T5" t="s">
        <v>35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  <c r="AF5">
        <f t="shared" si="0"/>
        <v>0</v>
      </c>
      <c r="AG5">
        <f t="shared" si="1"/>
        <v>1</v>
      </c>
      <c r="AH5" t="str">
        <f t="shared" si="2"/>
        <v>Master</v>
      </c>
      <c r="AI5" t="str">
        <f t="shared" si="3"/>
        <v>Very High</v>
      </c>
      <c r="AJ5" t="str">
        <f t="shared" si="4"/>
        <v>High</v>
      </c>
      <c r="AK5" t="str">
        <f t="shared" si="5"/>
        <v>Entry</v>
      </c>
      <c r="AL5" t="str">
        <f t="shared" si="6"/>
        <v>High</v>
      </c>
      <c r="AM5" t="str">
        <f t="shared" si="7"/>
        <v>High</v>
      </c>
      <c r="AN5" t="str">
        <f t="shared" si="8"/>
        <v>No Options</v>
      </c>
      <c r="AO5" t="str">
        <f t="shared" si="9"/>
        <v>Better</v>
      </c>
      <c r="AP5" t="str">
        <f t="shared" si="10"/>
        <v>25-34</v>
      </c>
      <c r="AQ5" t="str">
        <f t="shared" si="11"/>
        <v>Low</v>
      </c>
      <c r="AR5" t="str">
        <f t="shared" si="12"/>
        <v>6-10 Years</v>
      </c>
    </row>
    <row r="6" spans="1:44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46</v>
      </c>
      <c r="L6">
        <v>40</v>
      </c>
      <c r="M6">
        <v>3</v>
      </c>
      <c r="N6">
        <v>1</v>
      </c>
      <c r="O6" t="s">
        <v>50</v>
      </c>
      <c r="P6">
        <v>2</v>
      </c>
      <c r="Q6" t="s">
        <v>48</v>
      </c>
      <c r="R6">
        <v>3468</v>
      </c>
      <c r="S6">
        <v>9</v>
      </c>
      <c r="T6" t="s">
        <v>43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  <c r="AF6">
        <f t="shared" si="0"/>
        <v>0</v>
      </c>
      <c r="AG6">
        <f t="shared" si="1"/>
        <v>0</v>
      </c>
      <c r="AH6" t="str">
        <f t="shared" si="2"/>
        <v>Below College</v>
      </c>
      <c r="AI6" t="str">
        <f t="shared" si="3"/>
        <v>Low</v>
      </c>
      <c r="AJ6" t="str">
        <f t="shared" si="4"/>
        <v>High</v>
      </c>
      <c r="AK6" t="str">
        <f t="shared" si="5"/>
        <v>Entry</v>
      </c>
      <c r="AL6" t="str">
        <f t="shared" si="6"/>
        <v>Medium</v>
      </c>
      <c r="AM6" t="str">
        <f t="shared" si="7"/>
        <v>Very High</v>
      </c>
      <c r="AN6" t="str">
        <f t="shared" si="8"/>
        <v>Low</v>
      </c>
      <c r="AO6" t="str">
        <f t="shared" si="9"/>
        <v>Better</v>
      </c>
      <c r="AP6" t="str">
        <f t="shared" si="10"/>
        <v>25-34</v>
      </c>
      <c r="AQ6" t="str">
        <f t="shared" si="11"/>
        <v>Lower-Mid</v>
      </c>
      <c r="AR6" t="str">
        <f t="shared" si="12"/>
        <v>0-2 Years</v>
      </c>
    </row>
    <row r="7" spans="1:44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46</v>
      </c>
      <c r="L7">
        <v>79</v>
      </c>
      <c r="M7">
        <v>3</v>
      </c>
      <c r="N7">
        <v>1</v>
      </c>
      <c r="O7" t="s">
        <v>50</v>
      </c>
      <c r="P7">
        <v>4</v>
      </c>
      <c r="Q7" t="s">
        <v>41</v>
      </c>
      <c r="R7">
        <v>3068</v>
      </c>
      <c r="S7">
        <v>0</v>
      </c>
      <c r="T7" t="s">
        <v>43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  <c r="AF7">
        <f t="shared" si="0"/>
        <v>0</v>
      </c>
      <c r="AG7">
        <f t="shared" si="1"/>
        <v>0</v>
      </c>
      <c r="AH7" t="str">
        <f t="shared" si="2"/>
        <v>College</v>
      </c>
      <c r="AI7" t="str">
        <f t="shared" si="3"/>
        <v>Very High</v>
      </c>
      <c r="AJ7" t="str">
        <f t="shared" si="4"/>
        <v>High</v>
      </c>
      <c r="AK7" t="str">
        <f t="shared" si="5"/>
        <v>Entry</v>
      </c>
      <c r="AL7" t="str">
        <f t="shared" si="6"/>
        <v>Very High</v>
      </c>
      <c r="AM7" t="str">
        <f t="shared" si="7"/>
        <v>High</v>
      </c>
      <c r="AN7" t="str">
        <f t="shared" si="8"/>
        <v>No Options</v>
      </c>
      <c r="AO7" t="str">
        <f t="shared" si="9"/>
        <v>Good</v>
      </c>
      <c r="AP7" t="str">
        <f t="shared" si="10"/>
        <v>25-34</v>
      </c>
      <c r="AQ7" t="str">
        <f t="shared" si="11"/>
        <v>Lower-Mid</v>
      </c>
      <c r="AR7" t="str">
        <f t="shared" si="12"/>
        <v>6-10 Years</v>
      </c>
    </row>
    <row r="8" spans="1:44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39</v>
      </c>
      <c r="L8">
        <v>81</v>
      </c>
      <c r="M8">
        <v>4</v>
      </c>
      <c r="N8">
        <v>1</v>
      </c>
      <c r="O8" t="s">
        <v>50</v>
      </c>
      <c r="P8">
        <v>1</v>
      </c>
      <c r="Q8" t="s">
        <v>48</v>
      </c>
      <c r="R8">
        <v>2670</v>
      </c>
      <c r="S8">
        <v>4</v>
      </c>
      <c r="T8" t="s">
        <v>35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  <c r="AF8">
        <f t="shared" si="0"/>
        <v>0</v>
      </c>
      <c r="AG8">
        <f t="shared" si="1"/>
        <v>1</v>
      </c>
      <c r="AH8" t="str">
        <f t="shared" si="2"/>
        <v>Bachelor</v>
      </c>
      <c r="AI8" t="str">
        <f t="shared" si="3"/>
        <v>High</v>
      </c>
      <c r="AJ8" t="str">
        <f t="shared" si="4"/>
        <v>Very High</v>
      </c>
      <c r="AK8" t="str">
        <f t="shared" si="5"/>
        <v>Entry</v>
      </c>
      <c r="AL8" t="str">
        <f t="shared" si="6"/>
        <v>Low</v>
      </c>
      <c r="AM8" t="str">
        <f t="shared" si="7"/>
        <v>Low</v>
      </c>
      <c r="AN8" t="str">
        <f t="shared" si="8"/>
        <v>High</v>
      </c>
      <c r="AO8" t="str">
        <f t="shared" si="9"/>
        <v>Good</v>
      </c>
      <c r="AP8" t="str">
        <f t="shared" si="10"/>
        <v>55+</v>
      </c>
      <c r="AQ8" t="str">
        <f t="shared" si="11"/>
        <v>Low</v>
      </c>
      <c r="AR8" t="str">
        <f t="shared" si="12"/>
        <v>0-2 Years</v>
      </c>
    </row>
    <row r="9" spans="1:44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46</v>
      </c>
      <c r="L9">
        <v>67</v>
      </c>
      <c r="M9">
        <v>3</v>
      </c>
      <c r="N9">
        <v>1</v>
      </c>
      <c r="O9" t="s">
        <v>50</v>
      </c>
      <c r="P9">
        <v>3</v>
      </c>
      <c r="Q9" t="s">
        <v>52</v>
      </c>
      <c r="R9">
        <v>2693</v>
      </c>
      <c r="S9">
        <v>1</v>
      </c>
      <c r="T9" t="s">
        <v>43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  <c r="AF9">
        <f t="shared" si="0"/>
        <v>0</v>
      </c>
      <c r="AG9">
        <f t="shared" si="1"/>
        <v>0</v>
      </c>
      <c r="AH9" t="str">
        <f t="shared" si="2"/>
        <v>Below College</v>
      </c>
      <c r="AI9" t="str">
        <f t="shared" si="3"/>
        <v>Very High</v>
      </c>
      <c r="AJ9" t="str">
        <f t="shared" si="4"/>
        <v>High</v>
      </c>
      <c r="AK9" t="str">
        <f t="shared" si="5"/>
        <v>Entry</v>
      </c>
      <c r="AL9" t="str">
        <f t="shared" si="6"/>
        <v>High</v>
      </c>
      <c r="AM9" t="str">
        <f t="shared" si="7"/>
        <v>Medium</v>
      </c>
      <c r="AN9" t="str">
        <f t="shared" si="8"/>
        <v>Low</v>
      </c>
      <c r="AO9" t="str">
        <f t="shared" si="9"/>
        <v>Better</v>
      </c>
      <c r="AP9" t="str">
        <f t="shared" si="10"/>
        <v>25-34</v>
      </c>
      <c r="AQ9" t="str">
        <f t="shared" si="11"/>
        <v>Low</v>
      </c>
      <c r="AR9" t="str">
        <f t="shared" si="12"/>
        <v>0-2 Years</v>
      </c>
    </row>
    <row r="10" spans="1:44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46</v>
      </c>
      <c r="L10">
        <v>44</v>
      </c>
      <c r="M10">
        <v>2</v>
      </c>
      <c r="N10">
        <v>3</v>
      </c>
      <c r="O10" t="s">
        <v>53</v>
      </c>
      <c r="P10">
        <v>3</v>
      </c>
      <c r="Q10" t="s">
        <v>41</v>
      </c>
      <c r="R10">
        <v>9526</v>
      </c>
      <c r="S10">
        <v>0</v>
      </c>
      <c r="T10" t="s">
        <v>43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  <c r="AF10">
        <f t="shared" si="0"/>
        <v>0</v>
      </c>
      <c r="AG10">
        <f t="shared" si="1"/>
        <v>0</v>
      </c>
      <c r="AH10" t="str">
        <f t="shared" si="2"/>
        <v>Bachelor</v>
      </c>
      <c r="AI10" t="str">
        <f t="shared" si="3"/>
        <v>Very High</v>
      </c>
      <c r="AJ10" t="str">
        <f t="shared" si="4"/>
        <v>Medium</v>
      </c>
      <c r="AK10" t="str">
        <f t="shared" si="5"/>
        <v>Mid-Level</v>
      </c>
      <c r="AL10" t="str">
        <f t="shared" si="6"/>
        <v>High</v>
      </c>
      <c r="AM10" t="str">
        <f t="shared" si="7"/>
        <v>Medium</v>
      </c>
      <c r="AN10" t="str">
        <f t="shared" si="8"/>
        <v>No Options</v>
      </c>
      <c r="AO10" t="str">
        <f t="shared" si="9"/>
        <v>Better</v>
      </c>
      <c r="AP10" t="str">
        <f t="shared" si="10"/>
        <v>35-44</v>
      </c>
      <c r="AQ10" t="str">
        <f t="shared" si="11"/>
        <v>Upper-Mid</v>
      </c>
      <c r="AR10" t="str">
        <f t="shared" si="12"/>
        <v>6-10 Years</v>
      </c>
    </row>
    <row r="11" spans="1:44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46</v>
      </c>
      <c r="L11">
        <v>94</v>
      </c>
      <c r="M11">
        <v>3</v>
      </c>
      <c r="N11">
        <v>2</v>
      </c>
      <c r="O11" t="s">
        <v>54</v>
      </c>
      <c r="P11">
        <v>3</v>
      </c>
      <c r="Q11" t="s">
        <v>48</v>
      </c>
      <c r="R11">
        <v>5237</v>
      </c>
      <c r="S11">
        <v>6</v>
      </c>
      <c r="T11" t="s">
        <v>43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  <c r="AF11">
        <f t="shared" si="0"/>
        <v>0</v>
      </c>
      <c r="AG11">
        <f t="shared" si="1"/>
        <v>0</v>
      </c>
      <c r="AH11" t="str">
        <f t="shared" si="2"/>
        <v>Bachelor</v>
      </c>
      <c r="AI11" t="str">
        <f t="shared" si="3"/>
        <v>High</v>
      </c>
      <c r="AJ11" t="str">
        <f t="shared" si="4"/>
        <v>High</v>
      </c>
      <c r="AK11" t="str">
        <f t="shared" si="5"/>
        <v>Junior</v>
      </c>
      <c r="AL11" t="str">
        <f t="shared" si="6"/>
        <v>High</v>
      </c>
      <c r="AM11" t="str">
        <f t="shared" si="7"/>
        <v>Medium</v>
      </c>
      <c r="AN11" t="str">
        <f t="shared" si="8"/>
        <v>Medium</v>
      </c>
      <c r="AO11" t="str">
        <f t="shared" si="9"/>
        <v>Good</v>
      </c>
      <c r="AP11" t="str">
        <f t="shared" si="10"/>
        <v>35-44</v>
      </c>
      <c r="AQ11" t="str">
        <f t="shared" si="11"/>
        <v>Lower-Mid</v>
      </c>
      <c r="AR11" t="str">
        <f t="shared" si="12"/>
        <v>6-10 Years</v>
      </c>
    </row>
    <row r="12" spans="1:44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46</v>
      </c>
      <c r="L12">
        <v>84</v>
      </c>
      <c r="M12">
        <v>4</v>
      </c>
      <c r="N12">
        <v>1</v>
      </c>
      <c r="O12" t="s">
        <v>50</v>
      </c>
      <c r="P12">
        <v>2</v>
      </c>
      <c r="Q12" t="s">
        <v>48</v>
      </c>
      <c r="R12">
        <v>2426</v>
      </c>
      <c r="S12">
        <v>0</v>
      </c>
      <c r="T12" t="s">
        <v>43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  <c r="AF12">
        <f t="shared" si="0"/>
        <v>0</v>
      </c>
      <c r="AG12">
        <f t="shared" si="1"/>
        <v>0</v>
      </c>
      <c r="AH12" t="str">
        <f t="shared" si="2"/>
        <v>Bachelor</v>
      </c>
      <c r="AI12" t="str">
        <f t="shared" si="3"/>
        <v>Low</v>
      </c>
      <c r="AJ12" t="str">
        <f t="shared" si="4"/>
        <v>Very High</v>
      </c>
      <c r="AK12" t="str">
        <f t="shared" si="5"/>
        <v>Entry</v>
      </c>
      <c r="AL12" t="str">
        <f t="shared" si="6"/>
        <v>Medium</v>
      </c>
      <c r="AM12" t="str">
        <f t="shared" si="7"/>
        <v>High</v>
      </c>
      <c r="AN12" t="str">
        <f t="shared" si="8"/>
        <v>Low</v>
      </c>
      <c r="AO12" t="str">
        <f t="shared" si="9"/>
        <v>Better</v>
      </c>
      <c r="AP12" t="str">
        <f t="shared" si="10"/>
        <v>35-44</v>
      </c>
      <c r="AQ12" t="str">
        <f t="shared" si="11"/>
        <v>Low</v>
      </c>
      <c r="AR12" t="str">
        <f t="shared" si="12"/>
        <v>3-5 Years</v>
      </c>
    </row>
    <row r="13" spans="1:44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49</v>
      </c>
      <c r="M13">
        <v>2</v>
      </c>
      <c r="N13">
        <v>2</v>
      </c>
      <c r="O13" t="s">
        <v>50</v>
      </c>
      <c r="P13">
        <v>3</v>
      </c>
      <c r="Q13" t="s">
        <v>41</v>
      </c>
      <c r="R13">
        <v>4193</v>
      </c>
      <c r="S13">
        <v>0</v>
      </c>
      <c r="T13" t="s">
        <v>35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  <c r="AF13">
        <f t="shared" si="0"/>
        <v>0</v>
      </c>
      <c r="AG13">
        <f t="shared" si="1"/>
        <v>1</v>
      </c>
      <c r="AH13" t="str">
        <f t="shared" si="2"/>
        <v>College</v>
      </c>
      <c r="AI13" t="str">
        <f t="shared" si="3"/>
        <v>Very High</v>
      </c>
      <c r="AJ13" t="str">
        <f t="shared" si="4"/>
        <v>Medium</v>
      </c>
      <c r="AK13" t="str">
        <f t="shared" si="5"/>
        <v>Junior</v>
      </c>
      <c r="AL13" t="str">
        <f t="shared" si="6"/>
        <v>High</v>
      </c>
      <c r="AM13" t="str">
        <f t="shared" si="7"/>
        <v>Very High</v>
      </c>
      <c r="AN13" t="str">
        <f t="shared" si="8"/>
        <v>No Options</v>
      </c>
      <c r="AO13" t="str">
        <f t="shared" si="9"/>
        <v>Better</v>
      </c>
      <c r="AP13" t="str">
        <f t="shared" si="10"/>
        <v>25-34</v>
      </c>
      <c r="AQ13" t="str">
        <f t="shared" si="11"/>
        <v>Lower-Mid</v>
      </c>
      <c r="AR13" t="str">
        <f t="shared" si="12"/>
        <v>6-10 Years</v>
      </c>
    </row>
    <row r="14" spans="1:44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46</v>
      </c>
      <c r="L14">
        <v>31</v>
      </c>
      <c r="M14">
        <v>3</v>
      </c>
      <c r="N14">
        <v>1</v>
      </c>
      <c r="O14" t="s">
        <v>47</v>
      </c>
      <c r="P14">
        <v>3</v>
      </c>
      <c r="Q14" t="s">
        <v>52</v>
      </c>
      <c r="R14">
        <v>2911</v>
      </c>
      <c r="S14">
        <v>1</v>
      </c>
      <c r="T14" t="s">
        <v>43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  <c r="AF14">
        <f t="shared" si="0"/>
        <v>0</v>
      </c>
      <c r="AG14">
        <f t="shared" si="1"/>
        <v>0</v>
      </c>
      <c r="AH14" t="str">
        <f t="shared" si="2"/>
        <v>Below College</v>
      </c>
      <c r="AI14" t="str">
        <f t="shared" si="3"/>
        <v>Low</v>
      </c>
      <c r="AJ14" t="str">
        <f t="shared" si="4"/>
        <v>High</v>
      </c>
      <c r="AK14" t="str">
        <f t="shared" si="5"/>
        <v>Entry</v>
      </c>
      <c r="AL14" t="str">
        <f t="shared" si="6"/>
        <v>High</v>
      </c>
      <c r="AM14" t="str">
        <f t="shared" si="7"/>
        <v>Very High</v>
      </c>
      <c r="AN14" t="str">
        <f t="shared" si="8"/>
        <v>Low</v>
      </c>
      <c r="AO14" t="str">
        <f t="shared" si="9"/>
        <v>Good</v>
      </c>
      <c r="AP14" t="str">
        <f t="shared" si="10"/>
        <v>25-34</v>
      </c>
      <c r="AQ14" t="str">
        <f t="shared" si="11"/>
        <v>Low</v>
      </c>
      <c r="AR14" t="str">
        <f t="shared" si="12"/>
        <v>3-5 Years</v>
      </c>
    </row>
    <row r="15" spans="1:44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46</v>
      </c>
      <c r="L15">
        <v>93</v>
      </c>
      <c r="M15">
        <v>3</v>
      </c>
      <c r="N15">
        <v>1</v>
      </c>
      <c r="O15" t="s">
        <v>50</v>
      </c>
      <c r="P15">
        <v>4</v>
      </c>
      <c r="Q15" t="s">
        <v>52</v>
      </c>
      <c r="R15">
        <v>2661</v>
      </c>
      <c r="S15">
        <v>0</v>
      </c>
      <c r="T15" t="s">
        <v>43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  <c r="AF15">
        <f t="shared" si="0"/>
        <v>0</v>
      </c>
      <c r="AG15">
        <f t="shared" si="1"/>
        <v>0</v>
      </c>
      <c r="AH15" t="str">
        <f t="shared" si="2"/>
        <v>College</v>
      </c>
      <c r="AI15" t="str">
        <f t="shared" si="3"/>
        <v>Medium</v>
      </c>
      <c r="AJ15" t="str">
        <f t="shared" si="4"/>
        <v>High</v>
      </c>
      <c r="AK15" t="str">
        <f t="shared" si="5"/>
        <v>Entry</v>
      </c>
      <c r="AL15" t="str">
        <f t="shared" si="6"/>
        <v>Very High</v>
      </c>
      <c r="AM15" t="str">
        <f t="shared" si="7"/>
        <v>High</v>
      </c>
      <c r="AN15" t="str">
        <f t="shared" si="8"/>
        <v>Low</v>
      </c>
      <c r="AO15" t="str">
        <f t="shared" si="9"/>
        <v>Better</v>
      </c>
      <c r="AP15" t="str">
        <f t="shared" si="10"/>
        <v>25-34</v>
      </c>
      <c r="AQ15" t="str">
        <f t="shared" si="11"/>
        <v>Low</v>
      </c>
      <c r="AR15" t="str">
        <f t="shared" si="12"/>
        <v>0-2 Years</v>
      </c>
    </row>
    <row r="16" spans="1:44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46</v>
      </c>
      <c r="L16">
        <v>50</v>
      </c>
      <c r="M16">
        <v>2</v>
      </c>
      <c r="N16">
        <v>1</v>
      </c>
      <c r="O16" t="s">
        <v>50</v>
      </c>
      <c r="P16">
        <v>3</v>
      </c>
      <c r="Q16" t="s">
        <v>41</v>
      </c>
      <c r="R16">
        <v>2028</v>
      </c>
      <c r="S16">
        <v>5</v>
      </c>
      <c r="T16" t="s">
        <v>35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  <c r="AF16">
        <f t="shared" si="0"/>
        <v>1</v>
      </c>
      <c r="AG16">
        <f t="shared" si="1"/>
        <v>1</v>
      </c>
      <c r="AH16" t="str">
        <f t="shared" si="2"/>
        <v>Bachelor</v>
      </c>
      <c r="AI16" t="str">
        <f t="shared" si="3"/>
        <v>High</v>
      </c>
      <c r="AJ16" t="str">
        <f t="shared" si="4"/>
        <v>Medium</v>
      </c>
      <c r="AK16" t="str">
        <f t="shared" si="5"/>
        <v>Entry</v>
      </c>
      <c r="AL16" t="str">
        <f t="shared" si="6"/>
        <v>High</v>
      </c>
      <c r="AM16" t="str">
        <f t="shared" si="7"/>
        <v>Medium</v>
      </c>
      <c r="AN16" t="str">
        <f t="shared" si="8"/>
        <v>No Options</v>
      </c>
      <c r="AO16" t="str">
        <f t="shared" si="9"/>
        <v>Better</v>
      </c>
      <c r="AP16" t="str">
        <f t="shared" si="10"/>
        <v>25-34</v>
      </c>
      <c r="AQ16" t="str">
        <f t="shared" si="11"/>
        <v>Low</v>
      </c>
      <c r="AR16" t="str">
        <f t="shared" si="12"/>
        <v>3-5 Years</v>
      </c>
    </row>
    <row r="17" spans="1:44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51</v>
      </c>
      <c r="M17">
        <v>4</v>
      </c>
      <c r="N17">
        <v>3</v>
      </c>
      <c r="O17" t="s">
        <v>53</v>
      </c>
      <c r="P17">
        <v>1</v>
      </c>
      <c r="Q17" t="s">
        <v>52</v>
      </c>
      <c r="R17">
        <v>9980</v>
      </c>
      <c r="S17">
        <v>1</v>
      </c>
      <c r="T17" t="s">
        <v>43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  <c r="AF17">
        <f t="shared" si="0"/>
        <v>0</v>
      </c>
      <c r="AG17">
        <f t="shared" si="1"/>
        <v>0</v>
      </c>
      <c r="AH17" t="str">
        <f t="shared" si="2"/>
        <v>Master</v>
      </c>
      <c r="AI17" t="str">
        <f t="shared" si="3"/>
        <v>Medium</v>
      </c>
      <c r="AJ17" t="str">
        <f t="shared" si="4"/>
        <v>Very High</v>
      </c>
      <c r="AK17" t="str">
        <f t="shared" si="5"/>
        <v>Mid-Level</v>
      </c>
      <c r="AL17" t="str">
        <f t="shared" si="6"/>
        <v>Low</v>
      </c>
      <c r="AM17" t="str">
        <f t="shared" si="7"/>
        <v>High</v>
      </c>
      <c r="AN17" t="str">
        <f t="shared" si="8"/>
        <v>Low</v>
      </c>
      <c r="AO17" t="str">
        <f t="shared" si="9"/>
        <v>Better</v>
      </c>
      <c r="AP17" t="str">
        <f t="shared" si="10"/>
        <v>25-34</v>
      </c>
      <c r="AQ17" t="str">
        <f t="shared" si="11"/>
        <v>Upper-Mid</v>
      </c>
      <c r="AR17" t="str">
        <f t="shared" si="12"/>
        <v>6-10 Years</v>
      </c>
    </row>
    <row r="18" spans="1:44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46</v>
      </c>
      <c r="L18">
        <v>80</v>
      </c>
      <c r="M18">
        <v>4</v>
      </c>
      <c r="N18">
        <v>1</v>
      </c>
      <c r="O18" t="s">
        <v>47</v>
      </c>
      <c r="P18">
        <v>2</v>
      </c>
      <c r="Q18" t="s">
        <v>52</v>
      </c>
      <c r="R18">
        <v>3298</v>
      </c>
      <c r="S18">
        <v>0</v>
      </c>
      <c r="T18" t="s">
        <v>35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  <c r="AF18">
        <f t="shared" si="0"/>
        <v>0</v>
      </c>
      <c r="AG18">
        <f t="shared" si="1"/>
        <v>1</v>
      </c>
      <c r="AH18" t="str">
        <f t="shared" si="2"/>
        <v>College</v>
      </c>
      <c r="AI18" t="str">
        <f t="shared" si="3"/>
        <v>Low</v>
      </c>
      <c r="AJ18" t="str">
        <f t="shared" si="4"/>
        <v>Very High</v>
      </c>
      <c r="AK18" t="str">
        <f t="shared" si="5"/>
        <v>Entry</v>
      </c>
      <c r="AL18" t="str">
        <f t="shared" si="6"/>
        <v>Medium</v>
      </c>
      <c r="AM18" t="str">
        <f t="shared" si="7"/>
        <v>Very High</v>
      </c>
      <c r="AN18" t="str">
        <f t="shared" si="8"/>
        <v>Medium</v>
      </c>
      <c r="AO18" t="str">
        <f t="shared" si="9"/>
        <v>Good</v>
      </c>
      <c r="AP18" t="str">
        <f t="shared" si="10"/>
        <v>25-34</v>
      </c>
      <c r="AQ18" t="str">
        <f t="shared" si="11"/>
        <v>Lower-Mid</v>
      </c>
      <c r="AR18" t="str">
        <f t="shared" si="12"/>
        <v>6-10 Years</v>
      </c>
    </row>
    <row r="19" spans="1:44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46</v>
      </c>
      <c r="L19">
        <v>96</v>
      </c>
      <c r="M19">
        <v>4</v>
      </c>
      <c r="N19">
        <v>1</v>
      </c>
      <c r="O19" t="s">
        <v>50</v>
      </c>
      <c r="P19">
        <v>4</v>
      </c>
      <c r="Q19" t="s">
        <v>52</v>
      </c>
      <c r="R19">
        <v>2935</v>
      </c>
      <c r="S19">
        <v>1</v>
      </c>
      <c r="T19" t="s">
        <v>35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  <c r="AF19">
        <f t="shared" si="0"/>
        <v>0</v>
      </c>
      <c r="AG19">
        <f t="shared" si="1"/>
        <v>1</v>
      </c>
      <c r="AH19" t="str">
        <f t="shared" si="2"/>
        <v>College</v>
      </c>
      <c r="AI19" t="str">
        <f t="shared" si="3"/>
        <v>Very High</v>
      </c>
      <c r="AJ19" t="str">
        <f t="shared" si="4"/>
        <v>Very High</v>
      </c>
      <c r="AK19" t="str">
        <f t="shared" si="5"/>
        <v>Entry</v>
      </c>
      <c r="AL19" t="str">
        <f t="shared" si="6"/>
        <v>Very High</v>
      </c>
      <c r="AM19" t="str">
        <f t="shared" si="7"/>
        <v>Medium</v>
      </c>
      <c r="AN19" t="str">
        <f t="shared" si="8"/>
        <v>Medium</v>
      </c>
      <c r="AO19" t="str">
        <f t="shared" si="9"/>
        <v>Good</v>
      </c>
      <c r="AP19" t="str">
        <f t="shared" si="10"/>
        <v>Under 25</v>
      </c>
      <c r="AQ19" t="str">
        <f t="shared" si="11"/>
        <v>Low</v>
      </c>
      <c r="AR19" t="str">
        <f t="shared" si="12"/>
        <v>0-2 Years</v>
      </c>
    </row>
    <row r="20" spans="1:44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78</v>
      </c>
      <c r="M20">
        <v>2</v>
      </c>
      <c r="N20">
        <v>4</v>
      </c>
      <c r="O20" t="s">
        <v>56</v>
      </c>
      <c r="P20">
        <v>4</v>
      </c>
      <c r="Q20" t="s">
        <v>48</v>
      </c>
      <c r="R20">
        <v>15427</v>
      </c>
      <c r="S20">
        <v>2</v>
      </c>
      <c r="T20" t="s">
        <v>43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  <c r="AF20">
        <f t="shared" si="0"/>
        <v>0</v>
      </c>
      <c r="AG20">
        <f t="shared" si="1"/>
        <v>0</v>
      </c>
      <c r="AH20" t="str">
        <f t="shared" si="2"/>
        <v>Master</v>
      </c>
      <c r="AI20" t="str">
        <f t="shared" si="3"/>
        <v>Low</v>
      </c>
      <c r="AJ20" t="str">
        <f t="shared" si="4"/>
        <v>Medium</v>
      </c>
      <c r="AK20" t="str">
        <f t="shared" si="5"/>
        <v>Senior</v>
      </c>
      <c r="AL20" t="str">
        <f t="shared" si="6"/>
        <v>Very High</v>
      </c>
      <c r="AM20" t="str">
        <f t="shared" si="7"/>
        <v>High</v>
      </c>
      <c r="AN20" t="str">
        <f t="shared" si="8"/>
        <v>No Options</v>
      </c>
      <c r="AO20" t="str">
        <f t="shared" si="9"/>
        <v>Better</v>
      </c>
      <c r="AP20" t="str">
        <f t="shared" si="10"/>
        <v>45-54</v>
      </c>
      <c r="AQ20" t="str">
        <f t="shared" si="11"/>
        <v>High</v>
      </c>
      <c r="AR20" t="str">
        <f t="shared" si="12"/>
        <v>20+ Years</v>
      </c>
    </row>
    <row r="21" spans="1:44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46</v>
      </c>
      <c r="L21">
        <v>45</v>
      </c>
      <c r="M21">
        <v>3</v>
      </c>
      <c r="N21">
        <v>1</v>
      </c>
      <c r="O21" t="s">
        <v>47</v>
      </c>
      <c r="P21">
        <v>4</v>
      </c>
      <c r="Q21" t="s">
        <v>41</v>
      </c>
      <c r="R21">
        <v>3944</v>
      </c>
      <c r="S21">
        <v>5</v>
      </c>
      <c r="T21" t="s">
        <v>35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  <c r="AF21">
        <f t="shared" si="0"/>
        <v>0</v>
      </c>
      <c r="AG21">
        <f t="shared" si="1"/>
        <v>1</v>
      </c>
      <c r="AH21" t="str">
        <f t="shared" si="2"/>
        <v>Bachelor</v>
      </c>
      <c r="AI21" t="str">
        <f t="shared" si="3"/>
        <v>Very High</v>
      </c>
      <c r="AJ21" t="str">
        <f t="shared" si="4"/>
        <v>High</v>
      </c>
      <c r="AK21" t="str">
        <f t="shared" si="5"/>
        <v>Entry</v>
      </c>
      <c r="AL21" t="str">
        <f t="shared" si="6"/>
        <v>Very High</v>
      </c>
      <c r="AM21" t="str">
        <f t="shared" si="7"/>
        <v>High</v>
      </c>
      <c r="AN21" t="str">
        <f t="shared" si="8"/>
        <v>No Options</v>
      </c>
      <c r="AO21" t="str">
        <f t="shared" si="9"/>
        <v>Better</v>
      </c>
      <c r="AP21" t="str">
        <f t="shared" si="10"/>
        <v>35-44</v>
      </c>
      <c r="AQ21" t="str">
        <f t="shared" si="11"/>
        <v>Lower-Mid</v>
      </c>
      <c r="AR21" t="str">
        <f t="shared" si="12"/>
        <v>3-5 Years</v>
      </c>
    </row>
    <row r="22" spans="1:44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39</v>
      </c>
      <c r="L22">
        <v>96</v>
      </c>
      <c r="M22">
        <v>4</v>
      </c>
      <c r="N22">
        <v>2</v>
      </c>
      <c r="O22" t="s">
        <v>53</v>
      </c>
      <c r="P22">
        <v>3</v>
      </c>
      <c r="Q22" t="s">
        <v>52</v>
      </c>
      <c r="R22">
        <v>4011</v>
      </c>
      <c r="S22">
        <v>0</v>
      </c>
      <c r="T22" t="s">
        <v>43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  <c r="AF22">
        <f t="shared" si="0"/>
        <v>0</v>
      </c>
      <c r="AG22">
        <f t="shared" si="1"/>
        <v>0</v>
      </c>
      <c r="AH22" t="str">
        <f t="shared" si="2"/>
        <v>College</v>
      </c>
      <c r="AI22" t="str">
        <f t="shared" si="3"/>
        <v>Low</v>
      </c>
      <c r="AJ22" t="str">
        <f t="shared" si="4"/>
        <v>Very High</v>
      </c>
      <c r="AK22" t="str">
        <f t="shared" si="5"/>
        <v>Junior</v>
      </c>
      <c r="AL22" t="str">
        <f t="shared" si="6"/>
        <v>High</v>
      </c>
      <c r="AM22" t="str">
        <f t="shared" si="7"/>
        <v>Very High</v>
      </c>
      <c r="AN22" t="str">
        <f t="shared" si="8"/>
        <v>Low</v>
      </c>
      <c r="AO22" t="str">
        <f t="shared" si="9"/>
        <v>Good</v>
      </c>
      <c r="AP22" t="str">
        <f t="shared" si="10"/>
        <v>Under 25</v>
      </c>
      <c r="AQ22" t="str">
        <f t="shared" si="11"/>
        <v>Lower-Mid</v>
      </c>
      <c r="AR22" t="str">
        <f t="shared" si="12"/>
        <v>3-5 Years</v>
      </c>
    </row>
    <row r="23" spans="1:44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46</v>
      </c>
      <c r="L23">
        <v>82</v>
      </c>
      <c r="M23">
        <v>2</v>
      </c>
      <c r="N23">
        <v>1</v>
      </c>
      <c r="O23" t="s">
        <v>57</v>
      </c>
      <c r="P23">
        <v>1</v>
      </c>
      <c r="Q23" t="s">
        <v>41</v>
      </c>
      <c r="R23">
        <v>3407</v>
      </c>
      <c r="S23">
        <v>7</v>
      </c>
      <c r="T23" t="s">
        <v>43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  <c r="AF23">
        <f t="shared" si="0"/>
        <v>1</v>
      </c>
      <c r="AG23">
        <f t="shared" si="1"/>
        <v>0</v>
      </c>
      <c r="AH23" t="str">
        <f t="shared" si="2"/>
        <v>Master</v>
      </c>
      <c r="AI23" t="str">
        <f t="shared" si="3"/>
        <v>High</v>
      </c>
      <c r="AJ23" t="str">
        <f t="shared" si="4"/>
        <v>Medium</v>
      </c>
      <c r="AK23" t="str">
        <f t="shared" si="5"/>
        <v>Entry</v>
      </c>
      <c r="AL23" t="str">
        <f t="shared" si="6"/>
        <v>Low</v>
      </c>
      <c r="AM23" t="str">
        <f t="shared" si="7"/>
        <v>Medium</v>
      </c>
      <c r="AN23" t="str">
        <f t="shared" si="8"/>
        <v>No Options</v>
      </c>
      <c r="AO23" t="str">
        <f t="shared" si="9"/>
        <v>Better</v>
      </c>
      <c r="AP23" t="str">
        <f t="shared" si="10"/>
        <v>35-44</v>
      </c>
      <c r="AQ23" t="str">
        <f t="shared" si="11"/>
        <v>Lower-Mid</v>
      </c>
      <c r="AR23" t="str">
        <f t="shared" si="12"/>
        <v>3-5 Years</v>
      </c>
    </row>
    <row r="24" spans="1:44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53</v>
      </c>
      <c r="M24">
        <v>3</v>
      </c>
      <c r="N24">
        <v>3</v>
      </c>
      <c r="O24" t="s">
        <v>58</v>
      </c>
      <c r="P24">
        <v>2</v>
      </c>
      <c r="Q24" t="s">
        <v>41</v>
      </c>
      <c r="R24">
        <v>11994</v>
      </c>
      <c r="S24">
        <v>0</v>
      </c>
      <c r="T24" t="s">
        <v>43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  <c r="AF24">
        <f t="shared" si="0"/>
        <v>0</v>
      </c>
      <c r="AG24">
        <f t="shared" si="1"/>
        <v>0</v>
      </c>
      <c r="AH24" t="str">
        <f t="shared" si="2"/>
        <v>Master</v>
      </c>
      <c r="AI24" t="str">
        <f t="shared" si="3"/>
        <v>Low</v>
      </c>
      <c r="AJ24" t="str">
        <f t="shared" si="4"/>
        <v>High</v>
      </c>
      <c r="AK24" t="str">
        <f t="shared" si="5"/>
        <v>Mid-Level</v>
      </c>
      <c r="AL24" t="str">
        <f t="shared" si="6"/>
        <v>Medium</v>
      </c>
      <c r="AM24" t="str">
        <f t="shared" si="7"/>
        <v>High</v>
      </c>
      <c r="AN24" t="str">
        <f t="shared" si="8"/>
        <v>No Options</v>
      </c>
      <c r="AO24" t="str">
        <f t="shared" si="9"/>
        <v>Better</v>
      </c>
      <c r="AP24" t="str">
        <f t="shared" si="10"/>
        <v>25-34</v>
      </c>
      <c r="AQ24" t="str">
        <f t="shared" si="11"/>
        <v>Upper-Mid</v>
      </c>
      <c r="AR24" t="str">
        <f t="shared" si="12"/>
        <v>11-20 Years</v>
      </c>
    </row>
    <row r="25" spans="1:44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46</v>
      </c>
      <c r="L25">
        <v>96</v>
      </c>
      <c r="M25">
        <v>3</v>
      </c>
      <c r="N25">
        <v>1</v>
      </c>
      <c r="O25" t="s">
        <v>47</v>
      </c>
      <c r="P25">
        <v>4</v>
      </c>
      <c r="Q25" t="s">
        <v>41</v>
      </c>
      <c r="R25">
        <v>1232</v>
      </c>
      <c r="S25">
        <v>1</v>
      </c>
      <c r="T25" t="s">
        <v>43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  <c r="AF25">
        <f t="shared" si="0"/>
        <v>0</v>
      </c>
      <c r="AG25">
        <f t="shared" si="1"/>
        <v>0</v>
      </c>
      <c r="AH25" t="str">
        <f t="shared" si="2"/>
        <v>College</v>
      </c>
      <c r="AI25" t="str">
        <f t="shared" si="3"/>
        <v>High</v>
      </c>
      <c r="AJ25" t="str">
        <f t="shared" si="4"/>
        <v>High</v>
      </c>
      <c r="AK25" t="str">
        <f t="shared" si="5"/>
        <v>Entry</v>
      </c>
      <c r="AL25" t="str">
        <f t="shared" si="6"/>
        <v>Very High</v>
      </c>
      <c r="AM25" t="str">
        <f t="shared" si="7"/>
        <v>Very High</v>
      </c>
      <c r="AN25" t="str">
        <f t="shared" si="8"/>
        <v>No Options</v>
      </c>
      <c r="AO25" t="str">
        <f t="shared" si="9"/>
        <v>Better</v>
      </c>
      <c r="AP25" t="str">
        <f t="shared" si="10"/>
        <v>Under 25</v>
      </c>
      <c r="AQ25" t="str">
        <f t="shared" si="11"/>
        <v>Low</v>
      </c>
      <c r="AR25" t="str">
        <f t="shared" si="12"/>
        <v>0-2 Years</v>
      </c>
    </row>
    <row r="26" spans="1:44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46</v>
      </c>
      <c r="L26">
        <v>83</v>
      </c>
      <c r="M26">
        <v>3</v>
      </c>
      <c r="N26">
        <v>1</v>
      </c>
      <c r="O26" t="s">
        <v>47</v>
      </c>
      <c r="P26">
        <v>1</v>
      </c>
      <c r="Q26" t="s">
        <v>41</v>
      </c>
      <c r="R26">
        <v>2960</v>
      </c>
      <c r="S26">
        <v>2</v>
      </c>
      <c r="T26" t="s">
        <v>43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  <c r="AF26">
        <f t="shared" si="0"/>
        <v>1</v>
      </c>
      <c r="AG26">
        <f t="shared" si="1"/>
        <v>0</v>
      </c>
      <c r="AH26" t="str">
        <f t="shared" si="2"/>
        <v>Below College</v>
      </c>
      <c r="AI26" t="str">
        <f t="shared" si="3"/>
        <v>Medium</v>
      </c>
      <c r="AJ26" t="str">
        <f t="shared" si="4"/>
        <v>High</v>
      </c>
      <c r="AK26" t="str">
        <f t="shared" si="5"/>
        <v>Entry</v>
      </c>
      <c r="AL26" t="str">
        <f t="shared" si="6"/>
        <v>Low</v>
      </c>
      <c r="AM26" t="str">
        <f t="shared" si="7"/>
        <v>High</v>
      </c>
      <c r="AN26" t="str">
        <f t="shared" si="8"/>
        <v>No Options</v>
      </c>
      <c r="AO26" t="str">
        <f t="shared" si="9"/>
        <v>Better</v>
      </c>
      <c r="AP26" t="str">
        <f t="shared" si="10"/>
        <v>25-34</v>
      </c>
      <c r="AQ26" t="str">
        <f t="shared" si="11"/>
        <v>Low</v>
      </c>
      <c r="AR26" t="str">
        <f t="shared" si="12"/>
        <v>3-5 Years</v>
      </c>
    </row>
    <row r="27" spans="1:44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39</v>
      </c>
      <c r="L27">
        <v>58</v>
      </c>
      <c r="M27">
        <v>3</v>
      </c>
      <c r="N27">
        <v>5</v>
      </c>
      <c r="O27" t="s">
        <v>56</v>
      </c>
      <c r="P27">
        <v>3</v>
      </c>
      <c r="Q27" t="s">
        <v>52</v>
      </c>
      <c r="R27">
        <v>19094</v>
      </c>
      <c r="S27">
        <v>4</v>
      </c>
      <c r="T27" t="s">
        <v>43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  <c r="AF27">
        <f t="shared" si="0"/>
        <v>0</v>
      </c>
      <c r="AG27">
        <f t="shared" si="1"/>
        <v>0</v>
      </c>
      <c r="AH27" t="str">
        <f t="shared" si="2"/>
        <v>Bachelor</v>
      </c>
      <c r="AI27" t="str">
        <f t="shared" si="3"/>
        <v>High</v>
      </c>
      <c r="AJ27" t="str">
        <f t="shared" si="4"/>
        <v>High</v>
      </c>
      <c r="AK27" t="str">
        <f t="shared" si="5"/>
        <v>Executive</v>
      </c>
      <c r="AL27" t="str">
        <f t="shared" si="6"/>
        <v>High</v>
      </c>
      <c r="AM27" t="str">
        <f t="shared" si="7"/>
        <v>Very High</v>
      </c>
      <c r="AN27" t="str">
        <f t="shared" si="8"/>
        <v>Low</v>
      </c>
      <c r="AO27" t="str">
        <f t="shared" si="9"/>
        <v>Good</v>
      </c>
      <c r="AP27" t="str">
        <f t="shared" si="10"/>
        <v>45-54</v>
      </c>
      <c r="AQ27" t="str">
        <f t="shared" si="11"/>
        <v>High</v>
      </c>
      <c r="AR27" t="str">
        <f t="shared" si="12"/>
        <v>11-20 Years</v>
      </c>
    </row>
    <row r="28" spans="1:44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72</v>
      </c>
      <c r="M28">
        <v>1</v>
      </c>
      <c r="N28">
        <v>1</v>
      </c>
      <c r="O28" t="s">
        <v>47</v>
      </c>
      <c r="P28">
        <v>1</v>
      </c>
      <c r="Q28" t="s">
        <v>41</v>
      </c>
      <c r="R28">
        <v>3919</v>
      </c>
      <c r="S28">
        <v>1</v>
      </c>
      <c r="T28" t="s">
        <v>35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  <c r="AF28">
        <f t="shared" si="0"/>
        <v>1</v>
      </c>
      <c r="AG28">
        <f t="shared" si="1"/>
        <v>1</v>
      </c>
      <c r="AH28" t="str">
        <f t="shared" si="2"/>
        <v>Below College</v>
      </c>
      <c r="AI28" t="str">
        <f t="shared" si="3"/>
        <v>Medium</v>
      </c>
      <c r="AJ28" t="str">
        <f t="shared" si="4"/>
        <v>Low</v>
      </c>
      <c r="AK28" t="str">
        <f t="shared" si="5"/>
        <v>Entry</v>
      </c>
      <c r="AL28" t="str">
        <f t="shared" si="6"/>
        <v>Low</v>
      </c>
      <c r="AM28" t="str">
        <f t="shared" si="7"/>
        <v>Medium</v>
      </c>
      <c r="AN28" t="str">
        <f t="shared" si="8"/>
        <v>No Options</v>
      </c>
      <c r="AO28" t="str">
        <f t="shared" si="9"/>
        <v>Better</v>
      </c>
      <c r="AP28" t="str">
        <f t="shared" si="10"/>
        <v>25-34</v>
      </c>
      <c r="AQ28" t="str">
        <f t="shared" si="11"/>
        <v>Lower-Mid</v>
      </c>
      <c r="AR28" t="str">
        <f t="shared" si="12"/>
        <v>6-10 Years</v>
      </c>
    </row>
    <row r="29" spans="1:44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t="s">
        <v>46</v>
      </c>
      <c r="L29">
        <v>48</v>
      </c>
      <c r="M29">
        <v>3</v>
      </c>
      <c r="N29">
        <v>2</v>
      </c>
      <c r="O29" t="s">
        <v>40</v>
      </c>
      <c r="P29">
        <v>2</v>
      </c>
      <c r="Q29" t="s">
        <v>48</v>
      </c>
      <c r="R29">
        <v>6825</v>
      </c>
      <c r="S29">
        <v>0</v>
      </c>
      <c r="T29" t="s">
        <v>43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  <c r="AF29">
        <f t="shared" si="0"/>
        <v>0</v>
      </c>
      <c r="AG29">
        <f t="shared" si="1"/>
        <v>0</v>
      </c>
      <c r="AH29" t="str">
        <f t="shared" si="2"/>
        <v>Master</v>
      </c>
      <c r="AI29" t="str">
        <f t="shared" si="3"/>
        <v>High</v>
      </c>
      <c r="AJ29" t="str">
        <f t="shared" si="4"/>
        <v>High</v>
      </c>
      <c r="AK29" t="str">
        <f t="shared" si="5"/>
        <v>Junior</v>
      </c>
      <c r="AL29" t="str">
        <f t="shared" si="6"/>
        <v>Medium</v>
      </c>
      <c r="AM29" t="str">
        <f t="shared" si="7"/>
        <v>Very High</v>
      </c>
      <c r="AN29" t="str">
        <f t="shared" si="8"/>
        <v>Low</v>
      </c>
      <c r="AO29" t="str">
        <f t="shared" si="9"/>
        <v>Better</v>
      </c>
      <c r="AP29" t="str">
        <f t="shared" si="10"/>
        <v>35-44</v>
      </c>
      <c r="AQ29" t="str">
        <f t="shared" si="11"/>
        <v>Lower-Mid</v>
      </c>
      <c r="AR29" t="str">
        <f t="shared" si="12"/>
        <v>6-10 Years</v>
      </c>
    </row>
    <row r="30" spans="1:44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39</v>
      </c>
      <c r="L30">
        <v>42</v>
      </c>
      <c r="M30">
        <v>2</v>
      </c>
      <c r="N30">
        <v>3</v>
      </c>
      <c r="O30" t="s">
        <v>54</v>
      </c>
      <c r="P30">
        <v>4</v>
      </c>
      <c r="Q30" t="s">
        <v>48</v>
      </c>
      <c r="R30">
        <v>10248</v>
      </c>
      <c r="S30">
        <v>3</v>
      </c>
      <c r="T30" t="s">
        <v>43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  <c r="AF30">
        <f t="shared" si="0"/>
        <v>0</v>
      </c>
      <c r="AG30">
        <f t="shared" si="1"/>
        <v>0</v>
      </c>
      <c r="AH30" t="str">
        <f t="shared" si="2"/>
        <v>Master</v>
      </c>
      <c r="AI30" t="str">
        <f t="shared" si="3"/>
        <v>Low</v>
      </c>
      <c r="AJ30" t="str">
        <f t="shared" si="4"/>
        <v>Medium</v>
      </c>
      <c r="AK30" t="str">
        <f t="shared" si="5"/>
        <v>Mid-Level</v>
      </c>
      <c r="AL30" t="str">
        <f t="shared" si="6"/>
        <v>Very High</v>
      </c>
      <c r="AM30" t="str">
        <f t="shared" si="7"/>
        <v>Very High</v>
      </c>
      <c r="AN30" t="str">
        <f t="shared" si="8"/>
        <v>Low</v>
      </c>
      <c r="AO30" t="str">
        <f t="shared" si="9"/>
        <v>Better</v>
      </c>
      <c r="AP30" t="str">
        <f t="shared" si="10"/>
        <v>35-44</v>
      </c>
      <c r="AQ30" t="str">
        <f t="shared" si="11"/>
        <v>Upper-Mid</v>
      </c>
      <c r="AR30" t="str">
        <f t="shared" si="12"/>
        <v>20+ Years</v>
      </c>
    </row>
    <row r="31" spans="1:44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t="s">
        <v>39</v>
      </c>
      <c r="L31">
        <v>83</v>
      </c>
      <c r="M31">
        <v>3</v>
      </c>
      <c r="N31">
        <v>5</v>
      </c>
      <c r="O31" t="s">
        <v>56</v>
      </c>
      <c r="P31">
        <v>1</v>
      </c>
      <c r="Q31" t="s">
        <v>41</v>
      </c>
      <c r="R31">
        <v>18947</v>
      </c>
      <c r="S31">
        <v>3</v>
      </c>
      <c r="T31" t="s">
        <v>43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  <c r="AF31">
        <f t="shared" si="0"/>
        <v>0</v>
      </c>
      <c r="AG31">
        <f t="shared" si="1"/>
        <v>0</v>
      </c>
      <c r="AH31" t="str">
        <f t="shared" si="2"/>
        <v>Master</v>
      </c>
      <c r="AI31" t="str">
        <f t="shared" si="3"/>
        <v>Medium</v>
      </c>
      <c r="AJ31" t="str">
        <f t="shared" si="4"/>
        <v>High</v>
      </c>
      <c r="AK31" t="str">
        <f t="shared" si="5"/>
        <v>Executive</v>
      </c>
      <c r="AL31" t="str">
        <f t="shared" si="6"/>
        <v>Low</v>
      </c>
      <c r="AM31" t="str">
        <f t="shared" si="7"/>
        <v>Very High</v>
      </c>
      <c r="AN31" t="str">
        <f t="shared" si="8"/>
        <v>No Options</v>
      </c>
      <c r="AO31" t="str">
        <f t="shared" si="9"/>
        <v>Good</v>
      </c>
      <c r="AP31" t="str">
        <f t="shared" si="10"/>
        <v>45-54</v>
      </c>
      <c r="AQ31" t="str">
        <f t="shared" si="11"/>
        <v>High</v>
      </c>
      <c r="AR31" t="str">
        <f t="shared" si="12"/>
        <v>0-2 Years</v>
      </c>
    </row>
    <row r="32" spans="1:44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46</v>
      </c>
      <c r="L32">
        <v>78</v>
      </c>
      <c r="M32">
        <v>3</v>
      </c>
      <c r="N32">
        <v>1</v>
      </c>
      <c r="O32" t="s">
        <v>50</v>
      </c>
      <c r="P32">
        <v>4</v>
      </c>
      <c r="Q32" t="s">
        <v>41</v>
      </c>
      <c r="R32">
        <v>2496</v>
      </c>
      <c r="S32">
        <v>4</v>
      </c>
      <c r="T32" t="s">
        <v>43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  <c r="AF32">
        <f t="shared" si="0"/>
        <v>0</v>
      </c>
      <c r="AG32">
        <f t="shared" si="1"/>
        <v>0</v>
      </c>
      <c r="AH32" t="str">
        <f t="shared" si="2"/>
        <v>Bachelor</v>
      </c>
      <c r="AI32" t="str">
        <f t="shared" si="3"/>
        <v>High</v>
      </c>
      <c r="AJ32" t="str">
        <f t="shared" si="4"/>
        <v>High</v>
      </c>
      <c r="AK32" t="str">
        <f t="shared" si="5"/>
        <v>Entry</v>
      </c>
      <c r="AL32" t="str">
        <f t="shared" si="6"/>
        <v>Very High</v>
      </c>
      <c r="AM32" t="str">
        <f t="shared" si="7"/>
        <v>Very High</v>
      </c>
      <c r="AN32" t="str">
        <f t="shared" si="8"/>
        <v>No Options</v>
      </c>
      <c r="AO32" t="str">
        <f t="shared" si="9"/>
        <v>Better</v>
      </c>
      <c r="AP32" t="str">
        <f t="shared" si="10"/>
        <v>25-34</v>
      </c>
      <c r="AQ32" t="str">
        <f t="shared" si="11"/>
        <v>Low</v>
      </c>
      <c r="AR32" t="str">
        <f t="shared" si="12"/>
        <v>0-2 Years</v>
      </c>
    </row>
    <row r="33" spans="1:44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41</v>
      </c>
      <c r="M33">
        <v>3</v>
      </c>
      <c r="N33">
        <v>2</v>
      </c>
      <c r="O33" t="s">
        <v>54</v>
      </c>
      <c r="P33">
        <v>4</v>
      </c>
      <c r="Q33" t="s">
        <v>48</v>
      </c>
      <c r="R33">
        <v>6465</v>
      </c>
      <c r="S33">
        <v>2</v>
      </c>
      <c r="T33" t="s">
        <v>35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  <c r="AF33">
        <f t="shared" si="0"/>
        <v>0</v>
      </c>
      <c r="AG33">
        <f t="shared" si="1"/>
        <v>1</v>
      </c>
      <c r="AH33" t="str">
        <f t="shared" si="2"/>
        <v>Master</v>
      </c>
      <c r="AI33" t="str">
        <f t="shared" si="3"/>
        <v>Very High</v>
      </c>
      <c r="AJ33" t="str">
        <f t="shared" si="4"/>
        <v>High</v>
      </c>
      <c r="AK33" t="str">
        <f t="shared" si="5"/>
        <v>Junior</v>
      </c>
      <c r="AL33" t="str">
        <f t="shared" si="6"/>
        <v>Very High</v>
      </c>
      <c r="AM33" t="str">
        <f t="shared" si="7"/>
        <v>Very High</v>
      </c>
      <c r="AN33" t="str">
        <f t="shared" si="8"/>
        <v>No Options</v>
      </c>
      <c r="AO33" t="str">
        <f t="shared" si="9"/>
        <v>Best</v>
      </c>
      <c r="AP33" t="str">
        <f t="shared" si="10"/>
        <v>35-44</v>
      </c>
      <c r="AQ33" t="str">
        <f t="shared" si="11"/>
        <v>Lower-Mid</v>
      </c>
      <c r="AR33" t="str">
        <f t="shared" si="12"/>
        <v>3-5 Years</v>
      </c>
    </row>
    <row r="34" spans="1:44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46</v>
      </c>
      <c r="L34">
        <v>83</v>
      </c>
      <c r="M34">
        <v>2</v>
      </c>
      <c r="N34">
        <v>1</v>
      </c>
      <c r="O34" t="s">
        <v>50</v>
      </c>
      <c r="P34">
        <v>3</v>
      </c>
      <c r="Q34" t="s">
        <v>41</v>
      </c>
      <c r="R34">
        <v>2206</v>
      </c>
      <c r="S34">
        <v>1</v>
      </c>
      <c r="T34" t="s">
        <v>43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  <c r="AF34">
        <f t="shared" si="0"/>
        <v>0</v>
      </c>
      <c r="AG34">
        <f t="shared" si="1"/>
        <v>0</v>
      </c>
      <c r="AH34" t="str">
        <f t="shared" si="2"/>
        <v>College</v>
      </c>
      <c r="AI34" t="str">
        <f t="shared" si="3"/>
        <v>Very High</v>
      </c>
      <c r="AJ34" t="str">
        <f t="shared" si="4"/>
        <v>Medium</v>
      </c>
      <c r="AK34" t="str">
        <f t="shared" si="5"/>
        <v>Entry</v>
      </c>
      <c r="AL34" t="str">
        <f t="shared" si="6"/>
        <v>High</v>
      </c>
      <c r="AM34" t="str">
        <f t="shared" si="7"/>
        <v>Low</v>
      </c>
      <c r="AN34" t="str">
        <f t="shared" si="8"/>
        <v>No Options</v>
      </c>
      <c r="AO34" t="str">
        <f t="shared" si="9"/>
        <v>Better</v>
      </c>
      <c r="AP34" t="str">
        <f t="shared" si="10"/>
        <v>25-34</v>
      </c>
      <c r="AQ34" t="str">
        <f t="shared" si="11"/>
        <v>Low</v>
      </c>
      <c r="AR34" t="str">
        <f t="shared" si="12"/>
        <v>6-10 Years</v>
      </c>
    </row>
    <row r="35" spans="1:44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t="s">
        <v>46</v>
      </c>
      <c r="L35">
        <v>56</v>
      </c>
      <c r="M35">
        <v>3</v>
      </c>
      <c r="N35">
        <v>2</v>
      </c>
      <c r="O35" t="s">
        <v>57</v>
      </c>
      <c r="P35">
        <v>4</v>
      </c>
      <c r="Q35" t="s">
        <v>48</v>
      </c>
      <c r="R35">
        <v>2086</v>
      </c>
      <c r="S35">
        <v>3</v>
      </c>
      <c r="T35" t="s">
        <v>43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  <c r="AF35">
        <f t="shared" si="0"/>
        <v>1</v>
      </c>
      <c r="AG35">
        <f t="shared" si="1"/>
        <v>0</v>
      </c>
      <c r="AH35" t="str">
        <f t="shared" si="2"/>
        <v>Bachelor</v>
      </c>
      <c r="AI35" t="str">
        <f t="shared" si="3"/>
        <v>Very High</v>
      </c>
      <c r="AJ35" t="str">
        <f t="shared" si="4"/>
        <v>High</v>
      </c>
      <c r="AK35" t="str">
        <f t="shared" si="5"/>
        <v>Junior</v>
      </c>
      <c r="AL35" t="str">
        <f t="shared" si="6"/>
        <v>Very High</v>
      </c>
      <c r="AM35" t="str">
        <f t="shared" si="7"/>
        <v>High</v>
      </c>
      <c r="AN35" t="str">
        <f t="shared" si="8"/>
        <v>Low</v>
      </c>
      <c r="AO35" t="str">
        <f t="shared" si="9"/>
        <v>Best</v>
      </c>
      <c r="AP35" t="str">
        <f t="shared" si="10"/>
        <v>35-44</v>
      </c>
      <c r="AQ35" t="str">
        <f t="shared" si="11"/>
        <v>Low</v>
      </c>
      <c r="AR35" t="str">
        <f t="shared" si="12"/>
        <v>0-2 Years</v>
      </c>
    </row>
    <row r="36" spans="1:44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46</v>
      </c>
      <c r="L36">
        <v>61</v>
      </c>
      <c r="M36">
        <v>3</v>
      </c>
      <c r="N36">
        <v>1</v>
      </c>
      <c r="O36" t="s">
        <v>47</v>
      </c>
      <c r="P36">
        <v>4</v>
      </c>
      <c r="Q36" t="s">
        <v>48</v>
      </c>
      <c r="R36">
        <v>2293</v>
      </c>
      <c r="S36">
        <v>2</v>
      </c>
      <c r="T36" t="s">
        <v>35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  <c r="AF36">
        <f t="shared" si="0"/>
        <v>1</v>
      </c>
      <c r="AG36">
        <f t="shared" si="1"/>
        <v>1</v>
      </c>
      <c r="AH36" t="str">
        <f t="shared" si="2"/>
        <v>Bachelor</v>
      </c>
      <c r="AI36" t="str">
        <f t="shared" si="3"/>
        <v>Medium</v>
      </c>
      <c r="AJ36" t="str">
        <f t="shared" si="4"/>
        <v>High</v>
      </c>
      <c r="AK36" t="str">
        <f t="shared" si="5"/>
        <v>Entry</v>
      </c>
      <c r="AL36" t="str">
        <f t="shared" si="6"/>
        <v>Very High</v>
      </c>
      <c r="AM36" t="str">
        <f t="shared" si="7"/>
        <v>Low</v>
      </c>
      <c r="AN36" t="str">
        <f t="shared" si="8"/>
        <v>Low</v>
      </c>
      <c r="AO36" t="str">
        <f t="shared" si="9"/>
        <v>Good</v>
      </c>
      <c r="AP36" t="str">
        <f t="shared" si="10"/>
        <v>Under 25</v>
      </c>
      <c r="AQ36" t="str">
        <f t="shared" si="11"/>
        <v>Low</v>
      </c>
      <c r="AR36" t="str">
        <f t="shared" si="12"/>
        <v>0-2 Years</v>
      </c>
    </row>
    <row r="37" spans="1:44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39</v>
      </c>
      <c r="L37">
        <v>72</v>
      </c>
      <c r="M37">
        <v>4</v>
      </c>
      <c r="N37">
        <v>1</v>
      </c>
      <c r="O37" t="s">
        <v>47</v>
      </c>
      <c r="P37">
        <v>3</v>
      </c>
      <c r="Q37" t="s">
        <v>52</v>
      </c>
      <c r="R37">
        <v>2645</v>
      </c>
      <c r="S37">
        <v>1</v>
      </c>
      <c r="T37" t="s">
        <v>43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  <c r="AF37">
        <f t="shared" si="0"/>
        <v>0</v>
      </c>
      <c r="AG37">
        <f t="shared" si="1"/>
        <v>0</v>
      </c>
      <c r="AH37" t="str">
        <f t="shared" si="2"/>
        <v>College</v>
      </c>
      <c r="AI37" t="str">
        <f t="shared" si="3"/>
        <v>Very High</v>
      </c>
      <c r="AJ37" t="str">
        <f t="shared" si="4"/>
        <v>Very High</v>
      </c>
      <c r="AK37" t="str">
        <f t="shared" si="5"/>
        <v>Entry</v>
      </c>
      <c r="AL37" t="str">
        <f t="shared" si="6"/>
        <v>High</v>
      </c>
      <c r="AM37" t="str">
        <f t="shared" si="7"/>
        <v>Very High</v>
      </c>
      <c r="AN37" t="str">
        <f t="shared" si="8"/>
        <v>Medium</v>
      </c>
      <c r="AO37" t="str">
        <f t="shared" si="9"/>
        <v>Good</v>
      </c>
      <c r="AP37" t="str">
        <f t="shared" si="10"/>
        <v>35-44</v>
      </c>
      <c r="AQ37" t="str">
        <f t="shared" si="11"/>
        <v>Low</v>
      </c>
      <c r="AR37" t="str">
        <f t="shared" si="12"/>
        <v>3-5 Years</v>
      </c>
    </row>
    <row r="38" spans="1:44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t="s">
        <v>46</v>
      </c>
      <c r="L38">
        <v>86</v>
      </c>
      <c r="M38">
        <v>2</v>
      </c>
      <c r="N38">
        <v>1</v>
      </c>
      <c r="O38" t="s">
        <v>57</v>
      </c>
      <c r="P38">
        <v>3</v>
      </c>
      <c r="Q38" t="s">
        <v>48</v>
      </c>
      <c r="R38">
        <v>2683</v>
      </c>
      <c r="S38">
        <v>1</v>
      </c>
      <c r="T38" t="s">
        <v>35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  <c r="AF38">
        <f t="shared" si="0"/>
        <v>1</v>
      </c>
      <c r="AG38">
        <f t="shared" si="1"/>
        <v>1</v>
      </c>
      <c r="AH38" t="str">
        <f t="shared" si="2"/>
        <v>College</v>
      </c>
      <c r="AI38" t="str">
        <f t="shared" si="3"/>
        <v>Low</v>
      </c>
      <c r="AJ38" t="str">
        <f t="shared" si="4"/>
        <v>Medium</v>
      </c>
      <c r="AK38" t="str">
        <f t="shared" si="5"/>
        <v>Entry</v>
      </c>
      <c r="AL38" t="str">
        <f t="shared" si="6"/>
        <v>High</v>
      </c>
      <c r="AM38" t="str">
        <f t="shared" si="7"/>
        <v>High</v>
      </c>
      <c r="AN38" t="str">
        <f t="shared" si="8"/>
        <v>No Options</v>
      </c>
      <c r="AO38" t="str">
        <f t="shared" si="9"/>
        <v>Better</v>
      </c>
      <c r="AP38" t="str">
        <f t="shared" si="10"/>
        <v>45-54</v>
      </c>
      <c r="AQ38" t="str">
        <f t="shared" si="11"/>
        <v>Low</v>
      </c>
      <c r="AR38" t="str">
        <f t="shared" si="12"/>
        <v>3-5 Years</v>
      </c>
    </row>
    <row r="39" spans="1:44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t="s">
        <v>39</v>
      </c>
      <c r="L39">
        <v>97</v>
      </c>
      <c r="M39">
        <v>3</v>
      </c>
      <c r="N39">
        <v>1</v>
      </c>
      <c r="O39" t="s">
        <v>57</v>
      </c>
      <c r="P39">
        <v>4</v>
      </c>
      <c r="Q39" t="s">
        <v>48</v>
      </c>
      <c r="R39">
        <v>2014</v>
      </c>
      <c r="S39">
        <v>1</v>
      </c>
      <c r="T39" t="s">
        <v>43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  <c r="AF39">
        <f t="shared" si="0"/>
        <v>0</v>
      </c>
      <c r="AG39">
        <f t="shared" si="1"/>
        <v>0</v>
      </c>
      <c r="AH39" t="str">
        <f t="shared" si="2"/>
        <v>Bachelor</v>
      </c>
      <c r="AI39" t="str">
        <f t="shared" si="3"/>
        <v>Very High</v>
      </c>
      <c r="AJ39" t="str">
        <f t="shared" si="4"/>
        <v>High</v>
      </c>
      <c r="AK39" t="str">
        <f t="shared" si="5"/>
        <v>Entry</v>
      </c>
      <c r="AL39" t="str">
        <f t="shared" si="6"/>
        <v>Very High</v>
      </c>
      <c r="AM39" t="str">
        <f t="shared" si="7"/>
        <v>Low</v>
      </c>
      <c r="AN39" t="str">
        <f t="shared" si="8"/>
        <v>No Options</v>
      </c>
      <c r="AO39" t="str">
        <f t="shared" si="9"/>
        <v>Better</v>
      </c>
      <c r="AP39" t="str">
        <f t="shared" si="10"/>
        <v>35-44</v>
      </c>
      <c r="AQ39" t="str">
        <f t="shared" si="11"/>
        <v>Low</v>
      </c>
      <c r="AR39" t="str">
        <f t="shared" si="12"/>
        <v>0-2 Years</v>
      </c>
    </row>
    <row r="40" spans="1:44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82</v>
      </c>
      <c r="M40">
        <v>2</v>
      </c>
      <c r="N40">
        <v>1</v>
      </c>
      <c r="O40" t="s">
        <v>47</v>
      </c>
      <c r="P40">
        <v>1</v>
      </c>
      <c r="Q40" t="s">
        <v>48</v>
      </c>
      <c r="R40">
        <v>3419</v>
      </c>
      <c r="S40">
        <v>9</v>
      </c>
      <c r="T40" t="s">
        <v>35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  <c r="AF40">
        <f t="shared" si="0"/>
        <v>0</v>
      </c>
      <c r="AG40">
        <f t="shared" si="1"/>
        <v>1</v>
      </c>
      <c r="AH40" t="str">
        <f t="shared" si="2"/>
        <v>Master</v>
      </c>
      <c r="AI40" t="str">
        <f t="shared" si="3"/>
        <v>Medium</v>
      </c>
      <c r="AJ40" t="str">
        <f t="shared" si="4"/>
        <v>Medium</v>
      </c>
      <c r="AK40" t="str">
        <f t="shared" si="5"/>
        <v>Entry</v>
      </c>
      <c r="AL40" t="str">
        <f t="shared" si="6"/>
        <v>Low</v>
      </c>
      <c r="AM40" t="str">
        <f t="shared" si="7"/>
        <v>Very High</v>
      </c>
      <c r="AN40" t="str">
        <f t="shared" si="8"/>
        <v>Low</v>
      </c>
      <c r="AO40" t="str">
        <f t="shared" si="9"/>
        <v>Best</v>
      </c>
      <c r="AP40" t="str">
        <f t="shared" si="10"/>
        <v>35-44</v>
      </c>
      <c r="AQ40" t="str">
        <f t="shared" si="11"/>
        <v>Lower-Mid</v>
      </c>
      <c r="AR40" t="str">
        <f t="shared" si="12"/>
        <v>0-2 Years</v>
      </c>
    </row>
    <row r="41" spans="1:44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42</v>
      </c>
      <c r="M41">
        <v>4</v>
      </c>
      <c r="N41">
        <v>2</v>
      </c>
      <c r="O41" t="s">
        <v>40</v>
      </c>
      <c r="P41">
        <v>1</v>
      </c>
      <c r="Q41" t="s">
        <v>48</v>
      </c>
      <c r="R41">
        <v>5376</v>
      </c>
      <c r="S41">
        <v>2</v>
      </c>
      <c r="T41" t="s">
        <v>43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  <c r="AF41">
        <f t="shared" si="0"/>
        <v>0</v>
      </c>
      <c r="AG41">
        <f t="shared" si="1"/>
        <v>0</v>
      </c>
      <c r="AH41" t="str">
        <f t="shared" si="2"/>
        <v>Bachelor</v>
      </c>
      <c r="AI41" t="str">
        <f t="shared" si="3"/>
        <v>High</v>
      </c>
      <c r="AJ41" t="str">
        <f t="shared" si="4"/>
        <v>Very High</v>
      </c>
      <c r="AK41" t="str">
        <f t="shared" si="5"/>
        <v>Junior</v>
      </c>
      <c r="AL41" t="str">
        <f t="shared" si="6"/>
        <v>Low</v>
      </c>
      <c r="AM41" t="str">
        <f t="shared" si="7"/>
        <v>Low</v>
      </c>
      <c r="AN41" t="str">
        <f t="shared" si="8"/>
        <v>Medium</v>
      </c>
      <c r="AO41" t="str">
        <f t="shared" si="9"/>
        <v>Better</v>
      </c>
      <c r="AP41" t="str">
        <f t="shared" si="10"/>
        <v>25-34</v>
      </c>
      <c r="AQ41" t="str">
        <f t="shared" si="11"/>
        <v>Lower-Mid</v>
      </c>
      <c r="AR41" t="str">
        <f t="shared" si="12"/>
        <v>3-5 Years</v>
      </c>
    </row>
    <row r="42" spans="1:44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75</v>
      </c>
      <c r="M42">
        <v>3</v>
      </c>
      <c r="N42">
        <v>1</v>
      </c>
      <c r="O42" t="s">
        <v>50</v>
      </c>
      <c r="P42">
        <v>4</v>
      </c>
      <c r="Q42" t="s">
        <v>52</v>
      </c>
      <c r="R42">
        <v>1951</v>
      </c>
      <c r="S42">
        <v>1</v>
      </c>
      <c r="T42" t="s">
        <v>43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  <c r="AF42">
        <f t="shared" si="0"/>
        <v>0</v>
      </c>
      <c r="AG42">
        <f t="shared" si="1"/>
        <v>0</v>
      </c>
      <c r="AH42" t="str">
        <f t="shared" si="2"/>
        <v>College</v>
      </c>
      <c r="AI42" t="str">
        <f t="shared" si="3"/>
        <v>High</v>
      </c>
      <c r="AJ42" t="str">
        <f t="shared" si="4"/>
        <v>High</v>
      </c>
      <c r="AK42" t="str">
        <f t="shared" si="5"/>
        <v>Entry</v>
      </c>
      <c r="AL42" t="str">
        <f t="shared" si="6"/>
        <v>Very High</v>
      </c>
      <c r="AM42" t="str">
        <f t="shared" si="7"/>
        <v>High</v>
      </c>
      <c r="AN42" t="str">
        <f t="shared" si="8"/>
        <v>Low</v>
      </c>
      <c r="AO42" t="str">
        <f t="shared" si="9"/>
        <v>Better</v>
      </c>
      <c r="AP42" t="str">
        <f t="shared" si="10"/>
        <v>35-44</v>
      </c>
      <c r="AQ42" t="str">
        <f t="shared" si="11"/>
        <v>Low</v>
      </c>
      <c r="AR42" t="str">
        <f t="shared" si="12"/>
        <v>0-2 Years</v>
      </c>
    </row>
    <row r="43" spans="1:44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33</v>
      </c>
      <c r="M43">
        <v>3</v>
      </c>
      <c r="N43">
        <v>1</v>
      </c>
      <c r="O43" t="s">
        <v>50</v>
      </c>
      <c r="P43">
        <v>1</v>
      </c>
      <c r="Q43" t="s">
        <v>52</v>
      </c>
      <c r="R43">
        <v>2341</v>
      </c>
      <c r="S43">
        <v>1</v>
      </c>
      <c r="T43" t="s">
        <v>43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  <c r="AF43">
        <f t="shared" si="0"/>
        <v>0</v>
      </c>
      <c r="AG43">
        <f t="shared" si="1"/>
        <v>0</v>
      </c>
      <c r="AH43" t="str">
        <f t="shared" si="2"/>
        <v>Master</v>
      </c>
      <c r="AI43" t="str">
        <f t="shared" si="3"/>
        <v>Very High</v>
      </c>
      <c r="AJ43" t="str">
        <f t="shared" si="4"/>
        <v>High</v>
      </c>
      <c r="AK43" t="str">
        <f t="shared" si="5"/>
        <v>Entry</v>
      </c>
      <c r="AL43" t="str">
        <f t="shared" si="6"/>
        <v>Low</v>
      </c>
      <c r="AM43" t="str">
        <f t="shared" si="7"/>
        <v>Very High</v>
      </c>
      <c r="AN43" t="str">
        <f t="shared" si="8"/>
        <v>Low</v>
      </c>
      <c r="AO43" t="str">
        <f t="shared" si="9"/>
        <v>Better</v>
      </c>
      <c r="AP43" t="str">
        <f t="shared" si="10"/>
        <v>25-34</v>
      </c>
      <c r="AQ43" t="str">
        <f t="shared" si="11"/>
        <v>Low</v>
      </c>
      <c r="AR43" t="str">
        <f t="shared" si="12"/>
        <v>0-2 Years</v>
      </c>
    </row>
    <row r="44" spans="1:44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46</v>
      </c>
      <c r="L44">
        <v>48</v>
      </c>
      <c r="M44">
        <v>1</v>
      </c>
      <c r="N44">
        <v>1</v>
      </c>
      <c r="O44" t="s">
        <v>50</v>
      </c>
      <c r="P44">
        <v>3</v>
      </c>
      <c r="Q44" t="s">
        <v>41</v>
      </c>
      <c r="R44">
        <v>2293</v>
      </c>
      <c r="S44">
        <v>1</v>
      </c>
      <c r="T44" t="s">
        <v>43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  <c r="AF44">
        <f t="shared" si="0"/>
        <v>1</v>
      </c>
      <c r="AG44">
        <f t="shared" si="1"/>
        <v>0</v>
      </c>
      <c r="AH44" t="str">
        <f t="shared" si="2"/>
        <v>Bachelor</v>
      </c>
      <c r="AI44" t="str">
        <f t="shared" si="3"/>
        <v>Low</v>
      </c>
      <c r="AJ44" t="str">
        <f t="shared" si="4"/>
        <v>Low</v>
      </c>
      <c r="AK44" t="str">
        <f t="shared" si="5"/>
        <v>Entry</v>
      </c>
      <c r="AL44" t="str">
        <f t="shared" si="6"/>
        <v>High</v>
      </c>
      <c r="AM44" t="str">
        <f t="shared" si="7"/>
        <v>High</v>
      </c>
      <c r="AN44" t="str">
        <f t="shared" si="8"/>
        <v>No Options</v>
      </c>
      <c r="AO44" t="str">
        <f t="shared" si="9"/>
        <v>Good</v>
      </c>
      <c r="AP44" t="str">
        <f t="shared" si="10"/>
        <v>25-34</v>
      </c>
      <c r="AQ44" t="str">
        <f t="shared" si="11"/>
        <v>Low</v>
      </c>
      <c r="AR44" t="str">
        <f t="shared" si="12"/>
        <v>0-2 Years</v>
      </c>
    </row>
    <row r="45" spans="1:44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46</v>
      </c>
      <c r="L45">
        <v>37</v>
      </c>
      <c r="M45">
        <v>3</v>
      </c>
      <c r="N45">
        <v>3</v>
      </c>
      <c r="O45" t="s">
        <v>40</v>
      </c>
      <c r="P45">
        <v>3</v>
      </c>
      <c r="Q45" t="s">
        <v>41</v>
      </c>
      <c r="R45">
        <v>8726</v>
      </c>
      <c r="S45">
        <v>1</v>
      </c>
      <c r="T45" t="s">
        <v>43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  <c r="AF45">
        <f t="shared" si="0"/>
        <v>0</v>
      </c>
      <c r="AG45">
        <f t="shared" si="1"/>
        <v>0</v>
      </c>
      <c r="AH45" t="str">
        <f t="shared" si="2"/>
        <v>Bachelor</v>
      </c>
      <c r="AI45" t="str">
        <f t="shared" si="3"/>
        <v>Very High</v>
      </c>
      <c r="AJ45" t="str">
        <f t="shared" si="4"/>
        <v>High</v>
      </c>
      <c r="AK45" t="str">
        <f t="shared" si="5"/>
        <v>Mid-Level</v>
      </c>
      <c r="AL45" t="str">
        <f t="shared" si="6"/>
        <v>High</v>
      </c>
      <c r="AM45" t="str">
        <f t="shared" si="7"/>
        <v>Very High</v>
      </c>
      <c r="AN45" t="str">
        <f t="shared" si="8"/>
        <v>No Options</v>
      </c>
      <c r="AO45" t="str">
        <f t="shared" si="9"/>
        <v>Better</v>
      </c>
      <c r="AP45" t="str">
        <f t="shared" si="10"/>
        <v>25-34</v>
      </c>
      <c r="AQ45" t="str">
        <f t="shared" si="11"/>
        <v>Upper-Mid</v>
      </c>
      <c r="AR45" t="str">
        <f t="shared" si="12"/>
        <v>6-10 Years</v>
      </c>
    </row>
    <row r="46" spans="1:44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39</v>
      </c>
      <c r="L46">
        <v>58</v>
      </c>
      <c r="M46">
        <v>3</v>
      </c>
      <c r="N46">
        <v>2</v>
      </c>
      <c r="O46" t="s">
        <v>50</v>
      </c>
      <c r="P46">
        <v>4</v>
      </c>
      <c r="Q46" t="s">
        <v>41</v>
      </c>
      <c r="R46">
        <v>4011</v>
      </c>
      <c r="S46">
        <v>1</v>
      </c>
      <c r="T46" t="s">
        <v>43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  <c r="AF46">
        <f t="shared" si="0"/>
        <v>0</v>
      </c>
      <c r="AG46">
        <f t="shared" si="1"/>
        <v>0</v>
      </c>
      <c r="AH46" t="str">
        <f t="shared" si="2"/>
        <v>College</v>
      </c>
      <c r="AI46" t="str">
        <f t="shared" si="3"/>
        <v>High</v>
      </c>
      <c r="AJ46" t="str">
        <f t="shared" si="4"/>
        <v>High</v>
      </c>
      <c r="AK46" t="str">
        <f t="shared" si="5"/>
        <v>Junior</v>
      </c>
      <c r="AL46" t="str">
        <f t="shared" si="6"/>
        <v>Very High</v>
      </c>
      <c r="AM46" t="str">
        <f t="shared" si="7"/>
        <v>Very High</v>
      </c>
      <c r="AN46" t="str">
        <f t="shared" si="8"/>
        <v>No Options</v>
      </c>
      <c r="AO46" t="str">
        <f t="shared" si="9"/>
        <v>Better</v>
      </c>
      <c r="AP46" t="str">
        <f t="shared" si="10"/>
        <v>25-34</v>
      </c>
      <c r="AQ46" t="str">
        <f t="shared" si="11"/>
        <v>Lower-Mid</v>
      </c>
      <c r="AR46" t="str">
        <f t="shared" si="12"/>
        <v>11-20 Years</v>
      </c>
    </row>
    <row r="47" spans="1:44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t="s">
        <v>39</v>
      </c>
      <c r="L47">
        <v>49</v>
      </c>
      <c r="M47">
        <v>3</v>
      </c>
      <c r="N47">
        <v>5</v>
      </c>
      <c r="O47" t="s">
        <v>58</v>
      </c>
      <c r="P47">
        <v>3</v>
      </c>
      <c r="Q47" t="s">
        <v>48</v>
      </c>
      <c r="R47">
        <v>19545</v>
      </c>
      <c r="S47">
        <v>1</v>
      </c>
      <c r="T47" t="s">
        <v>43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  <c r="AF47">
        <f t="shared" si="0"/>
        <v>1</v>
      </c>
      <c r="AG47">
        <f t="shared" si="1"/>
        <v>0</v>
      </c>
      <c r="AH47" t="str">
        <f t="shared" si="2"/>
        <v>Bachelor</v>
      </c>
      <c r="AI47" t="str">
        <f t="shared" si="3"/>
        <v>Medium</v>
      </c>
      <c r="AJ47" t="str">
        <f t="shared" si="4"/>
        <v>High</v>
      </c>
      <c r="AK47" t="str">
        <f t="shared" si="5"/>
        <v>Executive</v>
      </c>
      <c r="AL47" t="str">
        <f t="shared" si="6"/>
        <v>High</v>
      </c>
      <c r="AM47" t="str">
        <f t="shared" si="7"/>
        <v>Very High</v>
      </c>
      <c r="AN47" t="str">
        <f t="shared" si="8"/>
        <v>No Options</v>
      </c>
      <c r="AO47" t="str">
        <f t="shared" si="9"/>
        <v>Better</v>
      </c>
      <c r="AP47" t="str">
        <f t="shared" si="10"/>
        <v>35-44</v>
      </c>
      <c r="AQ47" t="str">
        <f t="shared" si="11"/>
        <v>High</v>
      </c>
      <c r="AR47" t="str">
        <f t="shared" si="12"/>
        <v>20+ Years</v>
      </c>
    </row>
    <row r="48" spans="1:44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t="s">
        <v>46</v>
      </c>
      <c r="L48">
        <v>72</v>
      </c>
      <c r="M48">
        <v>3</v>
      </c>
      <c r="N48">
        <v>2</v>
      </c>
      <c r="O48" t="s">
        <v>40</v>
      </c>
      <c r="P48">
        <v>3</v>
      </c>
      <c r="Q48" t="s">
        <v>41</v>
      </c>
      <c r="R48">
        <v>4568</v>
      </c>
      <c r="S48">
        <v>0</v>
      </c>
      <c r="T48" t="s">
        <v>43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  <c r="AF48">
        <f t="shared" si="0"/>
        <v>0</v>
      </c>
      <c r="AG48">
        <f t="shared" si="1"/>
        <v>0</v>
      </c>
      <c r="AH48" t="str">
        <f t="shared" si="2"/>
        <v>Master</v>
      </c>
      <c r="AI48" t="str">
        <f t="shared" si="3"/>
        <v>Medium</v>
      </c>
      <c r="AJ48" t="str">
        <f t="shared" si="4"/>
        <v>High</v>
      </c>
      <c r="AK48" t="str">
        <f t="shared" si="5"/>
        <v>Junior</v>
      </c>
      <c r="AL48" t="str">
        <f t="shared" si="6"/>
        <v>High</v>
      </c>
      <c r="AM48" t="str">
        <f t="shared" si="7"/>
        <v>High</v>
      </c>
      <c r="AN48" t="str">
        <f t="shared" si="8"/>
        <v>No Options</v>
      </c>
      <c r="AO48" t="str">
        <f t="shared" si="9"/>
        <v>Better</v>
      </c>
      <c r="AP48" t="str">
        <f t="shared" si="10"/>
        <v>25-34</v>
      </c>
      <c r="AQ48" t="str">
        <f t="shared" si="11"/>
        <v>Lower-Mid</v>
      </c>
      <c r="AR48" t="str">
        <f t="shared" si="12"/>
        <v>6-10 Years</v>
      </c>
    </row>
    <row r="49" spans="1:44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46</v>
      </c>
      <c r="L49">
        <v>73</v>
      </c>
      <c r="M49">
        <v>3</v>
      </c>
      <c r="N49">
        <v>1</v>
      </c>
      <c r="O49" t="s">
        <v>47</v>
      </c>
      <c r="P49">
        <v>2</v>
      </c>
      <c r="Q49" t="s">
        <v>48</v>
      </c>
      <c r="R49">
        <v>3022</v>
      </c>
      <c r="S49">
        <v>4</v>
      </c>
      <c r="T49" t="s">
        <v>43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  <c r="AF49">
        <f t="shared" si="0"/>
        <v>0</v>
      </c>
      <c r="AG49">
        <f t="shared" si="1"/>
        <v>0</v>
      </c>
      <c r="AH49" t="str">
        <f t="shared" si="2"/>
        <v>College</v>
      </c>
      <c r="AI49" t="str">
        <f t="shared" si="3"/>
        <v>Medium</v>
      </c>
      <c r="AJ49" t="str">
        <f t="shared" si="4"/>
        <v>High</v>
      </c>
      <c r="AK49" t="str">
        <f t="shared" si="5"/>
        <v>Entry</v>
      </c>
      <c r="AL49" t="str">
        <f t="shared" si="6"/>
        <v>Medium</v>
      </c>
      <c r="AM49" t="str">
        <f t="shared" si="7"/>
        <v>Low</v>
      </c>
      <c r="AN49" t="str">
        <f t="shared" si="8"/>
        <v>No Options</v>
      </c>
      <c r="AO49" t="str">
        <f t="shared" si="9"/>
        <v>Better</v>
      </c>
      <c r="AP49" t="str">
        <f t="shared" si="10"/>
        <v>35-44</v>
      </c>
      <c r="AQ49" t="str">
        <f t="shared" si="11"/>
        <v>Lower-Mid</v>
      </c>
      <c r="AR49" t="str">
        <f t="shared" si="12"/>
        <v>0-2 Years</v>
      </c>
    </row>
    <row r="50" spans="1:44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t="s">
        <v>46</v>
      </c>
      <c r="L50">
        <v>98</v>
      </c>
      <c r="M50">
        <v>3</v>
      </c>
      <c r="N50">
        <v>2</v>
      </c>
      <c r="O50" t="s">
        <v>40</v>
      </c>
      <c r="P50">
        <v>4</v>
      </c>
      <c r="Q50" t="s">
        <v>41</v>
      </c>
      <c r="R50">
        <v>5772</v>
      </c>
      <c r="S50">
        <v>4</v>
      </c>
      <c r="T50" t="s">
        <v>35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  <c r="AF50">
        <f t="shared" si="0"/>
        <v>0</v>
      </c>
      <c r="AG50">
        <f t="shared" si="1"/>
        <v>1</v>
      </c>
      <c r="AH50" t="str">
        <f t="shared" si="2"/>
        <v>Master</v>
      </c>
      <c r="AI50" t="str">
        <f t="shared" si="3"/>
        <v>Low</v>
      </c>
      <c r="AJ50" t="str">
        <f t="shared" si="4"/>
        <v>High</v>
      </c>
      <c r="AK50" t="str">
        <f t="shared" si="5"/>
        <v>Junior</v>
      </c>
      <c r="AL50" t="str">
        <f t="shared" si="6"/>
        <v>Very High</v>
      </c>
      <c r="AM50" t="str">
        <f t="shared" si="7"/>
        <v>High</v>
      </c>
      <c r="AN50" t="str">
        <f t="shared" si="8"/>
        <v>No Options</v>
      </c>
      <c r="AO50" t="str">
        <f t="shared" si="9"/>
        <v>Better</v>
      </c>
      <c r="AP50" t="str">
        <f t="shared" si="10"/>
        <v>45-54</v>
      </c>
      <c r="AQ50" t="str">
        <f t="shared" si="11"/>
        <v>Lower-Mid</v>
      </c>
      <c r="AR50" t="str">
        <f t="shared" si="12"/>
        <v>6-10 Years</v>
      </c>
    </row>
    <row r="51" spans="1:44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46</v>
      </c>
      <c r="L51">
        <v>36</v>
      </c>
      <c r="M51">
        <v>4</v>
      </c>
      <c r="N51">
        <v>1</v>
      </c>
      <c r="O51" t="s">
        <v>50</v>
      </c>
      <c r="P51">
        <v>4</v>
      </c>
      <c r="Q51" t="s">
        <v>48</v>
      </c>
      <c r="R51">
        <v>2269</v>
      </c>
      <c r="S51">
        <v>1</v>
      </c>
      <c r="T51" t="s">
        <v>43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  <c r="AF51">
        <f t="shared" si="0"/>
        <v>0</v>
      </c>
      <c r="AG51">
        <f t="shared" si="1"/>
        <v>0</v>
      </c>
      <c r="AH51" t="str">
        <f t="shared" si="2"/>
        <v>Below College</v>
      </c>
      <c r="AI51" t="str">
        <f t="shared" si="3"/>
        <v>Very High</v>
      </c>
      <c r="AJ51" t="str">
        <f t="shared" si="4"/>
        <v>Very High</v>
      </c>
      <c r="AK51" t="str">
        <f t="shared" si="5"/>
        <v>Entry</v>
      </c>
      <c r="AL51" t="str">
        <f t="shared" si="6"/>
        <v>Very High</v>
      </c>
      <c r="AM51" t="str">
        <f t="shared" si="7"/>
        <v>Very High</v>
      </c>
      <c r="AN51" t="str">
        <f t="shared" si="8"/>
        <v>No Options</v>
      </c>
      <c r="AO51" t="str">
        <f t="shared" si="9"/>
        <v>Better</v>
      </c>
      <c r="AP51" t="str">
        <f t="shared" si="10"/>
        <v>35-44</v>
      </c>
      <c r="AQ51" t="str">
        <f t="shared" si="11"/>
        <v>Low</v>
      </c>
      <c r="AR51" t="str">
        <f t="shared" si="12"/>
        <v>0-2 Years</v>
      </c>
    </row>
    <row r="52" spans="1:44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46</v>
      </c>
      <c r="L52">
        <v>98</v>
      </c>
      <c r="M52">
        <v>2</v>
      </c>
      <c r="N52">
        <v>3</v>
      </c>
      <c r="O52" t="s">
        <v>50</v>
      </c>
      <c r="P52">
        <v>3</v>
      </c>
      <c r="Q52" t="s">
        <v>41</v>
      </c>
      <c r="R52">
        <v>5381</v>
      </c>
      <c r="S52">
        <v>9</v>
      </c>
      <c r="T52" t="s">
        <v>35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  <c r="AF52">
        <f t="shared" si="0"/>
        <v>1</v>
      </c>
      <c r="AG52">
        <f t="shared" si="1"/>
        <v>1</v>
      </c>
      <c r="AH52" t="str">
        <f t="shared" si="2"/>
        <v>College</v>
      </c>
      <c r="AI52" t="str">
        <f t="shared" si="3"/>
        <v>Low</v>
      </c>
      <c r="AJ52" t="str">
        <f t="shared" si="4"/>
        <v>Medium</v>
      </c>
      <c r="AK52" t="str">
        <f t="shared" si="5"/>
        <v>Mid-Level</v>
      </c>
      <c r="AL52" t="str">
        <f t="shared" si="6"/>
        <v>High</v>
      </c>
      <c r="AM52" t="str">
        <f t="shared" si="7"/>
        <v>Very High</v>
      </c>
      <c r="AN52" t="str">
        <f t="shared" si="8"/>
        <v>No Options</v>
      </c>
      <c r="AO52" t="str">
        <f t="shared" si="9"/>
        <v>Better</v>
      </c>
      <c r="AP52" t="str">
        <f t="shared" si="10"/>
        <v>45-54</v>
      </c>
      <c r="AQ52" t="str">
        <f t="shared" si="11"/>
        <v>Lower-Mid</v>
      </c>
      <c r="AR52" t="str">
        <f t="shared" si="12"/>
        <v>0-2 Years</v>
      </c>
    </row>
    <row r="53" spans="1:44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t="s">
        <v>46</v>
      </c>
      <c r="L53">
        <v>50</v>
      </c>
      <c r="M53">
        <v>3</v>
      </c>
      <c r="N53">
        <v>1</v>
      </c>
      <c r="O53" t="s">
        <v>50</v>
      </c>
      <c r="P53">
        <v>3</v>
      </c>
      <c r="Q53" t="s">
        <v>41</v>
      </c>
      <c r="R53">
        <v>3441</v>
      </c>
      <c r="S53">
        <v>1</v>
      </c>
      <c r="T53" t="s">
        <v>35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  <c r="AF53">
        <f t="shared" si="0"/>
        <v>1</v>
      </c>
      <c r="AG53">
        <f t="shared" si="1"/>
        <v>1</v>
      </c>
      <c r="AH53" t="str">
        <f t="shared" si="2"/>
        <v>Master</v>
      </c>
      <c r="AI53" t="str">
        <f t="shared" si="3"/>
        <v>High</v>
      </c>
      <c r="AJ53" t="str">
        <f t="shared" si="4"/>
        <v>High</v>
      </c>
      <c r="AK53" t="str">
        <f t="shared" si="5"/>
        <v>Entry</v>
      </c>
      <c r="AL53" t="str">
        <f t="shared" si="6"/>
        <v>High</v>
      </c>
      <c r="AM53" t="str">
        <f t="shared" si="7"/>
        <v>High</v>
      </c>
      <c r="AN53" t="str">
        <f t="shared" si="8"/>
        <v>No Options</v>
      </c>
      <c r="AO53" t="str">
        <f t="shared" si="9"/>
        <v>Good</v>
      </c>
      <c r="AP53" t="str">
        <f t="shared" si="10"/>
        <v>25-34</v>
      </c>
      <c r="AQ53" t="str">
        <f t="shared" si="11"/>
        <v>Lower-Mid</v>
      </c>
      <c r="AR53" t="str">
        <f t="shared" si="12"/>
        <v>0-2 Years</v>
      </c>
    </row>
    <row r="54" spans="1:44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t="s">
        <v>39</v>
      </c>
      <c r="L54">
        <v>75</v>
      </c>
      <c r="M54">
        <v>3</v>
      </c>
      <c r="N54">
        <v>2</v>
      </c>
      <c r="O54" t="s">
        <v>40</v>
      </c>
      <c r="P54">
        <v>1</v>
      </c>
      <c r="Q54" t="s">
        <v>52</v>
      </c>
      <c r="R54">
        <v>5454</v>
      </c>
      <c r="S54">
        <v>5</v>
      </c>
      <c r="T54" t="s">
        <v>35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  <c r="AF54">
        <f t="shared" si="0"/>
        <v>0</v>
      </c>
      <c r="AG54">
        <f t="shared" si="1"/>
        <v>1</v>
      </c>
      <c r="AH54" t="str">
        <f t="shared" si="2"/>
        <v>Doctor</v>
      </c>
      <c r="AI54" t="str">
        <f t="shared" si="3"/>
        <v>Medium</v>
      </c>
      <c r="AJ54" t="str">
        <f t="shared" si="4"/>
        <v>High</v>
      </c>
      <c r="AK54" t="str">
        <f t="shared" si="5"/>
        <v>Junior</v>
      </c>
      <c r="AL54" t="str">
        <f t="shared" si="6"/>
        <v>Low</v>
      </c>
      <c r="AM54" t="str">
        <f t="shared" si="7"/>
        <v>High</v>
      </c>
      <c r="AN54" t="str">
        <f t="shared" si="8"/>
        <v>Low</v>
      </c>
      <c r="AO54" t="str">
        <f t="shared" si="9"/>
        <v>Good</v>
      </c>
      <c r="AP54" t="str">
        <f t="shared" si="10"/>
        <v>35-44</v>
      </c>
      <c r="AQ54" t="str">
        <f t="shared" si="11"/>
        <v>Lower-Mid</v>
      </c>
      <c r="AR54" t="str">
        <f t="shared" si="12"/>
        <v>3-5 Years</v>
      </c>
    </row>
    <row r="55" spans="1:44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46</v>
      </c>
      <c r="L55">
        <v>79</v>
      </c>
      <c r="M55">
        <v>2</v>
      </c>
      <c r="N55">
        <v>3</v>
      </c>
      <c r="O55" t="s">
        <v>54</v>
      </c>
      <c r="P55">
        <v>1</v>
      </c>
      <c r="Q55" t="s">
        <v>48</v>
      </c>
      <c r="R55">
        <v>9884</v>
      </c>
      <c r="S55">
        <v>2</v>
      </c>
      <c r="T55" t="s">
        <v>35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  <c r="AF55">
        <f t="shared" si="0"/>
        <v>0</v>
      </c>
      <c r="AG55">
        <f t="shared" si="1"/>
        <v>1</v>
      </c>
      <c r="AH55" t="str">
        <f t="shared" si="2"/>
        <v>College</v>
      </c>
      <c r="AI55" t="str">
        <f t="shared" si="3"/>
        <v>High</v>
      </c>
      <c r="AJ55" t="str">
        <f t="shared" si="4"/>
        <v>Medium</v>
      </c>
      <c r="AK55" t="str">
        <f t="shared" si="5"/>
        <v>Mid-Level</v>
      </c>
      <c r="AL55" t="str">
        <f t="shared" si="6"/>
        <v>Low</v>
      </c>
      <c r="AM55" t="str">
        <f t="shared" si="7"/>
        <v>High</v>
      </c>
      <c r="AN55" t="str">
        <f t="shared" si="8"/>
        <v>Low</v>
      </c>
      <c r="AO55" t="str">
        <f t="shared" si="9"/>
        <v>Better</v>
      </c>
      <c r="AP55" t="str">
        <f t="shared" si="10"/>
        <v>35-44</v>
      </c>
      <c r="AQ55" t="str">
        <f t="shared" si="11"/>
        <v>Upper-Mid</v>
      </c>
      <c r="AR55" t="str">
        <f t="shared" si="12"/>
        <v>3-5 Years</v>
      </c>
    </row>
    <row r="56" spans="1:44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t="s">
        <v>39</v>
      </c>
      <c r="L56">
        <v>47</v>
      </c>
      <c r="M56">
        <v>2</v>
      </c>
      <c r="N56">
        <v>2</v>
      </c>
      <c r="O56" t="s">
        <v>40</v>
      </c>
      <c r="P56">
        <v>4</v>
      </c>
      <c r="Q56" t="s">
        <v>48</v>
      </c>
      <c r="R56">
        <v>4157</v>
      </c>
      <c r="S56">
        <v>7</v>
      </c>
      <c r="T56" t="s">
        <v>35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  <c r="AF56">
        <f t="shared" si="0"/>
        <v>0</v>
      </c>
      <c r="AG56">
        <f t="shared" si="1"/>
        <v>1</v>
      </c>
      <c r="AH56" t="str">
        <f t="shared" si="2"/>
        <v>Bachelor</v>
      </c>
      <c r="AI56" t="str">
        <f t="shared" si="3"/>
        <v>High</v>
      </c>
      <c r="AJ56" t="str">
        <f t="shared" si="4"/>
        <v>Medium</v>
      </c>
      <c r="AK56" t="str">
        <f t="shared" si="5"/>
        <v>Junior</v>
      </c>
      <c r="AL56" t="str">
        <f t="shared" si="6"/>
        <v>Very High</v>
      </c>
      <c r="AM56" t="str">
        <f t="shared" si="7"/>
        <v>High</v>
      </c>
      <c r="AN56" t="str">
        <f t="shared" si="8"/>
        <v>Low</v>
      </c>
      <c r="AO56" t="str">
        <f t="shared" si="9"/>
        <v>Good</v>
      </c>
      <c r="AP56" t="str">
        <f t="shared" si="10"/>
        <v>25-34</v>
      </c>
      <c r="AQ56" t="str">
        <f t="shared" si="11"/>
        <v>Lower-Mid</v>
      </c>
      <c r="AR56" t="str">
        <f t="shared" si="12"/>
        <v>0-2 Years</v>
      </c>
    </row>
    <row r="57" spans="1:44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98</v>
      </c>
      <c r="M57">
        <v>3</v>
      </c>
      <c r="N57">
        <v>3</v>
      </c>
      <c r="O57" t="s">
        <v>58</v>
      </c>
      <c r="P57">
        <v>4</v>
      </c>
      <c r="Q57" t="s">
        <v>41</v>
      </c>
      <c r="R57">
        <v>13458</v>
      </c>
      <c r="S57">
        <v>1</v>
      </c>
      <c r="T57" t="s">
        <v>35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  <c r="AF57">
        <f t="shared" si="0"/>
        <v>0</v>
      </c>
      <c r="AG57">
        <f t="shared" si="1"/>
        <v>1</v>
      </c>
      <c r="AH57" t="str">
        <f t="shared" si="2"/>
        <v>College</v>
      </c>
      <c r="AI57" t="str">
        <f t="shared" si="3"/>
        <v>Low</v>
      </c>
      <c r="AJ57" t="str">
        <f t="shared" si="4"/>
        <v>High</v>
      </c>
      <c r="AK57" t="str">
        <f t="shared" si="5"/>
        <v>Mid-Level</v>
      </c>
      <c r="AL57" t="str">
        <f t="shared" si="6"/>
        <v>Very High</v>
      </c>
      <c r="AM57" t="str">
        <f t="shared" si="7"/>
        <v>High</v>
      </c>
      <c r="AN57" t="str">
        <f t="shared" si="8"/>
        <v>No Options</v>
      </c>
      <c r="AO57" t="str">
        <f t="shared" si="9"/>
        <v>Better</v>
      </c>
      <c r="AP57" t="str">
        <f t="shared" si="10"/>
        <v>25-34</v>
      </c>
      <c r="AQ57" t="str">
        <f t="shared" si="11"/>
        <v>High</v>
      </c>
      <c r="AR57" t="str">
        <f t="shared" si="12"/>
        <v>11-20 Years</v>
      </c>
    </row>
    <row r="58" spans="1:44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46</v>
      </c>
      <c r="L58">
        <v>71</v>
      </c>
      <c r="M58">
        <v>3</v>
      </c>
      <c r="N58">
        <v>3</v>
      </c>
      <c r="O58" t="s">
        <v>40</v>
      </c>
      <c r="P58">
        <v>1</v>
      </c>
      <c r="Q58" t="s">
        <v>48</v>
      </c>
      <c r="R58">
        <v>9069</v>
      </c>
      <c r="S58">
        <v>1</v>
      </c>
      <c r="T58" t="s">
        <v>43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  <c r="AF58">
        <f t="shared" si="0"/>
        <v>0</v>
      </c>
      <c r="AG58">
        <f t="shared" si="1"/>
        <v>0</v>
      </c>
      <c r="AH58" t="str">
        <f t="shared" si="2"/>
        <v>Doctor</v>
      </c>
      <c r="AI58" t="str">
        <f t="shared" si="3"/>
        <v>Medium</v>
      </c>
      <c r="AJ58" t="str">
        <f t="shared" si="4"/>
        <v>High</v>
      </c>
      <c r="AK58" t="str">
        <f t="shared" si="5"/>
        <v>Mid-Level</v>
      </c>
      <c r="AL58" t="str">
        <f t="shared" si="6"/>
        <v>Low</v>
      </c>
      <c r="AM58" t="str">
        <f t="shared" si="7"/>
        <v>Very High</v>
      </c>
      <c r="AN58" t="str">
        <f t="shared" si="8"/>
        <v>Low</v>
      </c>
      <c r="AO58" t="str">
        <f t="shared" si="9"/>
        <v>Good</v>
      </c>
      <c r="AP58" t="str">
        <f t="shared" si="10"/>
        <v>35-44</v>
      </c>
      <c r="AQ58" t="str">
        <f t="shared" si="11"/>
        <v>Upper-Mid</v>
      </c>
      <c r="AR58" t="str">
        <f t="shared" si="12"/>
        <v>6-10 Years</v>
      </c>
    </row>
    <row r="59" spans="1:44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39</v>
      </c>
      <c r="L59">
        <v>30</v>
      </c>
      <c r="M59">
        <v>3</v>
      </c>
      <c r="N59">
        <v>1</v>
      </c>
      <c r="O59" t="s">
        <v>50</v>
      </c>
      <c r="P59">
        <v>1</v>
      </c>
      <c r="Q59" t="s">
        <v>48</v>
      </c>
      <c r="R59">
        <v>4014</v>
      </c>
      <c r="S59">
        <v>3</v>
      </c>
      <c r="T59" t="s">
        <v>35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  <c r="AF59">
        <f t="shared" si="0"/>
        <v>0</v>
      </c>
      <c r="AG59">
        <f t="shared" si="1"/>
        <v>1</v>
      </c>
      <c r="AH59" t="str">
        <f t="shared" si="2"/>
        <v>Master</v>
      </c>
      <c r="AI59" t="str">
        <f t="shared" si="3"/>
        <v>High</v>
      </c>
      <c r="AJ59" t="str">
        <f t="shared" si="4"/>
        <v>High</v>
      </c>
      <c r="AK59" t="str">
        <f t="shared" si="5"/>
        <v>Entry</v>
      </c>
      <c r="AL59" t="str">
        <f t="shared" si="6"/>
        <v>Low</v>
      </c>
      <c r="AM59" t="str">
        <f t="shared" si="7"/>
        <v>High</v>
      </c>
      <c r="AN59" t="str">
        <f t="shared" si="8"/>
        <v>Low</v>
      </c>
      <c r="AO59" t="str">
        <f t="shared" si="9"/>
        <v>Better</v>
      </c>
      <c r="AP59" t="str">
        <f t="shared" si="10"/>
        <v>35-44</v>
      </c>
      <c r="AQ59" t="str">
        <f t="shared" si="11"/>
        <v>Lower-Mid</v>
      </c>
      <c r="AR59" t="str">
        <f t="shared" si="12"/>
        <v>0-2 Years</v>
      </c>
    </row>
    <row r="60" spans="1:44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46</v>
      </c>
      <c r="L60">
        <v>48</v>
      </c>
      <c r="M60">
        <v>3</v>
      </c>
      <c r="N60">
        <v>2</v>
      </c>
      <c r="O60" t="s">
        <v>50</v>
      </c>
      <c r="P60">
        <v>4</v>
      </c>
      <c r="Q60" t="s">
        <v>52</v>
      </c>
      <c r="R60">
        <v>5915</v>
      </c>
      <c r="S60">
        <v>3</v>
      </c>
      <c r="T60" t="s">
        <v>43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  <c r="AF60">
        <f t="shared" si="0"/>
        <v>0</v>
      </c>
      <c r="AG60">
        <f t="shared" si="1"/>
        <v>0</v>
      </c>
      <c r="AH60" t="str">
        <f t="shared" si="2"/>
        <v>Master</v>
      </c>
      <c r="AI60" t="str">
        <f t="shared" si="3"/>
        <v>Very High</v>
      </c>
      <c r="AJ60" t="str">
        <f t="shared" si="4"/>
        <v>High</v>
      </c>
      <c r="AK60" t="str">
        <f t="shared" si="5"/>
        <v>Junior</v>
      </c>
      <c r="AL60" t="str">
        <f t="shared" si="6"/>
        <v>Very High</v>
      </c>
      <c r="AM60" t="str">
        <f t="shared" si="7"/>
        <v>Very High</v>
      </c>
      <c r="AN60" t="str">
        <f t="shared" si="8"/>
        <v>Low</v>
      </c>
      <c r="AO60" t="str">
        <f t="shared" si="9"/>
        <v>Good</v>
      </c>
      <c r="AP60" t="str">
        <f t="shared" si="10"/>
        <v>25-34</v>
      </c>
      <c r="AQ60" t="str">
        <f t="shared" si="11"/>
        <v>Lower-Mid</v>
      </c>
      <c r="AR60" t="str">
        <f t="shared" si="12"/>
        <v>6-10 Years</v>
      </c>
    </row>
    <row r="61" spans="1:44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46</v>
      </c>
      <c r="L61">
        <v>51</v>
      </c>
      <c r="M61">
        <v>2</v>
      </c>
      <c r="N61">
        <v>2</v>
      </c>
      <c r="O61" t="s">
        <v>53</v>
      </c>
      <c r="P61">
        <v>3</v>
      </c>
      <c r="Q61" t="s">
        <v>52</v>
      </c>
      <c r="R61">
        <v>5993</v>
      </c>
      <c r="S61">
        <v>1</v>
      </c>
      <c r="T61" t="s">
        <v>43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  <c r="AF61">
        <f t="shared" si="0"/>
        <v>0</v>
      </c>
      <c r="AG61">
        <f t="shared" si="1"/>
        <v>0</v>
      </c>
      <c r="AH61" t="str">
        <f t="shared" si="2"/>
        <v>Master</v>
      </c>
      <c r="AI61" t="str">
        <f t="shared" si="3"/>
        <v>Low</v>
      </c>
      <c r="AJ61" t="str">
        <f t="shared" si="4"/>
        <v>Medium</v>
      </c>
      <c r="AK61" t="str">
        <f t="shared" si="5"/>
        <v>Junior</v>
      </c>
      <c r="AL61" t="str">
        <f t="shared" si="6"/>
        <v>High</v>
      </c>
      <c r="AM61" t="str">
        <f t="shared" si="7"/>
        <v>High</v>
      </c>
      <c r="AN61" t="str">
        <f t="shared" si="8"/>
        <v>Low</v>
      </c>
      <c r="AO61" t="str">
        <f t="shared" si="9"/>
        <v>Best</v>
      </c>
      <c r="AP61" t="str">
        <f t="shared" si="10"/>
        <v>35-44</v>
      </c>
      <c r="AQ61" t="str">
        <f t="shared" si="11"/>
        <v>Lower-Mid</v>
      </c>
      <c r="AR61" t="str">
        <f t="shared" si="12"/>
        <v>6-10 Years</v>
      </c>
    </row>
    <row r="62" spans="1:44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46</v>
      </c>
      <c r="L62">
        <v>33</v>
      </c>
      <c r="M62">
        <v>3</v>
      </c>
      <c r="N62">
        <v>2</v>
      </c>
      <c r="O62" t="s">
        <v>53</v>
      </c>
      <c r="P62">
        <v>4</v>
      </c>
      <c r="Q62" t="s">
        <v>48</v>
      </c>
      <c r="R62">
        <v>6162</v>
      </c>
      <c r="S62">
        <v>1</v>
      </c>
      <c r="T62" t="s">
        <v>35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  <c r="AF62">
        <f t="shared" si="0"/>
        <v>0</v>
      </c>
      <c r="AG62">
        <f t="shared" si="1"/>
        <v>1</v>
      </c>
      <c r="AH62" t="str">
        <f t="shared" si="2"/>
        <v>Bachelor</v>
      </c>
      <c r="AI62" t="str">
        <f t="shared" si="3"/>
        <v>Low</v>
      </c>
      <c r="AJ62" t="str">
        <f t="shared" si="4"/>
        <v>High</v>
      </c>
      <c r="AK62" t="str">
        <f t="shared" si="5"/>
        <v>Junior</v>
      </c>
      <c r="AL62" t="str">
        <f t="shared" si="6"/>
        <v>Very High</v>
      </c>
      <c r="AM62" t="str">
        <f t="shared" si="7"/>
        <v>Medium</v>
      </c>
      <c r="AN62" t="str">
        <f t="shared" si="8"/>
        <v>Low</v>
      </c>
      <c r="AO62" t="str">
        <f t="shared" si="9"/>
        <v>Better</v>
      </c>
      <c r="AP62" t="str">
        <f t="shared" si="10"/>
        <v>25-34</v>
      </c>
      <c r="AQ62" t="str">
        <f t="shared" si="11"/>
        <v>Lower-Mid</v>
      </c>
      <c r="AR62" t="str">
        <f t="shared" si="12"/>
        <v>6-10 Years</v>
      </c>
    </row>
    <row r="63" spans="1:44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50</v>
      </c>
      <c r="M63">
        <v>3</v>
      </c>
      <c r="N63">
        <v>2</v>
      </c>
      <c r="O63" t="s">
        <v>50</v>
      </c>
      <c r="P63">
        <v>4</v>
      </c>
      <c r="Q63" t="s">
        <v>41</v>
      </c>
      <c r="R63">
        <v>2406</v>
      </c>
      <c r="S63">
        <v>1</v>
      </c>
      <c r="T63" t="s">
        <v>43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  <c r="AF63">
        <f t="shared" si="0"/>
        <v>0</v>
      </c>
      <c r="AG63">
        <f t="shared" si="1"/>
        <v>0</v>
      </c>
      <c r="AH63" t="str">
        <f t="shared" si="2"/>
        <v>Doctor</v>
      </c>
      <c r="AI63" t="str">
        <f t="shared" si="3"/>
        <v>Very High</v>
      </c>
      <c r="AJ63" t="str">
        <f t="shared" si="4"/>
        <v>High</v>
      </c>
      <c r="AK63" t="str">
        <f t="shared" si="5"/>
        <v>Junior</v>
      </c>
      <c r="AL63" t="str">
        <f t="shared" si="6"/>
        <v>Very High</v>
      </c>
      <c r="AM63" t="str">
        <f t="shared" si="7"/>
        <v>Very High</v>
      </c>
      <c r="AN63" t="str">
        <f t="shared" si="8"/>
        <v>No Options</v>
      </c>
      <c r="AO63" t="str">
        <f t="shared" si="9"/>
        <v>Better</v>
      </c>
      <c r="AP63" t="str">
        <f t="shared" si="10"/>
        <v>35-44</v>
      </c>
      <c r="AQ63" t="str">
        <f t="shared" si="11"/>
        <v>Low</v>
      </c>
      <c r="AR63" t="str">
        <f t="shared" si="12"/>
        <v>6-10 Years</v>
      </c>
    </row>
    <row r="64" spans="1:44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39</v>
      </c>
      <c r="L64">
        <v>43</v>
      </c>
      <c r="M64">
        <v>2</v>
      </c>
      <c r="N64">
        <v>5</v>
      </c>
      <c r="O64" t="s">
        <v>58</v>
      </c>
      <c r="P64">
        <v>3</v>
      </c>
      <c r="Q64" t="s">
        <v>52</v>
      </c>
      <c r="R64">
        <v>18740</v>
      </c>
      <c r="S64">
        <v>5</v>
      </c>
      <c r="T64" t="s">
        <v>35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  <c r="AF64">
        <f t="shared" si="0"/>
        <v>0</v>
      </c>
      <c r="AG64">
        <f t="shared" si="1"/>
        <v>1</v>
      </c>
      <c r="AH64" t="str">
        <f t="shared" si="2"/>
        <v>College</v>
      </c>
      <c r="AI64" t="str">
        <f t="shared" si="3"/>
        <v>Medium</v>
      </c>
      <c r="AJ64" t="str">
        <f t="shared" si="4"/>
        <v>Medium</v>
      </c>
      <c r="AK64" t="str">
        <f t="shared" si="5"/>
        <v>Executive</v>
      </c>
      <c r="AL64" t="str">
        <f t="shared" si="6"/>
        <v>High</v>
      </c>
      <c r="AM64" t="str">
        <f t="shared" si="7"/>
        <v>Very High</v>
      </c>
      <c r="AN64" t="str">
        <f t="shared" si="8"/>
        <v>Low</v>
      </c>
      <c r="AO64" t="str">
        <f t="shared" si="9"/>
        <v>Good</v>
      </c>
      <c r="AP64" t="str">
        <f t="shared" si="10"/>
        <v>45-54</v>
      </c>
      <c r="AQ64" t="str">
        <f t="shared" si="11"/>
        <v>High</v>
      </c>
      <c r="AR64" t="str">
        <f t="shared" si="12"/>
        <v>20+ Years</v>
      </c>
    </row>
    <row r="65" spans="1:44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99</v>
      </c>
      <c r="M65">
        <v>3</v>
      </c>
      <c r="N65">
        <v>3</v>
      </c>
      <c r="O65" t="s">
        <v>40</v>
      </c>
      <c r="P65">
        <v>1</v>
      </c>
      <c r="Q65" t="s">
        <v>41</v>
      </c>
      <c r="R65">
        <v>7637</v>
      </c>
      <c r="S65">
        <v>7</v>
      </c>
      <c r="T65" t="s">
        <v>43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  <c r="AF65">
        <f t="shared" si="0"/>
        <v>0</v>
      </c>
      <c r="AG65">
        <f t="shared" si="1"/>
        <v>0</v>
      </c>
      <c r="AH65" t="str">
        <f t="shared" si="2"/>
        <v>Bachelor</v>
      </c>
      <c r="AI65" t="str">
        <f t="shared" si="3"/>
        <v>Low</v>
      </c>
      <c r="AJ65" t="str">
        <f t="shared" si="4"/>
        <v>High</v>
      </c>
      <c r="AK65" t="str">
        <f t="shared" si="5"/>
        <v>Mid-Level</v>
      </c>
      <c r="AL65" t="str">
        <f t="shared" si="6"/>
        <v>Low</v>
      </c>
      <c r="AM65" t="str">
        <f t="shared" si="7"/>
        <v>Very High</v>
      </c>
      <c r="AN65" t="str">
        <f t="shared" si="8"/>
        <v>No Options</v>
      </c>
      <c r="AO65" t="str">
        <f t="shared" si="9"/>
        <v>Good</v>
      </c>
      <c r="AP65" t="str">
        <f t="shared" si="10"/>
        <v>55+</v>
      </c>
      <c r="AQ65" t="str">
        <f t="shared" si="11"/>
        <v>Upper-Mid</v>
      </c>
      <c r="AR65" t="str">
        <f t="shared" si="12"/>
        <v>20+ Years</v>
      </c>
    </row>
    <row r="66" spans="1:44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t="s">
        <v>39</v>
      </c>
      <c r="L66">
        <v>59</v>
      </c>
      <c r="M66">
        <v>3</v>
      </c>
      <c r="N66">
        <v>3</v>
      </c>
      <c r="O66" t="s">
        <v>54</v>
      </c>
      <c r="P66">
        <v>3</v>
      </c>
      <c r="Q66" t="s">
        <v>52</v>
      </c>
      <c r="R66">
        <v>10096</v>
      </c>
      <c r="S66">
        <v>1</v>
      </c>
      <c r="T66" t="s">
        <v>43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  <c r="AF66">
        <f t="shared" si="0"/>
        <v>0</v>
      </c>
      <c r="AG66">
        <f t="shared" si="1"/>
        <v>0</v>
      </c>
      <c r="AH66" t="str">
        <f t="shared" si="2"/>
        <v>Bachelor</v>
      </c>
      <c r="AI66" t="str">
        <f t="shared" si="3"/>
        <v>High</v>
      </c>
      <c r="AJ66" t="str">
        <f t="shared" si="4"/>
        <v>High</v>
      </c>
      <c r="AK66" t="str">
        <f t="shared" si="5"/>
        <v>Mid-Level</v>
      </c>
      <c r="AL66" t="str">
        <f t="shared" si="6"/>
        <v>High</v>
      </c>
      <c r="AM66" t="str">
        <f t="shared" si="7"/>
        <v>Medium</v>
      </c>
      <c r="AN66" t="str">
        <f t="shared" si="8"/>
        <v>High</v>
      </c>
      <c r="AO66" t="str">
        <f t="shared" si="9"/>
        <v>Better</v>
      </c>
      <c r="AP66" t="str">
        <f t="shared" si="10"/>
        <v>35-44</v>
      </c>
      <c r="AQ66" t="str">
        <f t="shared" si="11"/>
        <v>Upper-Mid</v>
      </c>
      <c r="AR66" t="str">
        <f t="shared" si="12"/>
        <v>11-20 Years</v>
      </c>
    </row>
    <row r="67" spans="1:44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39</v>
      </c>
      <c r="L67">
        <v>33</v>
      </c>
      <c r="M67">
        <v>3</v>
      </c>
      <c r="N67">
        <v>4</v>
      </c>
      <c r="O67" t="s">
        <v>56</v>
      </c>
      <c r="P67">
        <v>3</v>
      </c>
      <c r="Q67" t="s">
        <v>52</v>
      </c>
      <c r="R67">
        <v>14756</v>
      </c>
      <c r="S67">
        <v>2</v>
      </c>
      <c r="T67" t="s">
        <v>35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  <c r="AF67">
        <f t="shared" ref="AF67:AF130" si="13">IF(B67="Yes",1,0)</f>
        <v>0</v>
      </c>
      <c r="AG67">
        <f t="shared" ref="AG67:AG130" si="14">IF(T67="Yes",1,0)</f>
        <v>1</v>
      </c>
      <c r="AH67" t="str">
        <f t="shared" ref="AH67:AH130" si="15">CHOOSE(G67,"Below College","College","Bachelor","Master","Doctor")</f>
        <v>Bachelor</v>
      </c>
      <c r="AI67" t="str">
        <f t="shared" ref="AI67:AI130" si="16">CHOOSE(J67,"Low","Medium","High","Very High")</f>
        <v>Very High</v>
      </c>
      <c r="AJ67" t="str">
        <f t="shared" ref="AJ67:AJ130" si="17">CHOOSE(M67,"Low","Medium","High","Very High")</f>
        <v>High</v>
      </c>
      <c r="AK67" t="str">
        <f t="shared" ref="AK67:AK130" si="18">CHOOSE(N67,"Entry","Junior","Mid-Level","Senior","Executive")</f>
        <v>Senior</v>
      </c>
      <c r="AL67" t="str">
        <f t="shared" ref="AL67:AL130" si="19">CHOOSE(P67,"Low","Medium","High","Very High")</f>
        <v>High</v>
      </c>
      <c r="AM67" t="str">
        <f t="shared" ref="AM67:AM130" si="20">CHOOSE(W67,"Low","Medium","High","Very High")</f>
        <v>High</v>
      </c>
      <c r="AN67" t="str">
        <f t="shared" ref="AN67:AN130" si="21">CHOOSE(X67+1,"No Options","Low","Medium","High")</f>
        <v>High</v>
      </c>
      <c r="AO67" t="str">
        <f t="shared" ref="AO67:AO130" si="22">CHOOSE(AA67,"Bad","Good","Better","Best")</f>
        <v>Better</v>
      </c>
      <c r="AP67" t="str">
        <f t="shared" ref="AP67:AP130" si="23">IF(A67&lt;=24,"Under 25",IF(A67&lt;=34,"25-34",IF(A67&lt;=44,"35-44",IF(A67&lt;=54,"45-54","55+"))))</f>
        <v>55+</v>
      </c>
      <c r="AQ67" t="str">
        <f t="shared" ref="AQ67:AQ130" si="24">IF(R67&lt;3000,"Low",IF(R67&lt;7000,"Lower-Mid",IF(R67&lt;13000,"Upper-Mid","High")))</f>
        <v>High</v>
      </c>
      <c r="AR67" t="str">
        <f t="shared" ref="AR67:AR130" si="25">IF(AB67&lt;=2,"0-2 Years",IF(AB67&lt;=5,"3-5 Years",IF(AB67&lt;=10,"6-10 Years",IF(AB67&lt;=20,"11-20 Years","20+ Years"))))</f>
        <v>3-5 Years</v>
      </c>
    </row>
    <row r="68" spans="1:44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46</v>
      </c>
      <c r="L68">
        <v>95</v>
      </c>
      <c r="M68">
        <v>2</v>
      </c>
      <c r="N68">
        <v>2</v>
      </c>
      <c r="O68" t="s">
        <v>53</v>
      </c>
      <c r="P68">
        <v>2</v>
      </c>
      <c r="Q68" t="s">
        <v>41</v>
      </c>
      <c r="R68">
        <v>6499</v>
      </c>
      <c r="S68">
        <v>1</v>
      </c>
      <c r="T68" t="s">
        <v>43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  <c r="AF68">
        <f t="shared" si="13"/>
        <v>0</v>
      </c>
      <c r="AG68">
        <f t="shared" si="14"/>
        <v>0</v>
      </c>
      <c r="AH68" t="str">
        <f t="shared" si="15"/>
        <v>Bachelor</v>
      </c>
      <c r="AI68" t="str">
        <f t="shared" si="16"/>
        <v>Medium</v>
      </c>
      <c r="AJ68" t="str">
        <f t="shared" si="17"/>
        <v>Medium</v>
      </c>
      <c r="AK68" t="str">
        <f t="shared" si="18"/>
        <v>Junior</v>
      </c>
      <c r="AL68" t="str">
        <f t="shared" si="19"/>
        <v>Medium</v>
      </c>
      <c r="AM68" t="str">
        <f t="shared" si="20"/>
        <v>High</v>
      </c>
      <c r="AN68" t="str">
        <f t="shared" si="21"/>
        <v>No Options</v>
      </c>
      <c r="AO68" t="str">
        <f t="shared" si="22"/>
        <v>Better</v>
      </c>
      <c r="AP68" t="str">
        <f t="shared" si="23"/>
        <v>35-44</v>
      </c>
      <c r="AQ68" t="str">
        <f t="shared" si="24"/>
        <v>Lower-Mid</v>
      </c>
      <c r="AR68" t="str">
        <f t="shared" si="25"/>
        <v>6-10 Years</v>
      </c>
    </row>
    <row r="69" spans="1:44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46</v>
      </c>
      <c r="L69">
        <v>59</v>
      </c>
      <c r="M69">
        <v>3</v>
      </c>
      <c r="N69">
        <v>3</v>
      </c>
      <c r="O69" t="s">
        <v>47</v>
      </c>
      <c r="P69">
        <v>1</v>
      </c>
      <c r="Q69" t="s">
        <v>52</v>
      </c>
      <c r="R69">
        <v>9724</v>
      </c>
      <c r="S69">
        <v>2</v>
      </c>
      <c r="T69" t="s">
        <v>43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  <c r="AF69">
        <f t="shared" si="13"/>
        <v>0</v>
      </c>
      <c r="AG69">
        <f t="shared" si="14"/>
        <v>0</v>
      </c>
      <c r="AH69" t="str">
        <f t="shared" si="15"/>
        <v>Bachelor</v>
      </c>
      <c r="AI69" t="str">
        <f t="shared" si="16"/>
        <v>Medium</v>
      </c>
      <c r="AJ69" t="str">
        <f t="shared" si="17"/>
        <v>High</v>
      </c>
      <c r="AK69" t="str">
        <f t="shared" si="18"/>
        <v>Mid-Level</v>
      </c>
      <c r="AL69" t="str">
        <f t="shared" si="19"/>
        <v>Low</v>
      </c>
      <c r="AM69" t="str">
        <f t="shared" si="20"/>
        <v>High</v>
      </c>
      <c r="AN69" t="str">
        <f t="shared" si="21"/>
        <v>Low</v>
      </c>
      <c r="AO69" t="str">
        <f t="shared" si="22"/>
        <v>Better</v>
      </c>
      <c r="AP69" t="str">
        <f t="shared" si="23"/>
        <v>45-54</v>
      </c>
      <c r="AQ69" t="str">
        <f t="shared" si="24"/>
        <v>Upper-Mid</v>
      </c>
      <c r="AR69" t="str">
        <f t="shared" si="25"/>
        <v>0-2 Years</v>
      </c>
    </row>
    <row r="70" spans="1:44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46</v>
      </c>
      <c r="L70">
        <v>79</v>
      </c>
      <c r="M70">
        <v>3</v>
      </c>
      <c r="N70">
        <v>1</v>
      </c>
      <c r="O70" t="s">
        <v>47</v>
      </c>
      <c r="P70">
        <v>1</v>
      </c>
      <c r="Q70" t="s">
        <v>48</v>
      </c>
      <c r="R70">
        <v>2194</v>
      </c>
      <c r="S70">
        <v>4</v>
      </c>
      <c r="T70" t="s">
        <v>43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  <c r="AF70">
        <f t="shared" si="13"/>
        <v>0</v>
      </c>
      <c r="AG70">
        <f t="shared" si="14"/>
        <v>0</v>
      </c>
      <c r="AH70" t="str">
        <f t="shared" si="15"/>
        <v>Bachelor</v>
      </c>
      <c r="AI70" t="str">
        <f t="shared" si="16"/>
        <v>Medium</v>
      </c>
      <c r="AJ70" t="str">
        <f t="shared" si="17"/>
        <v>High</v>
      </c>
      <c r="AK70" t="str">
        <f t="shared" si="18"/>
        <v>Entry</v>
      </c>
      <c r="AL70" t="str">
        <f t="shared" si="19"/>
        <v>Low</v>
      </c>
      <c r="AM70" t="str">
        <f t="shared" si="20"/>
        <v>Very High</v>
      </c>
      <c r="AN70" t="str">
        <f t="shared" si="21"/>
        <v>Low</v>
      </c>
      <c r="AO70" t="str">
        <f t="shared" si="22"/>
        <v>Good</v>
      </c>
      <c r="AP70" t="str">
        <f t="shared" si="23"/>
        <v>35-44</v>
      </c>
      <c r="AQ70" t="str">
        <f t="shared" si="24"/>
        <v>Low</v>
      </c>
      <c r="AR70" t="str">
        <f t="shared" si="25"/>
        <v>3-5 Years</v>
      </c>
    </row>
    <row r="71" spans="1:44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46</v>
      </c>
      <c r="L71">
        <v>79</v>
      </c>
      <c r="M71">
        <v>2</v>
      </c>
      <c r="N71">
        <v>1</v>
      </c>
      <c r="O71" t="s">
        <v>47</v>
      </c>
      <c r="P71">
        <v>3</v>
      </c>
      <c r="Q71" t="s">
        <v>48</v>
      </c>
      <c r="R71">
        <v>3388</v>
      </c>
      <c r="S71">
        <v>0</v>
      </c>
      <c r="T71" t="s">
        <v>35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  <c r="AF71">
        <f t="shared" si="13"/>
        <v>1</v>
      </c>
      <c r="AG71">
        <f t="shared" si="14"/>
        <v>1</v>
      </c>
      <c r="AH71" t="str">
        <f t="shared" si="15"/>
        <v>Bachelor</v>
      </c>
      <c r="AI71" t="str">
        <f t="shared" si="16"/>
        <v>Very High</v>
      </c>
      <c r="AJ71" t="str">
        <f t="shared" si="17"/>
        <v>Medium</v>
      </c>
      <c r="AK71" t="str">
        <f t="shared" si="18"/>
        <v>Entry</v>
      </c>
      <c r="AL71" t="str">
        <f t="shared" si="19"/>
        <v>High</v>
      </c>
      <c r="AM71" t="str">
        <f t="shared" si="20"/>
        <v>Low</v>
      </c>
      <c r="AN71" t="str">
        <f t="shared" si="21"/>
        <v>Low</v>
      </c>
      <c r="AO71" t="str">
        <f t="shared" si="22"/>
        <v>Good</v>
      </c>
      <c r="AP71" t="str">
        <f t="shared" si="23"/>
        <v>35-44</v>
      </c>
      <c r="AQ71" t="str">
        <f t="shared" si="24"/>
        <v>Lower-Mid</v>
      </c>
      <c r="AR71" t="str">
        <f t="shared" si="25"/>
        <v>0-2 Years</v>
      </c>
    </row>
    <row r="72" spans="1:44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57</v>
      </c>
      <c r="M72">
        <v>2</v>
      </c>
      <c r="N72">
        <v>2</v>
      </c>
      <c r="O72" t="s">
        <v>40</v>
      </c>
      <c r="P72">
        <v>3</v>
      </c>
      <c r="Q72" t="s">
        <v>41</v>
      </c>
      <c r="R72">
        <v>5473</v>
      </c>
      <c r="S72">
        <v>7</v>
      </c>
      <c r="T72" t="s">
        <v>43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  <c r="AF72">
        <f t="shared" si="13"/>
        <v>0</v>
      </c>
      <c r="AG72">
        <f t="shared" si="14"/>
        <v>0</v>
      </c>
      <c r="AH72" t="str">
        <f t="shared" si="15"/>
        <v>Below College</v>
      </c>
      <c r="AI72" t="str">
        <f t="shared" si="16"/>
        <v>Low</v>
      </c>
      <c r="AJ72" t="str">
        <f t="shared" si="17"/>
        <v>Medium</v>
      </c>
      <c r="AK72" t="str">
        <f t="shared" si="18"/>
        <v>Junior</v>
      </c>
      <c r="AL72" t="str">
        <f t="shared" si="19"/>
        <v>High</v>
      </c>
      <c r="AM72" t="str">
        <f t="shared" si="20"/>
        <v>Very High</v>
      </c>
      <c r="AN72" t="str">
        <f t="shared" si="21"/>
        <v>No Options</v>
      </c>
      <c r="AO72" t="str">
        <f t="shared" si="22"/>
        <v>Good</v>
      </c>
      <c r="AP72" t="str">
        <f t="shared" si="23"/>
        <v>55+</v>
      </c>
      <c r="AQ72" t="str">
        <f t="shared" si="24"/>
        <v>Lower-Mid</v>
      </c>
      <c r="AR72" t="str">
        <f t="shared" si="25"/>
        <v>3-5 Years</v>
      </c>
    </row>
    <row r="73" spans="1:44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46</v>
      </c>
      <c r="L73">
        <v>76</v>
      </c>
      <c r="M73">
        <v>3</v>
      </c>
      <c r="N73">
        <v>1</v>
      </c>
      <c r="O73" t="s">
        <v>47</v>
      </c>
      <c r="P73">
        <v>2</v>
      </c>
      <c r="Q73" t="s">
        <v>48</v>
      </c>
      <c r="R73">
        <v>2703</v>
      </c>
      <c r="S73">
        <v>0</v>
      </c>
      <c r="T73" t="s">
        <v>43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  <c r="AF73">
        <f t="shared" si="13"/>
        <v>0</v>
      </c>
      <c r="AG73">
        <f t="shared" si="14"/>
        <v>0</v>
      </c>
      <c r="AH73" t="str">
        <f t="shared" si="15"/>
        <v>Bachelor</v>
      </c>
      <c r="AI73" t="str">
        <f t="shared" si="16"/>
        <v>High</v>
      </c>
      <c r="AJ73" t="str">
        <f t="shared" si="17"/>
        <v>High</v>
      </c>
      <c r="AK73" t="str">
        <f t="shared" si="18"/>
        <v>Entry</v>
      </c>
      <c r="AL73" t="str">
        <f t="shared" si="19"/>
        <v>Medium</v>
      </c>
      <c r="AM73" t="str">
        <f t="shared" si="20"/>
        <v>Very High</v>
      </c>
      <c r="AN73" t="str">
        <f t="shared" si="21"/>
        <v>Low</v>
      </c>
      <c r="AO73" t="str">
        <f t="shared" si="22"/>
        <v>Better</v>
      </c>
      <c r="AP73" t="str">
        <f t="shared" si="23"/>
        <v>25-34</v>
      </c>
      <c r="AQ73" t="str">
        <f t="shared" si="24"/>
        <v>Low</v>
      </c>
      <c r="AR73" t="str">
        <f t="shared" si="25"/>
        <v>3-5 Years</v>
      </c>
    </row>
    <row r="74" spans="1:44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46</v>
      </c>
      <c r="L74">
        <v>87</v>
      </c>
      <c r="M74">
        <v>3</v>
      </c>
      <c r="N74">
        <v>1</v>
      </c>
      <c r="O74" t="s">
        <v>47</v>
      </c>
      <c r="P74">
        <v>2</v>
      </c>
      <c r="Q74" t="s">
        <v>41</v>
      </c>
      <c r="R74">
        <v>2501</v>
      </c>
      <c r="S74">
        <v>1</v>
      </c>
      <c r="T74" t="s">
        <v>43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  <c r="AF74">
        <f t="shared" si="13"/>
        <v>0</v>
      </c>
      <c r="AG74">
        <f t="shared" si="14"/>
        <v>0</v>
      </c>
      <c r="AH74" t="str">
        <f t="shared" si="15"/>
        <v>Master</v>
      </c>
      <c r="AI74" t="str">
        <f t="shared" si="16"/>
        <v>High</v>
      </c>
      <c r="AJ74" t="str">
        <f t="shared" si="17"/>
        <v>High</v>
      </c>
      <c r="AK74" t="str">
        <f t="shared" si="18"/>
        <v>Entry</v>
      </c>
      <c r="AL74" t="str">
        <f t="shared" si="19"/>
        <v>Medium</v>
      </c>
      <c r="AM74" t="str">
        <f t="shared" si="20"/>
        <v>Medium</v>
      </c>
      <c r="AN74" t="str">
        <f t="shared" si="21"/>
        <v>No Options</v>
      </c>
      <c r="AO74" t="str">
        <f t="shared" si="22"/>
        <v>Better</v>
      </c>
      <c r="AP74" t="str">
        <f t="shared" si="23"/>
        <v>25-34</v>
      </c>
      <c r="AQ74" t="str">
        <f t="shared" si="24"/>
        <v>Low</v>
      </c>
      <c r="AR74" t="str">
        <f t="shared" si="25"/>
        <v>0-2 Years</v>
      </c>
    </row>
    <row r="75" spans="1:44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46</v>
      </c>
      <c r="L75">
        <v>66</v>
      </c>
      <c r="M75">
        <v>3</v>
      </c>
      <c r="N75">
        <v>2</v>
      </c>
      <c r="O75" t="s">
        <v>47</v>
      </c>
      <c r="P75">
        <v>2</v>
      </c>
      <c r="Q75" t="s">
        <v>48</v>
      </c>
      <c r="R75">
        <v>6220</v>
      </c>
      <c r="S75">
        <v>1</v>
      </c>
      <c r="T75" t="s">
        <v>43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  <c r="AF75">
        <f t="shared" si="13"/>
        <v>0</v>
      </c>
      <c r="AG75">
        <f t="shared" si="14"/>
        <v>0</v>
      </c>
      <c r="AH75" t="str">
        <f t="shared" si="15"/>
        <v>Bachelor</v>
      </c>
      <c r="AI75" t="str">
        <f t="shared" si="16"/>
        <v>Medium</v>
      </c>
      <c r="AJ75" t="str">
        <f t="shared" si="17"/>
        <v>High</v>
      </c>
      <c r="AK75" t="str">
        <f t="shared" si="18"/>
        <v>Junior</v>
      </c>
      <c r="AL75" t="str">
        <f t="shared" si="19"/>
        <v>Medium</v>
      </c>
      <c r="AM75" t="str">
        <f t="shared" si="20"/>
        <v>Medium</v>
      </c>
      <c r="AN75" t="str">
        <f t="shared" si="21"/>
        <v>Medium</v>
      </c>
      <c r="AO75" t="str">
        <f t="shared" si="22"/>
        <v>Better</v>
      </c>
      <c r="AP75" t="str">
        <f t="shared" si="23"/>
        <v>25-34</v>
      </c>
      <c r="AQ75" t="str">
        <f t="shared" si="24"/>
        <v>Lower-Mid</v>
      </c>
      <c r="AR75" t="str">
        <f t="shared" si="25"/>
        <v>6-10 Years</v>
      </c>
    </row>
    <row r="76" spans="1:44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55</v>
      </c>
      <c r="M76">
        <v>4</v>
      </c>
      <c r="N76">
        <v>1</v>
      </c>
      <c r="O76" t="s">
        <v>50</v>
      </c>
      <c r="P76">
        <v>4</v>
      </c>
      <c r="Q76" t="s">
        <v>48</v>
      </c>
      <c r="R76">
        <v>3038</v>
      </c>
      <c r="S76">
        <v>3</v>
      </c>
      <c r="T76" t="s">
        <v>43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  <c r="AF76">
        <f t="shared" si="13"/>
        <v>0</v>
      </c>
      <c r="AG76">
        <f t="shared" si="14"/>
        <v>0</v>
      </c>
      <c r="AH76" t="str">
        <f t="shared" si="15"/>
        <v>Bachelor</v>
      </c>
      <c r="AI76" t="str">
        <f t="shared" si="16"/>
        <v>Medium</v>
      </c>
      <c r="AJ76" t="str">
        <f t="shared" si="17"/>
        <v>Very High</v>
      </c>
      <c r="AK76" t="str">
        <f t="shared" si="18"/>
        <v>Entry</v>
      </c>
      <c r="AL76" t="str">
        <f t="shared" si="19"/>
        <v>Very High</v>
      </c>
      <c r="AM76" t="str">
        <f t="shared" si="20"/>
        <v>Medium</v>
      </c>
      <c r="AN76" t="str">
        <f t="shared" si="21"/>
        <v>No Options</v>
      </c>
      <c r="AO76" t="str">
        <f t="shared" si="22"/>
        <v>Better</v>
      </c>
      <c r="AP76" t="str">
        <f t="shared" si="23"/>
        <v>35-44</v>
      </c>
      <c r="AQ76" t="str">
        <f t="shared" si="24"/>
        <v>Lower-Mid</v>
      </c>
      <c r="AR76" t="str">
        <f t="shared" si="25"/>
        <v>0-2 Years</v>
      </c>
    </row>
    <row r="77" spans="1:44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61</v>
      </c>
      <c r="M77">
        <v>3</v>
      </c>
      <c r="N77">
        <v>2</v>
      </c>
      <c r="O77" t="s">
        <v>53</v>
      </c>
      <c r="P77">
        <v>4</v>
      </c>
      <c r="Q77" t="s">
        <v>41</v>
      </c>
      <c r="R77">
        <v>4424</v>
      </c>
      <c r="S77">
        <v>1</v>
      </c>
      <c r="T77" t="s">
        <v>43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  <c r="AF77">
        <f t="shared" si="13"/>
        <v>0</v>
      </c>
      <c r="AG77">
        <f t="shared" si="14"/>
        <v>0</v>
      </c>
      <c r="AH77" t="str">
        <f t="shared" si="15"/>
        <v>Master</v>
      </c>
      <c r="AI77" t="str">
        <f t="shared" si="16"/>
        <v>High</v>
      </c>
      <c r="AJ77" t="str">
        <f t="shared" si="17"/>
        <v>High</v>
      </c>
      <c r="AK77" t="str">
        <f t="shared" si="18"/>
        <v>Junior</v>
      </c>
      <c r="AL77" t="str">
        <f t="shared" si="19"/>
        <v>Very High</v>
      </c>
      <c r="AM77" t="str">
        <f t="shared" si="20"/>
        <v>Very High</v>
      </c>
      <c r="AN77" t="str">
        <f t="shared" si="21"/>
        <v>No Options</v>
      </c>
      <c r="AO77" t="str">
        <f t="shared" si="22"/>
        <v>Better</v>
      </c>
      <c r="AP77" t="str">
        <f t="shared" si="23"/>
        <v>25-34</v>
      </c>
      <c r="AQ77" t="str">
        <f t="shared" si="24"/>
        <v>Lower-Mid</v>
      </c>
      <c r="AR77" t="str">
        <f t="shared" si="25"/>
        <v>11-20 Years</v>
      </c>
    </row>
    <row r="78" spans="1:44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t="s">
        <v>46</v>
      </c>
      <c r="L78">
        <v>32</v>
      </c>
      <c r="M78">
        <v>2</v>
      </c>
      <c r="N78">
        <v>2</v>
      </c>
      <c r="O78" t="s">
        <v>40</v>
      </c>
      <c r="P78">
        <v>1</v>
      </c>
      <c r="Q78" t="s">
        <v>41</v>
      </c>
      <c r="R78">
        <v>4312</v>
      </c>
      <c r="S78">
        <v>0</v>
      </c>
      <c r="T78" t="s">
        <v>43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  <c r="AF78">
        <f t="shared" si="13"/>
        <v>0</v>
      </c>
      <c r="AG78">
        <f t="shared" si="14"/>
        <v>0</v>
      </c>
      <c r="AH78" t="str">
        <f t="shared" si="15"/>
        <v>Master</v>
      </c>
      <c r="AI78" t="str">
        <f t="shared" si="16"/>
        <v>High</v>
      </c>
      <c r="AJ78" t="str">
        <f t="shared" si="17"/>
        <v>Medium</v>
      </c>
      <c r="AK78" t="str">
        <f t="shared" si="18"/>
        <v>Junior</v>
      </c>
      <c r="AL78" t="str">
        <f t="shared" si="19"/>
        <v>Low</v>
      </c>
      <c r="AM78" t="str">
        <f t="shared" si="20"/>
        <v>Medium</v>
      </c>
      <c r="AN78" t="str">
        <f t="shared" si="21"/>
        <v>No Options</v>
      </c>
      <c r="AO78" t="str">
        <f t="shared" si="22"/>
        <v>Better</v>
      </c>
      <c r="AP78" t="str">
        <f t="shared" si="23"/>
        <v>35-44</v>
      </c>
      <c r="AQ78" t="str">
        <f t="shared" si="24"/>
        <v>Lower-Mid</v>
      </c>
      <c r="AR78" t="str">
        <f t="shared" si="25"/>
        <v>11-20 Years</v>
      </c>
    </row>
    <row r="79" spans="1:44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52</v>
      </c>
      <c r="M79">
        <v>3</v>
      </c>
      <c r="N79">
        <v>3</v>
      </c>
      <c r="O79" t="s">
        <v>58</v>
      </c>
      <c r="P79">
        <v>1</v>
      </c>
      <c r="Q79" t="s">
        <v>48</v>
      </c>
      <c r="R79">
        <v>13245</v>
      </c>
      <c r="S79">
        <v>4</v>
      </c>
      <c r="T79" t="s">
        <v>35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  <c r="AF79">
        <f t="shared" si="13"/>
        <v>0</v>
      </c>
      <c r="AG79">
        <f t="shared" si="14"/>
        <v>1</v>
      </c>
      <c r="AH79" t="str">
        <f t="shared" si="15"/>
        <v>Master</v>
      </c>
      <c r="AI79" t="str">
        <f t="shared" si="16"/>
        <v>Very High</v>
      </c>
      <c r="AJ79" t="str">
        <f t="shared" si="17"/>
        <v>High</v>
      </c>
      <c r="AK79" t="str">
        <f t="shared" si="18"/>
        <v>Mid-Level</v>
      </c>
      <c r="AL79" t="str">
        <f t="shared" si="19"/>
        <v>Low</v>
      </c>
      <c r="AM79" t="str">
        <f t="shared" si="20"/>
        <v>Medium</v>
      </c>
      <c r="AN79" t="str">
        <f t="shared" si="21"/>
        <v>No Options</v>
      </c>
      <c r="AO79" t="str">
        <f t="shared" si="22"/>
        <v>Best</v>
      </c>
      <c r="AP79" t="str">
        <f t="shared" si="23"/>
        <v>45-54</v>
      </c>
      <c r="AQ79" t="str">
        <f t="shared" si="24"/>
        <v>High</v>
      </c>
      <c r="AR79" t="str">
        <f t="shared" si="25"/>
        <v>0-2 Years</v>
      </c>
    </row>
    <row r="80" spans="1:44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46</v>
      </c>
      <c r="L80">
        <v>30</v>
      </c>
      <c r="M80">
        <v>3</v>
      </c>
      <c r="N80">
        <v>3</v>
      </c>
      <c r="O80" t="s">
        <v>58</v>
      </c>
      <c r="P80">
        <v>3</v>
      </c>
      <c r="Q80" t="s">
        <v>41</v>
      </c>
      <c r="R80">
        <v>13664</v>
      </c>
      <c r="S80">
        <v>4</v>
      </c>
      <c r="T80" t="s">
        <v>43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  <c r="AF80">
        <f t="shared" si="13"/>
        <v>0</v>
      </c>
      <c r="AG80">
        <f t="shared" si="14"/>
        <v>0</v>
      </c>
      <c r="AH80" t="str">
        <f t="shared" si="15"/>
        <v>Master</v>
      </c>
      <c r="AI80" t="str">
        <f t="shared" si="16"/>
        <v>Low</v>
      </c>
      <c r="AJ80" t="str">
        <f t="shared" si="17"/>
        <v>High</v>
      </c>
      <c r="AK80" t="str">
        <f t="shared" si="18"/>
        <v>Mid-Level</v>
      </c>
      <c r="AL80" t="str">
        <f t="shared" si="19"/>
        <v>High</v>
      </c>
      <c r="AM80" t="str">
        <f t="shared" si="20"/>
        <v>Low</v>
      </c>
      <c r="AN80" t="str">
        <f t="shared" si="21"/>
        <v>No Options</v>
      </c>
      <c r="AO80" t="str">
        <f t="shared" si="22"/>
        <v>Best</v>
      </c>
      <c r="AP80" t="str">
        <f t="shared" si="23"/>
        <v>35-44</v>
      </c>
      <c r="AQ80" t="str">
        <f t="shared" si="24"/>
        <v>High</v>
      </c>
      <c r="AR80" t="str">
        <f t="shared" si="25"/>
        <v>3-5 Years</v>
      </c>
    </row>
    <row r="81" spans="1:44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46</v>
      </c>
      <c r="L81">
        <v>80</v>
      </c>
      <c r="M81">
        <v>3</v>
      </c>
      <c r="N81">
        <v>2</v>
      </c>
      <c r="O81" t="s">
        <v>61</v>
      </c>
      <c r="P81">
        <v>2</v>
      </c>
      <c r="Q81" t="s">
        <v>52</v>
      </c>
      <c r="R81">
        <v>5021</v>
      </c>
      <c r="S81">
        <v>8</v>
      </c>
      <c r="T81" t="s">
        <v>35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  <c r="AF81">
        <f t="shared" si="13"/>
        <v>0</v>
      </c>
      <c r="AG81">
        <f t="shared" si="14"/>
        <v>1</v>
      </c>
      <c r="AH81" t="str">
        <f t="shared" si="15"/>
        <v>College</v>
      </c>
      <c r="AI81" t="str">
        <f t="shared" si="16"/>
        <v>Medium</v>
      </c>
      <c r="AJ81" t="str">
        <f t="shared" si="17"/>
        <v>High</v>
      </c>
      <c r="AK81" t="str">
        <f t="shared" si="18"/>
        <v>Junior</v>
      </c>
      <c r="AL81" t="str">
        <f t="shared" si="19"/>
        <v>Medium</v>
      </c>
      <c r="AM81" t="str">
        <f t="shared" si="20"/>
        <v>Very High</v>
      </c>
      <c r="AN81" t="str">
        <f t="shared" si="21"/>
        <v>Low</v>
      </c>
      <c r="AO81" t="str">
        <f t="shared" si="22"/>
        <v>Better</v>
      </c>
      <c r="AP81" t="str">
        <f t="shared" si="23"/>
        <v>45-54</v>
      </c>
      <c r="AQ81" t="str">
        <f t="shared" si="24"/>
        <v>Lower-Mid</v>
      </c>
      <c r="AR81" t="str">
        <f t="shared" si="25"/>
        <v>3-5 Years</v>
      </c>
    </row>
    <row r="82" spans="1:44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46</v>
      </c>
      <c r="L82">
        <v>55</v>
      </c>
      <c r="M82">
        <v>2</v>
      </c>
      <c r="N82">
        <v>2</v>
      </c>
      <c r="O82" t="s">
        <v>50</v>
      </c>
      <c r="P82">
        <v>4</v>
      </c>
      <c r="Q82" t="s">
        <v>48</v>
      </c>
      <c r="R82">
        <v>5126</v>
      </c>
      <c r="S82">
        <v>1</v>
      </c>
      <c r="T82" t="s">
        <v>35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  <c r="AF82">
        <f t="shared" si="13"/>
        <v>0</v>
      </c>
      <c r="AG82">
        <f t="shared" si="14"/>
        <v>1</v>
      </c>
      <c r="AH82" t="str">
        <f t="shared" si="15"/>
        <v>Below College</v>
      </c>
      <c r="AI82" t="str">
        <f t="shared" si="16"/>
        <v>Very High</v>
      </c>
      <c r="AJ82" t="str">
        <f t="shared" si="17"/>
        <v>Medium</v>
      </c>
      <c r="AK82" t="str">
        <f t="shared" si="18"/>
        <v>Junior</v>
      </c>
      <c r="AL82" t="str">
        <f t="shared" si="19"/>
        <v>Very High</v>
      </c>
      <c r="AM82" t="str">
        <f t="shared" si="20"/>
        <v>High</v>
      </c>
      <c r="AN82" t="str">
        <f t="shared" si="21"/>
        <v>Medium</v>
      </c>
      <c r="AO82" t="str">
        <f t="shared" si="22"/>
        <v>Good</v>
      </c>
      <c r="AP82" t="str">
        <f t="shared" si="23"/>
        <v>25-34</v>
      </c>
      <c r="AQ82" t="str">
        <f t="shared" si="24"/>
        <v>Lower-Mid</v>
      </c>
      <c r="AR82" t="str">
        <f t="shared" si="25"/>
        <v>6-10 Years</v>
      </c>
    </row>
    <row r="83" spans="1:44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46</v>
      </c>
      <c r="L83">
        <v>30</v>
      </c>
      <c r="M83">
        <v>2</v>
      </c>
      <c r="N83">
        <v>1</v>
      </c>
      <c r="O83" t="s">
        <v>47</v>
      </c>
      <c r="P83">
        <v>3</v>
      </c>
      <c r="Q83" t="s">
        <v>41</v>
      </c>
      <c r="R83">
        <v>2859</v>
      </c>
      <c r="S83">
        <v>1</v>
      </c>
      <c r="T83" t="s">
        <v>43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  <c r="AF83">
        <f t="shared" si="13"/>
        <v>0</v>
      </c>
      <c r="AG83">
        <f t="shared" si="14"/>
        <v>0</v>
      </c>
      <c r="AH83" t="str">
        <f t="shared" si="15"/>
        <v>Bachelor</v>
      </c>
      <c r="AI83" t="str">
        <f t="shared" si="16"/>
        <v>Medium</v>
      </c>
      <c r="AJ83" t="str">
        <f t="shared" si="17"/>
        <v>Medium</v>
      </c>
      <c r="AK83" t="str">
        <f t="shared" si="18"/>
        <v>Entry</v>
      </c>
      <c r="AL83" t="str">
        <f t="shared" si="19"/>
        <v>High</v>
      </c>
      <c r="AM83" t="str">
        <f t="shared" si="20"/>
        <v>Low</v>
      </c>
      <c r="AN83" t="str">
        <f t="shared" si="21"/>
        <v>No Options</v>
      </c>
      <c r="AO83" t="str">
        <f t="shared" si="22"/>
        <v>Better</v>
      </c>
      <c r="AP83" t="str">
        <f t="shared" si="23"/>
        <v>35-44</v>
      </c>
      <c r="AQ83" t="str">
        <f t="shared" si="24"/>
        <v>Low</v>
      </c>
      <c r="AR83" t="str">
        <f t="shared" si="25"/>
        <v>6-10 Years</v>
      </c>
    </row>
    <row r="84" spans="1:44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46</v>
      </c>
      <c r="L84">
        <v>70</v>
      </c>
      <c r="M84">
        <v>3</v>
      </c>
      <c r="N84">
        <v>3</v>
      </c>
      <c r="O84" t="s">
        <v>40</v>
      </c>
      <c r="P84">
        <v>4</v>
      </c>
      <c r="Q84" t="s">
        <v>48</v>
      </c>
      <c r="R84">
        <v>10239</v>
      </c>
      <c r="S84">
        <v>3</v>
      </c>
      <c r="T84" t="s">
        <v>43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  <c r="AF84">
        <f t="shared" si="13"/>
        <v>0</v>
      </c>
      <c r="AG84">
        <f t="shared" si="14"/>
        <v>0</v>
      </c>
      <c r="AH84" t="str">
        <f t="shared" si="15"/>
        <v>College</v>
      </c>
      <c r="AI84" t="str">
        <f t="shared" si="16"/>
        <v>Low</v>
      </c>
      <c r="AJ84" t="str">
        <f t="shared" si="17"/>
        <v>High</v>
      </c>
      <c r="AK84" t="str">
        <f t="shared" si="18"/>
        <v>Mid-Level</v>
      </c>
      <c r="AL84" t="str">
        <f t="shared" si="19"/>
        <v>Very High</v>
      </c>
      <c r="AM84" t="str">
        <f t="shared" si="20"/>
        <v>Very High</v>
      </c>
      <c r="AN84" t="str">
        <f t="shared" si="21"/>
        <v>Low</v>
      </c>
      <c r="AO84" t="str">
        <f t="shared" si="22"/>
        <v>Better</v>
      </c>
      <c r="AP84" t="str">
        <f t="shared" si="23"/>
        <v>55+</v>
      </c>
      <c r="AQ84" t="str">
        <f t="shared" si="24"/>
        <v>Upper-Mid</v>
      </c>
      <c r="AR84" t="str">
        <f t="shared" si="25"/>
        <v>0-2 Years</v>
      </c>
    </row>
    <row r="85" spans="1:44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39</v>
      </c>
      <c r="L85">
        <v>79</v>
      </c>
      <c r="M85">
        <v>1</v>
      </c>
      <c r="N85">
        <v>2</v>
      </c>
      <c r="O85" t="s">
        <v>47</v>
      </c>
      <c r="P85">
        <v>4</v>
      </c>
      <c r="Q85" t="s">
        <v>52</v>
      </c>
      <c r="R85">
        <v>5329</v>
      </c>
      <c r="S85">
        <v>7</v>
      </c>
      <c r="T85" t="s">
        <v>35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  <c r="AF85">
        <f t="shared" si="13"/>
        <v>0</v>
      </c>
      <c r="AG85">
        <f t="shared" si="14"/>
        <v>1</v>
      </c>
      <c r="AH85" t="str">
        <f t="shared" si="15"/>
        <v>Bachelor</v>
      </c>
      <c r="AI85" t="str">
        <f t="shared" si="16"/>
        <v>Medium</v>
      </c>
      <c r="AJ85" t="str">
        <f t="shared" si="17"/>
        <v>Low</v>
      </c>
      <c r="AK85" t="str">
        <f t="shared" si="18"/>
        <v>Junior</v>
      </c>
      <c r="AL85" t="str">
        <f t="shared" si="19"/>
        <v>Very High</v>
      </c>
      <c r="AM85" t="str">
        <f t="shared" si="20"/>
        <v>Very High</v>
      </c>
      <c r="AN85" t="str">
        <f t="shared" si="21"/>
        <v>High</v>
      </c>
      <c r="AO85" t="str">
        <f t="shared" si="22"/>
        <v>Better</v>
      </c>
      <c r="AP85" t="str">
        <f t="shared" si="23"/>
        <v>35-44</v>
      </c>
      <c r="AQ85" t="str">
        <f t="shared" si="24"/>
        <v>Lower-Mid</v>
      </c>
      <c r="AR85" t="str">
        <f t="shared" si="25"/>
        <v>11-20 Years</v>
      </c>
    </row>
    <row r="86" spans="1:44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46</v>
      </c>
      <c r="L86">
        <v>94</v>
      </c>
      <c r="M86">
        <v>3</v>
      </c>
      <c r="N86">
        <v>2</v>
      </c>
      <c r="O86" t="s">
        <v>53</v>
      </c>
      <c r="P86">
        <v>2</v>
      </c>
      <c r="Q86" t="s">
        <v>48</v>
      </c>
      <c r="R86">
        <v>4325</v>
      </c>
      <c r="S86">
        <v>1</v>
      </c>
      <c r="T86" t="s">
        <v>43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  <c r="AF86">
        <f t="shared" si="13"/>
        <v>0</v>
      </c>
      <c r="AG86">
        <f t="shared" si="14"/>
        <v>0</v>
      </c>
      <c r="AH86" t="str">
        <f t="shared" si="15"/>
        <v>College</v>
      </c>
      <c r="AI86" t="str">
        <f t="shared" si="16"/>
        <v>Low</v>
      </c>
      <c r="AJ86" t="str">
        <f t="shared" si="17"/>
        <v>High</v>
      </c>
      <c r="AK86" t="str">
        <f t="shared" si="18"/>
        <v>Junior</v>
      </c>
      <c r="AL86" t="str">
        <f t="shared" si="19"/>
        <v>Medium</v>
      </c>
      <c r="AM86" t="str">
        <f t="shared" si="20"/>
        <v>High</v>
      </c>
      <c r="AN86" t="str">
        <f t="shared" si="21"/>
        <v>No Options</v>
      </c>
      <c r="AO86" t="str">
        <f t="shared" si="22"/>
        <v>Better</v>
      </c>
      <c r="AP86" t="str">
        <f t="shared" si="23"/>
        <v>25-34</v>
      </c>
      <c r="AQ86" t="str">
        <f t="shared" si="24"/>
        <v>Lower-Mid</v>
      </c>
      <c r="AR86" t="str">
        <f t="shared" si="25"/>
        <v>3-5 Years</v>
      </c>
    </row>
    <row r="87" spans="1:44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46</v>
      </c>
      <c r="L87">
        <v>49</v>
      </c>
      <c r="M87">
        <v>1</v>
      </c>
      <c r="N87">
        <v>3</v>
      </c>
      <c r="O87" t="s">
        <v>53</v>
      </c>
      <c r="P87">
        <v>4</v>
      </c>
      <c r="Q87" t="s">
        <v>41</v>
      </c>
      <c r="R87">
        <v>7260</v>
      </c>
      <c r="S87">
        <v>4</v>
      </c>
      <c r="T87" t="s">
        <v>43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  <c r="AF87">
        <f t="shared" si="13"/>
        <v>0</v>
      </c>
      <c r="AG87">
        <f t="shared" si="14"/>
        <v>0</v>
      </c>
      <c r="AH87" t="str">
        <f t="shared" si="15"/>
        <v>Bachelor</v>
      </c>
      <c r="AI87" t="str">
        <f t="shared" si="16"/>
        <v>Very High</v>
      </c>
      <c r="AJ87" t="str">
        <f t="shared" si="17"/>
        <v>Low</v>
      </c>
      <c r="AK87" t="str">
        <f t="shared" si="18"/>
        <v>Mid-Level</v>
      </c>
      <c r="AL87" t="str">
        <f t="shared" si="19"/>
        <v>Very High</v>
      </c>
      <c r="AM87" t="str">
        <f t="shared" si="20"/>
        <v>Low</v>
      </c>
      <c r="AN87" t="str">
        <f t="shared" si="21"/>
        <v>No Options</v>
      </c>
      <c r="AO87" t="str">
        <f t="shared" si="22"/>
        <v>Good</v>
      </c>
      <c r="AP87" t="str">
        <f t="shared" si="23"/>
        <v>55+</v>
      </c>
      <c r="AQ87" t="str">
        <f t="shared" si="24"/>
        <v>Upper-Mid</v>
      </c>
      <c r="AR87" t="str">
        <f t="shared" si="25"/>
        <v>6-10 Years</v>
      </c>
    </row>
    <row r="88" spans="1:44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t="s">
        <v>46</v>
      </c>
      <c r="L88">
        <v>62</v>
      </c>
      <c r="M88">
        <v>3</v>
      </c>
      <c r="N88">
        <v>1</v>
      </c>
      <c r="O88" t="s">
        <v>57</v>
      </c>
      <c r="P88">
        <v>1</v>
      </c>
      <c r="Q88" t="s">
        <v>52</v>
      </c>
      <c r="R88">
        <v>2322</v>
      </c>
      <c r="S88">
        <v>3</v>
      </c>
      <c r="T88" t="s">
        <v>43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  <c r="AF88">
        <f t="shared" si="13"/>
        <v>0</v>
      </c>
      <c r="AG88">
        <f t="shared" si="14"/>
        <v>0</v>
      </c>
      <c r="AH88" t="str">
        <f t="shared" si="15"/>
        <v>Below College</v>
      </c>
      <c r="AI88" t="str">
        <f t="shared" si="16"/>
        <v>High</v>
      </c>
      <c r="AJ88" t="str">
        <f t="shared" si="17"/>
        <v>High</v>
      </c>
      <c r="AK88" t="str">
        <f t="shared" si="18"/>
        <v>Entry</v>
      </c>
      <c r="AL88" t="str">
        <f t="shared" si="19"/>
        <v>Low</v>
      </c>
      <c r="AM88" t="str">
        <f t="shared" si="20"/>
        <v>High</v>
      </c>
      <c r="AN88" t="str">
        <f t="shared" si="21"/>
        <v>Low</v>
      </c>
      <c r="AO88" t="str">
        <f t="shared" si="22"/>
        <v>Better</v>
      </c>
      <c r="AP88" t="str">
        <f t="shared" si="23"/>
        <v>Under 25</v>
      </c>
      <c r="AQ88" t="str">
        <f t="shared" si="24"/>
        <v>Low</v>
      </c>
      <c r="AR88" t="str">
        <f t="shared" si="25"/>
        <v>0-2 Years</v>
      </c>
    </row>
    <row r="89" spans="1:44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46</v>
      </c>
      <c r="L89">
        <v>96</v>
      </c>
      <c r="M89">
        <v>3</v>
      </c>
      <c r="N89">
        <v>1</v>
      </c>
      <c r="O89" t="s">
        <v>50</v>
      </c>
      <c r="P89">
        <v>4</v>
      </c>
      <c r="Q89" t="s">
        <v>48</v>
      </c>
      <c r="R89">
        <v>2075</v>
      </c>
      <c r="S89">
        <v>3</v>
      </c>
      <c r="T89" t="s">
        <v>43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  <c r="AF89">
        <f t="shared" si="13"/>
        <v>0</v>
      </c>
      <c r="AG89">
        <f t="shared" si="14"/>
        <v>0</v>
      </c>
      <c r="AH89" t="str">
        <f t="shared" si="15"/>
        <v>Master</v>
      </c>
      <c r="AI89" t="str">
        <f t="shared" si="16"/>
        <v>Very High</v>
      </c>
      <c r="AJ89" t="str">
        <f t="shared" si="17"/>
        <v>High</v>
      </c>
      <c r="AK89" t="str">
        <f t="shared" si="18"/>
        <v>Entry</v>
      </c>
      <c r="AL89" t="str">
        <f t="shared" si="19"/>
        <v>Very High</v>
      </c>
      <c r="AM89" t="str">
        <f t="shared" si="20"/>
        <v>Medium</v>
      </c>
      <c r="AN89" t="str">
        <f t="shared" si="21"/>
        <v>Medium</v>
      </c>
      <c r="AO89" t="str">
        <f t="shared" si="22"/>
        <v>Better</v>
      </c>
      <c r="AP89" t="str">
        <f t="shared" si="23"/>
        <v>45-54</v>
      </c>
      <c r="AQ89" t="str">
        <f t="shared" si="24"/>
        <v>Low</v>
      </c>
      <c r="AR89" t="str">
        <f t="shared" si="25"/>
        <v>3-5 Years</v>
      </c>
    </row>
    <row r="90" spans="1:44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46</v>
      </c>
      <c r="L90">
        <v>99</v>
      </c>
      <c r="M90">
        <v>2</v>
      </c>
      <c r="N90">
        <v>2</v>
      </c>
      <c r="O90" t="s">
        <v>54</v>
      </c>
      <c r="P90">
        <v>4</v>
      </c>
      <c r="Q90" t="s">
        <v>48</v>
      </c>
      <c r="R90">
        <v>4152</v>
      </c>
      <c r="S90">
        <v>1</v>
      </c>
      <c r="T90" t="s">
        <v>43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  <c r="AF90">
        <f t="shared" si="13"/>
        <v>0</v>
      </c>
      <c r="AG90">
        <f t="shared" si="14"/>
        <v>0</v>
      </c>
      <c r="AH90" t="str">
        <f t="shared" si="15"/>
        <v>Bachelor</v>
      </c>
      <c r="AI90" t="str">
        <f t="shared" si="16"/>
        <v>High</v>
      </c>
      <c r="AJ90" t="str">
        <f t="shared" si="17"/>
        <v>Medium</v>
      </c>
      <c r="AK90" t="str">
        <f t="shared" si="18"/>
        <v>Junior</v>
      </c>
      <c r="AL90" t="str">
        <f t="shared" si="19"/>
        <v>Very High</v>
      </c>
      <c r="AM90" t="str">
        <f t="shared" si="20"/>
        <v>Low</v>
      </c>
      <c r="AN90" t="str">
        <f t="shared" si="21"/>
        <v>High</v>
      </c>
      <c r="AO90" t="str">
        <f t="shared" si="22"/>
        <v>Better</v>
      </c>
      <c r="AP90" t="str">
        <f t="shared" si="23"/>
        <v>25-34</v>
      </c>
      <c r="AQ90" t="str">
        <f t="shared" si="24"/>
        <v>Lower-Mid</v>
      </c>
      <c r="AR90" t="str">
        <f t="shared" si="25"/>
        <v>11-20 Years</v>
      </c>
    </row>
    <row r="91" spans="1:44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46</v>
      </c>
      <c r="L91">
        <v>64</v>
      </c>
      <c r="M91">
        <v>2</v>
      </c>
      <c r="N91">
        <v>3</v>
      </c>
      <c r="O91" t="s">
        <v>40</v>
      </c>
      <c r="P91">
        <v>4</v>
      </c>
      <c r="Q91" t="s">
        <v>41</v>
      </c>
      <c r="R91">
        <v>9619</v>
      </c>
      <c r="S91">
        <v>1</v>
      </c>
      <c r="T91" t="s">
        <v>43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  <c r="AF91">
        <f t="shared" si="13"/>
        <v>1</v>
      </c>
      <c r="AG91">
        <f t="shared" si="14"/>
        <v>0</v>
      </c>
      <c r="AH91" t="str">
        <f t="shared" si="15"/>
        <v>College</v>
      </c>
      <c r="AI91" t="str">
        <f t="shared" si="16"/>
        <v>High</v>
      </c>
      <c r="AJ91" t="str">
        <f t="shared" si="17"/>
        <v>Medium</v>
      </c>
      <c r="AK91" t="str">
        <f t="shared" si="18"/>
        <v>Mid-Level</v>
      </c>
      <c r="AL91" t="str">
        <f t="shared" si="19"/>
        <v>Very High</v>
      </c>
      <c r="AM91" t="str">
        <f t="shared" si="20"/>
        <v>Very High</v>
      </c>
      <c r="AN91" t="str">
        <f t="shared" si="21"/>
        <v>No Options</v>
      </c>
      <c r="AO91" t="str">
        <f t="shared" si="22"/>
        <v>Better</v>
      </c>
      <c r="AP91" t="str">
        <f t="shared" si="23"/>
        <v>45-54</v>
      </c>
      <c r="AQ91" t="str">
        <f t="shared" si="24"/>
        <v>Upper-Mid</v>
      </c>
      <c r="AR91" t="str">
        <f t="shared" si="25"/>
        <v>6-10 Years</v>
      </c>
    </row>
    <row r="92" spans="1:44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46</v>
      </c>
      <c r="L92">
        <v>78</v>
      </c>
      <c r="M92">
        <v>2</v>
      </c>
      <c r="N92">
        <v>4</v>
      </c>
      <c r="O92" t="s">
        <v>54</v>
      </c>
      <c r="P92">
        <v>2</v>
      </c>
      <c r="Q92" t="s">
        <v>48</v>
      </c>
      <c r="R92">
        <v>13503</v>
      </c>
      <c r="S92">
        <v>1</v>
      </c>
      <c r="T92" t="s">
        <v>43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  <c r="AF92">
        <f t="shared" si="13"/>
        <v>0</v>
      </c>
      <c r="AG92">
        <f t="shared" si="14"/>
        <v>0</v>
      </c>
      <c r="AH92" t="str">
        <f t="shared" si="15"/>
        <v>Master</v>
      </c>
      <c r="AI92" t="str">
        <f t="shared" si="16"/>
        <v>High</v>
      </c>
      <c r="AJ92" t="str">
        <f t="shared" si="17"/>
        <v>Medium</v>
      </c>
      <c r="AK92" t="str">
        <f t="shared" si="18"/>
        <v>Senior</v>
      </c>
      <c r="AL92" t="str">
        <f t="shared" si="19"/>
        <v>Medium</v>
      </c>
      <c r="AM92" t="str">
        <f t="shared" si="20"/>
        <v>Very High</v>
      </c>
      <c r="AN92" t="str">
        <f t="shared" si="21"/>
        <v>Low</v>
      </c>
      <c r="AO92" t="str">
        <f t="shared" si="22"/>
        <v>Good</v>
      </c>
      <c r="AP92" t="str">
        <f t="shared" si="23"/>
        <v>35-44</v>
      </c>
      <c r="AQ92" t="str">
        <f t="shared" si="24"/>
        <v>High</v>
      </c>
      <c r="AR92" t="str">
        <f t="shared" si="25"/>
        <v>20+ Years</v>
      </c>
    </row>
    <row r="93" spans="1:44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t="s">
        <v>46</v>
      </c>
      <c r="L93">
        <v>71</v>
      </c>
      <c r="M93">
        <v>3</v>
      </c>
      <c r="N93">
        <v>2</v>
      </c>
      <c r="O93" t="s">
        <v>40</v>
      </c>
      <c r="P93">
        <v>4</v>
      </c>
      <c r="Q93" t="s">
        <v>41</v>
      </c>
      <c r="R93">
        <v>5441</v>
      </c>
      <c r="S93">
        <v>0</v>
      </c>
      <c r="T93" t="s">
        <v>35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  <c r="AF93">
        <f t="shared" si="13"/>
        <v>0</v>
      </c>
      <c r="AG93">
        <f t="shared" si="14"/>
        <v>1</v>
      </c>
      <c r="AH93" t="str">
        <f t="shared" si="15"/>
        <v>Master</v>
      </c>
      <c r="AI93" t="str">
        <f t="shared" si="16"/>
        <v>High</v>
      </c>
      <c r="AJ93" t="str">
        <f t="shared" si="17"/>
        <v>High</v>
      </c>
      <c r="AK93" t="str">
        <f t="shared" si="18"/>
        <v>Junior</v>
      </c>
      <c r="AL93" t="str">
        <f t="shared" si="19"/>
        <v>Very High</v>
      </c>
      <c r="AM93" t="str">
        <f t="shared" si="20"/>
        <v>Very High</v>
      </c>
      <c r="AN93" t="str">
        <f t="shared" si="21"/>
        <v>No Options</v>
      </c>
      <c r="AO93" t="str">
        <f t="shared" si="22"/>
        <v>Bad</v>
      </c>
      <c r="AP93" t="str">
        <f t="shared" si="23"/>
        <v>45-54</v>
      </c>
      <c r="AQ93" t="str">
        <f t="shared" si="24"/>
        <v>Lower-Mid</v>
      </c>
      <c r="AR93" t="str">
        <f t="shared" si="25"/>
        <v>6-10 Years</v>
      </c>
    </row>
    <row r="94" spans="1:44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39</v>
      </c>
      <c r="L94">
        <v>63</v>
      </c>
      <c r="M94">
        <v>2</v>
      </c>
      <c r="N94">
        <v>2</v>
      </c>
      <c r="O94" t="s">
        <v>40</v>
      </c>
      <c r="P94">
        <v>2</v>
      </c>
      <c r="Q94" t="s">
        <v>52</v>
      </c>
      <c r="R94">
        <v>5209</v>
      </c>
      <c r="S94">
        <v>1</v>
      </c>
      <c r="T94" t="s">
        <v>35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  <c r="AF94">
        <f t="shared" si="13"/>
        <v>0</v>
      </c>
      <c r="AG94">
        <f t="shared" si="14"/>
        <v>1</v>
      </c>
      <c r="AH94" t="str">
        <f t="shared" si="15"/>
        <v>College</v>
      </c>
      <c r="AI94" t="str">
        <f t="shared" si="16"/>
        <v>High</v>
      </c>
      <c r="AJ94" t="str">
        <f t="shared" si="17"/>
        <v>Medium</v>
      </c>
      <c r="AK94" t="str">
        <f t="shared" si="18"/>
        <v>Junior</v>
      </c>
      <c r="AL94" t="str">
        <f t="shared" si="19"/>
        <v>Medium</v>
      </c>
      <c r="AM94" t="str">
        <f t="shared" si="20"/>
        <v>Medium</v>
      </c>
      <c r="AN94" t="str">
        <f t="shared" si="21"/>
        <v>High</v>
      </c>
      <c r="AO94" t="str">
        <f t="shared" si="22"/>
        <v>Good</v>
      </c>
      <c r="AP94" t="str">
        <f t="shared" si="23"/>
        <v>25-34</v>
      </c>
      <c r="AQ94" t="str">
        <f t="shared" si="24"/>
        <v>Lower-Mid</v>
      </c>
      <c r="AR94" t="str">
        <f t="shared" si="25"/>
        <v>11-20 Years</v>
      </c>
    </row>
    <row r="95" spans="1:44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46</v>
      </c>
      <c r="L95">
        <v>40</v>
      </c>
      <c r="M95">
        <v>2</v>
      </c>
      <c r="N95">
        <v>3</v>
      </c>
      <c r="O95" t="s">
        <v>54</v>
      </c>
      <c r="P95">
        <v>1</v>
      </c>
      <c r="Q95" t="s">
        <v>48</v>
      </c>
      <c r="R95">
        <v>10673</v>
      </c>
      <c r="S95">
        <v>2</v>
      </c>
      <c r="T95" t="s">
        <v>35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  <c r="AF95">
        <f t="shared" si="13"/>
        <v>0</v>
      </c>
      <c r="AG95">
        <f t="shared" si="14"/>
        <v>1</v>
      </c>
      <c r="AH95" t="str">
        <f t="shared" si="15"/>
        <v>Bachelor</v>
      </c>
      <c r="AI95" t="str">
        <f t="shared" si="16"/>
        <v>High</v>
      </c>
      <c r="AJ95" t="str">
        <f t="shared" si="17"/>
        <v>Medium</v>
      </c>
      <c r="AK95" t="str">
        <f t="shared" si="18"/>
        <v>Mid-Level</v>
      </c>
      <c r="AL95" t="str">
        <f t="shared" si="19"/>
        <v>Low</v>
      </c>
      <c r="AM95" t="str">
        <f t="shared" si="20"/>
        <v>High</v>
      </c>
      <c r="AN95" t="str">
        <f t="shared" si="21"/>
        <v>Low</v>
      </c>
      <c r="AO95" t="str">
        <f t="shared" si="22"/>
        <v>Good</v>
      </c>
      <c r="AP95" t="str">
        <f t="shared" si="23"/>
        <v>45-54</v>
      </c>
      <c r="AQ95" t="str">
        <f t="shared" si="24"/>
        <v>Upper-Mid</v>
      </c>
      <c r="AR95" t="str">
        <f t="shared" si="25"/>
        <v>6-10 Years</v>
      </c>
    </row>
    <row r="96" spans="1:44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46</v>
      </c>
      <c r="L96">
        <v>87</v>
      </c>
      <c r="M96">
        <v>3</v>
      </c>
      <c r="N96">
        <v>2</v>
      </c>
      <c r="O96" t="s">
        <v>40</v>
      </c>
      <c r="P96">
        <v>3</v>
      </c>
      <c r="Q96" t="s">
        <v>41</v>
      </c>
      <c r="R96">
        <v>5010</v>
      </c>
      <c r="S96">
        <v>1</v>
      </c>
      <c r="T96" t="s">
        <v>43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  <c r="AF96">
        <f t="shared" si="13"/>
        <v>0</v>
      </c>
      <c r="AG96">
        <f t="shared" si="14"/>
        <v>0</v>
      </c>
      <c r="AH96" t="str">
        <f t="shared" si="15"/>
        <v>Master</v>
      </c>
      <c r="AI96" t="str">
        <f t="shared" si="16"/>
        <v>Medium</v>
      </c>
      <c r="AJ96" t="str">
        <f t="shared" si="17"/>
        <v>High</v>
      </c>
      <c r="AK96" t="str">
        <f t="shared" si="18"/>
        <v>Junior</v>
      </c>
      <c r="AL96" t="str">
        <f t="shared" si="19"/>
        <v>High</v>
      </c>
      <c r="AM96" t="str">
        <f t="shared" si="20"/>
        <v>Low</v>
      </c>
      <c r="AN96" t="str">
        <f t="shared" si="21"/>
        <v>No Options</v>
      </c>
      <c r="AO96" t="str">
        <f t="shared" si="22"/>
        <v>Better</v>
      </c>
      <c r="AP96" t="str">
        <f t="shared" si="23"/>
        <v>25-34</v>
      </c>
      <c r="AQ96" t="str">
        <f t="shared" si="24"/>
        <v>Lower-Mid</v>
      </c>
      <c r="AR96" t="str">
        <f t="shared" si="25"/>
        <v>11-20 Years</v>
      </c>
    </row>
    <row r="97" spans="1:44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t="s">
        <v>39</v>
      </c>
      <c r="L97">
        <v>60</v>
      </c>
      <c r="M97">
        <v>3</v>
      </c>
      <c r="N97">
        <v>3</v>
      </c>
      <c r="O97" t="s">
        <v>58</v>
      </c>
      <c r="P97">
        <v>3</v>
      </c>
      <c r="Q97" t="s">
        <v>48</v>
      </c>
      <c r="R97">
        <v>13549</v>
      </c>
      <c r="S97">
        <v>9</v>
      </c>
      <c r="T97" t="s">
        <v>43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  <c r="AF97">
        <f t="shared" si="13"/>
        <v>0</v>
      </c>
      <c r="AG97">
        <f t="shared" si="14"/>
        <v>0</v>
      </c>
      <c r="AH97" t="str">
        <f t="shared" si="15"/>
        <v>Master</v>
      </c>
      <c r="AI97" t="str">
        <f t="shared" si="16"/>
        <v>Low</v>
      </c>
      <c r="AJ97" t="str">
        <f t="shared" si="17"/>
        <v>High</v>
      </c>
      <c r="AK97" t="str">
        <f t="shared" si="18"/>
        <v>Mid-Level</v>
      </c>
      <c r="AL97" t="str">
        <f t="shared" si="19"/>
        <v>High</v>
      </c>
      <c r="AM97" t="str">
        <f t="shared" si="20"/>
        <v>Low</v>
      </c>
      <c r="AN97" t="str">
        <f t="shared" si="21"/>
        <v>Low</v>
      </c>
      <c r="AO97" t="str">
        <f t="shared" si="22"/>
        <v>Bad</v>
      </c>
      <c r="AP97" t="str">
        <f t="shared" si="23"/>
        <v>45-54</v>
      </c>
      <c r="AQ97" t="str">
        <f t="shared" si="24"/>
        <v>High</v>
      </c>
      <c r="AR97" t="str">
        <f t="shared" si="25"/>
        <v>3-5 Years</v>
      </c>
    </row>
    <row r="98" spans="1:44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39</v>
      </c>
      <c r="L98">
        <v>33</v>
      </c>
      <c r="M98">
        <v>3</v>
      </c>
      <c r="N98">
        <v>2</v>
      </c>
      <c r="O98" t="s">
        <v>40</v>
      </c>
      <c r="P98">
        <v>3</v>
      </c>
      <c r="Q98" t="s">
        <v>48</v>
      </c>
      <c r="R98">
        <v>4999</v>
      </c>
      <c r="S98">
        <v>0</v>
      </c>
      <c r="T98" t="s">
        <v>43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  <c r="AF98">
        <f t="shared" si="13"/>
        <v>0</v>
      </c>
      <c r="AG98">
        <f t="shared" si="14"/>
        <v>0</v>
      </c>
      <c r="AH98" t="str">
        <f t="shared" si="15"/>
        <v>College</v>
      </c>
      <c r="AI98" t="str">
        <f t="shared" si="16"/>
        <v>Low</v>
      </c>
      <c r="AJ98" t="str">
        <f t="shared" si="17"/>
        <v>High</v>
      </c>
      <c r="AK98" t="str">
        <f t="shared" si="18"/>
        <v>Junior</v>
      </c>
      <c r="AL98" t="str">
        <f t="shared" si="19"/>
        <v>High</v>
      </c>
      <c r="AM98" t="str">
        <f t="shared" si="20"/>
        <v>Low</v>
      </c>
      <c r="AN98" t="str">
        <f t="shared" si="21"/>
        <v>Low</v>
      </c>
      <c r="AO98" t="str">
        <f t="shared" si="22"/>
        <v>Good</v>
      </c>
      <c r="AP98" t="str">
        <f t="shared" si="23"/>
        <v>Under 25</v>
      </c>
      <c r="AQ98" t="str">
        <f t="shared" si="24"/>
        <v>Lower-Mid</v>
      </c>
      <c r="AR98" t="str">
        <f t="shared" si="25"/>
        <v>3-5 Years</v>
      </c>
    </row>
    <row r="99" spans="1:44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46</v>
      </c>
      <c r="L99">
        <v>43</v>
      </c>
      <c r="M99">
        <v>3</v>
      </c>
      <c r="N99">
        <v>2</v>
      </c>
      <c r="O99" t="s">
        <v>40</v>
      </c>
      <c r="P99">
        <v>3</v>
      </c>
      <c r="Q99" t="s">
        <v>48</v>
      </c>
      <c r="R99">
        <v>4221</v>
      </c>
      <c r="S99">
        <v>1</v>
      </c>
      <c r="T99" t="s">
        <v>43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  <c r="AF99">
        <f t="shared" si="13"/>
        <v>0</v>
      </c>
      <c r="AG99">
        <f t="shared" si="14"/>
        <v>0</v>
      </c>
      <c r="AH99" t="str">
        <f t="shared" si="15"/>
        <v>Bachelor</v>
      </c>
      <c r="AI99" t="str">
        <f t="shared" si="16"/>
        <v>Medium</v>
      </c>
      <c r="AJ99" t="str">
        <f t="shared" si="17"/>
        <v>High</v>
      </c>
      <c r="AK99" t="str">
        <f t="shared" si="18"/>
        <v>Junior</v>
      </c>
      <c r="AL99" t="str">
        <f t="shared" si="19"/>
        <v>High</v>
      </c>
      <c r="AM99" t="str">
        <f t="shared" si="20"/>
        <v>Medium</v>
      </c>
      <c r="AN99" t="str">
        <f t="shared" si="21"/>
        <v>No Options</v>
      </c>
      <c r="AO99" t="str">
        <f t="shared" si="22"/>
        <v>Best</v>
      </c>
      <c r="AP99" t="str">
        <f t="shared" si="23"/>
        <v>25-34</v>
      </c>
      <c r="AQ99" t="str">
        <f t="shared" si="24"/>
        <v>Lower-Mid</v>
      </c>
      <c r="AR99" t="str">
        <f t="shared" si="25"/>
        <v>3-5 Years</v>
      </c>
    </row>
    <row r="100" spans="1:44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46</v>
      </c>
      <c r="L100">
        <v>37</v>
      </c>
      <c r="M100">
        <v>3</v>
      </c>
      <c r="N100">
        <v>4</v>
      </c>
      <c r="O100" t="s">
        <v>40</v>
      </c>
      <c r="P100">
        <v>3</v>
      </c>
      <c r="Q100" t="s">
        <v>41</v>
      </c>
      <c r="R100">
        <v>13872</v>
      </c>
      <c r="S100">
        <v>0</v>
      </c>
      <c r="T100" t="s">
        <v>43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  <c r="AF100">
        <f t="shared" si="13"/>
        <v>0</v>
      </c>
      <c r="AG100">
        <f t="shared" si="14"/>
        <v>0</v>
      </c>
      <c r="AH100" t="str">
        <f t="shared" si="15"/>
        <v>Master</v>
      </c>
      <c r="AI100" t="str">
        <f t="shared" si="16"/>
        <v>Very High</v>
      </c>
      <c r="AJ100" t="str">
        <f t="shared" si="17"/>
        <v>High</v>
      </c>
      <c r="AK100" t="str">
        <f t="shared" si="18"/>
        <v>Senior</v>
      </c>
      <c r="AL100" t="str">
        <f t="shared" si="19"/>
        <v>High</v>
      </c>
      <c r="AM100" t="str">
        <f t="shared" si="20"/>
        <v>High</v>
      </c>
      <c r="AN100" t="str">
        <f t="shared" si="21"/>
        <v>No Options</v>
      </c>
      <c r="AO100" t="str">
        <f t="shared" si="22"/>
        <v>Good</v>
      </c>
      <c r="AP100" t="str">
        <f t="shared" si="23"/>
        <v>55+</v>
      </c>
      <c r="AQ100" t="str">
        <f t="shared" si="24"/>
        <v>High</v>
      </c>
      <c r="AR100" t="str">
        <f t="shared" si="25"/>
        <v>20+ Years</v>
      </c>
    </row>
    <row r="101" spans="1:44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46</v>
      </c>
      <c r="L101">
        <v>67</v>
      </c>
      <c r="M101">
        <v>3</v>
      </c>
      <c r="N101">
        <v>2</v>
      </c>
      <c r="O101" t="s">
        <v>50</v>
      </c>
      <c r="P101">
        <v>2</v>
      </c>
      <c r="Q101" t="s">
        <v>48</v>
      </c>
      <c r="R101">
        <v>2042</v>
      </c>
      <c r="S101">
        <v>4</v>
      </c>
      <c r="T101" t="s">
        <v>43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  <c r="AF101">
        <f t="shared" si="13"/>
        <v>0</v>
      </c>
      <c r="AG101">
        <f t="shared" si="14"/>
        <v>0</v>
      </c>
      <c r="AH101" t="str">
        <f t="shared" si="15"/>
        <v>Bachelor</v>
      </c>
      <c r="AI101" t="str">
        <f t="shared" si="16"/>
        <v>Medium</v>
      </c>
      <c r="AJ101" t="str">
        <f t="shared" si="17"/>
        <v>High</v>
      </c>
      <c r="AK101" t="str">
        <f t="shared" si="18"/>
        <v>Junior</v>
      </c>
      <c r="AL101" t="str">
        <f t="shared" si="19"/>
        <v>Medium</v>
      </c>
      <c r="AM101" t="str">
        <f t="shared" si="20"/>
        <v>High</v>
      </c>
      <c r="AN101" t="str">
        <f t="shared" si="21"/>
        <v>Low</v>
      </c>
      <c r="AO101" t="str">
        <f t="shared" si="22"/>
        <v>Best</v>
      </c>
      <c r="AP101" t="str">
        <f t="shared" si="23"/>
        <v>35-44</v>
      </c>
      <c r="AQ101" t="str">
        <f t="shared" si="24"/>
        <v>Low</v>
      </c>
      <c r="AR101" t="str">
        <f t="shared" si="25"/>
        <v>3-5 Years</v>
      </c>
    </row>
    <row r="102" spans="1:44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t="s">
        <v>46</v>
      </c>
      <c r="L102">
        <v>63</v>
      </c>
      <c r="M102">
        <v>3</v>
      </c>
      <c r="N102">
        <v>1</v>
      </c>
      <c r="O102" t="s">
        <v>61</v>
      </c>
      <c r="P102">
        <v>1</v>
      </c>
      <c r="Q102" t="s">
        <v>52</v>
      </c>
      <c r="R102">
        <v>2073</v>
      </c>
      <c r="S102">
        <v>4</v>
      </c>
      <c r="T102" t="s">
        <v>35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  <c r="AF102">
        <f t="shared" si="13"/>
        <v>1</v>
      </c>
      <c r="AG102">
        <f t="shared" si="14"/>
        <v>1</v>
      </c>
      <c r="AH102" t="str">
        <f t="shared" si="15"/>
        <v>Master</v>
      </c>
      <c r="AI102" t="str">
        <f t="shared" si="16"/>
        <v>High</v>
      </c>
      <c r="AJ102" t="str">
        <f t="shared" si="17"/>
        <v>High</v>
      </c>
      <c r="AK102" t="str">
        <f t="shared" si="18"/>
        <v>Entry</v>
      </c>
      <c r="AL102" t="str">
        <f t="shared" si="19"/>
        <v>Low</v>
      </c>
      <c r="AM102" t="str">
        <f t="shared" si="20"/>
        <v>Very High</v>
      </c>
      <c r="AN102" t="str">
        <f t="shared" si="21"/>
        <v>No Options</v>
      </c>
      <c r="AO102" t="str">
        <f t="shared" si="22"/>
        <v>Better</v>
      </c>
      <c r="AP102" t="str">
        <f t="shared" si="23"/>
        <v>35-44</v>
      </c>
      <c r="AQ102" t="str">
        <f t="shared" si="24"/>
        <v>Low</v>
      </c>
      <c r="AR102" t="str">
        <f t="shared" si="25"/>
        <v>3-5 Years</v>
      </c>
    </row>
    <row r="103" spans="1:44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46</v>
      </c>
      <c r="L103">
        <v>71</v>
      </c>
      <c r="M103">
        <v>3</v>
      </c>
      <c r="N103">
        <v>1</v>
      </c>
      <c r="O103" t="s">
        <v>47</v>
      </c>
      <c r="P103">
        <v>1</v>
      </c>
      <c r="Q103" t="s">
        <v>41</v>
      </c>
      <c r="R103">
        <v>2956</v>
      </c>
      <c r="S103">
        <v>1</v>
      </c>
      <c r="T103" t="s">
        <v>43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  <c r="AF103">
        <f t="shared" si="13"/>
        <v>0</v>
      </c>
      <c r="AG103">
        <f t="shared" si="14"/>
        <v>0</v>
      </c>
      <c r="AH103" t="str">
        <f t="shared" si="15"/>
        <v>Below College</v>
      </c>
      <c r="AI103" t="str">
        <f t="shared" si="16"/>
        <v>Very High</v>
      </c>
      <c r="AJ103" t="str">
        <f t="shared" si="17"/>
        <v>High</v>
      </c>
      <c r="AK103" t="str">
        <f t="shared" si="18"/>
        <v>Entry</v>
      </c>
      <c r="AL103" t="str">
        <f t="shared" si="19"/>
        <v>Low</v>
      </c>
      <c r="AM103" t="str">
        <f t="shared" si="20"/>
        <v>Very High</v>
      </c>
      <c r="AN103" t="str">
        <f t="shared" si="21"/>
        <v>No Options</v>
      </c>
      <c r="AO103" t="str">
        <f t="shared" si="22"/>
        <v>Better</v>
      </c>
      <c r="AP103" t="str">
        <f t="shared" si="23"/>
        <v>25-34</v>
      </c>
      <c r="AQ103" t="str">
        <f t="shared" si="24"/>
        <v>Low</v>
      </c>
      <c r="AR103" t="str">
        <f t="shared" si="25"/>
        <v>0-2 Years</v>
      </c>
    </row>
    <row r="104" spans="1:44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66</v>
      </c>
      <c r="M104">
        <v>2</v>
      </c>
      <c r="N104">
        <v>1</v>
      </c>
      <c r="O104" t="s">
        <v>50</v>
      </c>
      <c r="P104">
        <v>4</v>
      </c>
      <c r="Q104" t="s">
        <v>41</v>
      </c>
      <c r="R104">
        <v>2926</v>
      </c>
      <c r="S104">
        <v>1</v>
      </c>
      <c r="T104" t="s">
        <v>35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  <c r="AF104">
        <f t="shared" si="13"/>
        <v>1</v>
      </c>
      <c r="AG104">
        <f t="shared" si="14"/>
        <v>1</v>
      </c>
      <c r="AH104" t="str">
        <f t="shared" si="15"/>
        <v>Bachelor</v>
      </c>
      <c r="AI104" t="str">
        <f t="shared" si="16"/>
        <v>Very High</v>
      </c>
      <c r="AJ104" t="str">
        <f t="shared" si="17"/>
        <v>Medium</v>
      </c>
      <c r="AK104" t="str">
        <f t="shared" si="18"/>
        <v>Entry</v>
      </c>
      <c r="AL104" t="str">
        <f t="shared" si="19"/>
        <v>Very High</v>
      </c>
      <c r="AM104" t="str">
        <f t="shared" si="20"/>
        <v>Medium</v>
      </c>
      <c r="AN104" t="str">
        <f t="shared" si="21"/>
        <v>No Options</v>
      </c>
      <c r="AO104" t="str">
        <f t="shared" si="22"/>
        <v>Better</v>
      </c>
      <c r="AP104" t="str">
        <f t="shared" si="23"/>
        <v>Under 25</v>
      </c>
      <c r="AQ104" t="str">
        <f t="shared" si="24"/>
        <v>Low</v>
      </c>
      <c r="AR104" t="str">
        <f t="shared" si="25"/>
        <v>0-2 Years</v>
      </c>
    </row>
    <row r="105" spans="1:44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39</v>
      </c>
      <c r="L105">
        <v>41</v>
      </c>
      <c r="M105">
        <v>3</v>
      </c>
      <c r="N105">
        <v>2</v>
      </c>
      <c r="O105" t="s">
        <v>47</v>
      </c>
      <c r="P105">
        <v>3</v>
      </c>
      <c r="Q105" t="s">
        <v>41</v>
      </c>
      <c r="R105">
        <v>4809</v>
      </c>
      <c r="S105">
        <v>1</v>
      </c>
      <c r="T105" t="s">
        <v>43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  <c r="AF105">
        <f t="shared" si="13"/>
        <v>0</v>
      </c>
      <c r="AG105">
        <f t="shared" si="14"/>
        <v>0</v>
      </c>
      <c r="AH105" t="str">
        <f t="shared" si="15"/>
        <v>Master</v>
      </c>
      <c r="AI105" t="str">
        <f t="shared" si="16"/>
        <v>Low</v>
      </c>
      <c r="AJ105" t="str">
        <f t="shared" si="17"/>
        <v>High</v>
      </c>
      <c r="AK105" t="str">
        <f t="shared" si="18"/>
        <v>Junior</v>
      </c>
      <c r="AL105" t="str">
        <f t="shared" si="19"/>
        <v>High</v>
      </c>
      <c r="AM105" t="str">
        <f t="shared" si="20"/>
        <v>High</v>
      </c>
      <c r="AN105" t="str">
        <f t="shared" si="21"/>
        <v>No Options</v>
      </c>
      <c r="AO105" t="str">
        <f t="shared" si="22"/>
        <v>Better</v>
      </c>
      <c r="AP105" t="str">
        <f t="shared" si="23"/>
        <v>25-34</v>
      </c>
      <c r="AQ105" t="str">
        <f t="shared" si="24"/>
        <v>Lower-Mid</v>
      </c>
      <c r="AR105" t="str">
        <f t="shared" si="25"/>
        <v>11-20 Years</v>
      </c>
    </row>
    <row r="106" spans="1:44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46</v>
      </c>
      <c r="L106">
        <v>100</v>
      </c>
      <c r="M106">
        <v>2</v>
      </c>
      <c r="N106">
        <v>2</v>
      </c>
      <c r="O106" t="s">
        <v>54</v>
      </c>
      <c r="P106">
        <v>4</v>
      </c>
      <c r="Q106" t="s">
        <v>52</v>
      </c>
      <c r="R106">
        <v>5163</v>
      </c>
      <c r="S106">
        <v>5</v>
      </c>
      <c r="T106" t="s">
        <v>43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  <c r="AF106">
        <f t="shared" si="13"/>
        <v>0</v>
      </c>
      <c r="AG106">
        <f t="shared" si="14"/>
        <v>0</v>
      </c>
      <c r="AH106" t="str">
        <f t="shared" si="15"/>
        <v>College</v>
      </c>
      <c r="AI106" t="str">
        <f t="shared" si="16"/>
        <v>High</v>
      </c>
      <c r="AJ106" t="str">
        <f t="shared" si="17"/>
        <v>Medium</v>
      </c>
      <c r="AK106" t="str">
        <f t="shared" si="18"/>
        <v>Junior</v>
      </c>
      <c r="AL106" t="str">
        <f t="shared" si="19"/>
        <v>Very High</v>
      </c>
      <c r="AM106" t="str">
        <f t="shared" si="20"/>
        <v>Very High</v>
      </c>
      <c r="AN106" t="str">
        <f t="shared" si="21"/>
        <v>Low</v>
      </c>
      <c r="AO106" t="str">
        <f t="shared" si="22"/>
        <v>Best</v>
      </c>
      <c r="AP106" t="str">
        <f t="shared" si="23"/>
        <v>35-44</v>
      </c>
      <c r="AQ106" t="str">
        <f t="shared" si="24"/>
        <v>Lower-Mid</v>
      </c>
      <c r="AR106" t="str">
        <f t="shared" si="25"/>
        <v>0-2 Years</v>
      </c>
    </row>
    <row r="107" spans="1:44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t="s">
        <v>39</v>
      </c>
      <c r="L107">
        <v>32</v>
      </c>
      <c r="M107">
        <v>2</v>
      </c>
      <c r="N107">
        <v>5</v>
      </c>
      <c r="O107" t="s">
        <v>56</v>
      </c>
      <c r="P107">
        <v>4</v>
      </c>
      <c r="Q107" t="s">
        <v>48</v>
      </c>
      <c r="R107">
        <v>18844</v>
      </c>
      <c r="S107">
        <v>9</v>
      </c>
      <c r="T107" t="s">
        <v>43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  <c r="AF107">
        <f t="shared" si="13"/>
        <v>0</v>
      </c>
      <c r="AG107">
        <f t="shared" si="14"/>
        <v>0</v>
      </c>
      <c r="AH107" t="str">
        <f t="shared" si="15"/>
        <v>Master</v>
      </c>
      <c r="AI107" t="str">
        <f t="shared" si="16"/>
        <v>High</v>
      </c>
      <c r="AJ107" t="str">
        <f t="shared" si="17"/>
        <v>Medium</v>
      </c>
      <c r="AK107" t="str">
        <f t="shared" si="18"/>
        <v>Executive</v>
      </c>
      <c r="AL107" t="str">
        <f t="shared" si="19"/>
        <v>Very High</v>
      </c>
      <c r="AM107" t="str">
        <f t="shared" si="20"/>
        <v>Very High</v>
      </c>
      <c r="AN107" t="str">
        <f t="shared" si="21"/>
        <v>Low</v>
      </c>
      <c r="AO107" t="str">
        <f t="shared" si="22"/>
        <v>Better</v>
      </c>
      <c r="AP107" t="str">
        <f t="shared" si="23"/>
        <v>55+</v>
      </c>
      <c r="AQ107" t="str">
        <f t="shared" si="24"/>
        <v>High</v>
      </c>
      <c r="AR107" t="str">
        <f t="shared" si="25"/>
        <v>3-5 Years</v>
      </c>
    </row>
    <row r="108" spans="1:44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73</v>
      </c>
      <c r="M108">
        <v>3</v>
      </c>
      <c r="N108">
        <v>5</v>
      </c>
      <c r="O108" t="s">
        <v>58</v>
      </c>
      <c r="P108">
        <v>2</v>
      </c>
      <c r="Q108" t="s">
        <v>48</v>
      </c>
      <c r="R108">
        <v>18172</v>
      </c>
      <c r="S108">
        <v>3</v>
      </c>
      <c r="T108" t="s">
        <v>35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  <c r="AF108">
        <f t="shared" si="13"/>
        <v>0</v>
      </c>
      <c r="AG108">
        <f t="shared" si="14"/>
        <v>1</v>
      </c>
      <c r="AH108" t="str">
        <f t="shared" si="15"/>
        <v>Bachelor</v>
      </c>
      <c r="AI108" t="str">
        <f t="shared" si="16"/>
        <v>Low</v>
      </c>
      <c r="AJ108" t="str">
        <f t="shared" si="17"/>
        <v>High</v>
      </c>
      <c r="AK108" t="str">
        <f t="shared" si="18"/>
        <v>Executive</v>
      </c>
      <c r="AL108" t="str">
        <f t="shared" si="19"/>
        <v>Medium</v>
      </c>
      <c r="AM108" t="str">
        <f t="shared" si="20"/>
        <v>Low</v>
      </c>
      <c r="AN108" t="str">
        <f t="shared" si="21"/>
        <v>No Options</v>
      </c>
      <c r="AO108" t="str">
        <f t="shared" si="22"/>
        <v>Good</v>
      </c>
      <c r="AP108" t="str">
        <f t="shared" si="23"/>
        <v>45-54</v>
      </c>
      <c r="AQ108" t="str">
        <f t="shared" si="24"/>
        <v>High</v>
      </c>
      <c r="AR108" t="str">
        <f t="shared" si="25"/>
        <v>6-10 Years</v>
      </c>
    </row>
    <row r="109" spans="1:44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t="s">
        <v>46</v>
      </c>
      <c r="L109">
        <v>46</v>
      </c>
      <c r="M109">
        <v>2</v>
      </c>
      <c r="N109">
        <v>2</v>
      </c>
      <c r="O109" t="s">
        <v>40</v>
      </c>
      <c r="P109">
        <v>3</v>
      </c>
      <c r="Q109" t="s">
        <v>41</v>
      </c>
      <c r="R109">
        <v>5744</v>
      </c>
      <c r="S109">
        <v>1</v>
      </c>
      <c r="T109" t="s">
        <v>35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  <c r="AF109">
        <f t="shared" si="13"/>
        <v>1</v>
      </c>
      <c r="AG109">
        <f t="shared" si="14"/>
        <v>1</v>
      </c>
      <c r="AH109" t="str">
        <f t="shared" si="15"/>
        <v>Bachelor</v>
      </c>
      <c r="AI109" t="str">
        <f t="shared" si="16"/>
        <v>High</v>
      </c>
      <c r="AJ109" t="str">
        <f t="shared" si="17"/>
        <v>Medium</v>
      </c>
      <c r="AK109" t="str">
        <f t="shared" si="18"/>
        <v>Junior</v>
      </c>
      <c r="AL109" t="str">
        <f t="shared" si="19"/>
        <v>High</v>
      </c>
      <c r="AM109" t="str">
        <f t="shared" si="20"/>
        <v>Very High</v>
      </c>
      <c r="AN109" t="str">
        <f t="shared" si="21"/>
        <v>No Options</v>
      </c>
      <c r="AO109" t="str">
        <f t="shared" si="22"/>
        <v>Better</v>
      </c>
      <c r="AP109" t="str">
        <f t="shared" si="23"/>
        <v>25-34</v>
      </c>
      <c r="AQ109" t="str">
        <f t="shared" si="24"/>
        <v>Lower-Mid</v>
      </c>
      <c r="AR109" t="str">
        <f t="shared" si="25"/>
        <v>6-10 Years</v>
      </c>
    </row>
    <row r="110" spans="1:44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46</v>
      </c>
      <c r="L110">
        <v>64</v>
      </c>
      <c r="M110">
        <v>2</v>
      </c>
      <c r="N110">
        <v>1</v>
      </c>
      <c r="O110" t="s">
        <v>47</v>
      </c>
      <c r="P110">
        <v>4</v>
      </c>
      <c r="Q110" t="s">
        <v>48</v>
      </c>
      <c r="R110">
        <v>2889</v>
      </c>
      <c r="S110">
        <v>1</v>
      </c>
      <c r="T110" t="s">
        <v>43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  <c r="AF110">
        <f t="shared" si="13"/>
        <v>0</v>
      </c>
      <c r="AG110">
        <f t="shared" si="14"/>
        <v>0</v>
      </c>
      <c r="AH110" t="str">
        <f t="shared" si="15"/>
        <v>Below College</v>
      </c>
      <c r="AI110" t="str">
        <f t="shared" si="16"/>
        <v>Very High</v>
      </c>
      <c r="AJ110" t="str">
        <f t="shared" si="17"/>
        <v>Medium</v>
      </c>
      <c r="AK110" t="str">
        <f t="shared" si="18"/>
        <v>Entry</v>
      </c>
      <c r="AL110" t="str">
        <f t="shared" si="19"/>
        <v>Very High</v>
      </c>
      <c r="AM110" t="str">
        <f t="shared" si="20"/>
        <v>High</v>
      </c>
      <c r="AN110" t="str">
        <f t="shared" si="21"/>
        <v>Medium</v>
      </c>
      <c r="AO110" t="str">
        <f t="shared" si="22"/>
        <v>Better</v>
      </c>
      <c r="AP110" t="str">
        <f t="shared" si="23"/>
        <v>25-34</v>
      </c>
      <c r="AQ110" t="str">
        <f t="shared" si="24"/>
        <v>Low</v>
      </c>
      <c r="AR110" t="str">
        <f t="shared" si="25"/>
        <v>0-2 Years</v>
      </c>
    </row>
    <row r="111" spans="1:44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39</v>
      </c>
      <c r="L111">
        <v>59</v>
      </c>
      <c r="M111">
        <v>3</v>
      </c>
      <c r="N111">
        <v>1</v>
      </c>
      <c r="O111" t="s">
        <v>50</v>
      </c>
      <c r="P111">
        <v>4</v>
      </c>
      <c r="Q111" t="s">
        <v>41</v>
      </c>
      <c r="R111">
        <v>2871</v>
      </c>
      <c r="S111">
        <v>1</v>
      </c>
      <c r="T111" t="s">
        <v>43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  <c r="AF111">
        <f t="shared" si="13"/>
        <v>0</v>
      </c>
      <c r="AG111">
        <f t="shared" si="14"/>
        <v>0</v>
      </c>
      <c r="AH111" t="str">
        <f t="shared" si="15"/>
        <v>Bachelor</v>
      </c>
      <c r="AI111" t="str">
        <f t="shared" si="16"/>
        <v>Medium</v>
      </c>
      <c r="AJ111" t="str">
        <f t="shared" si="17"/>
        <v>High</v>
      </c>
      <c r="AK111" t="str">
        <f t="shared" si="18"/>
        <v>Entry</v>
      </c>
      <c r="AL111" t="str">
        <f t="shared" si="19"/>
        <v>Very High</v>
      </c>
      <c r="AM111" t="str">
        <f t="shared" si="20"/>
        <v>High</v>
      </c>
      <c r="AN111" t="str">
        <f t="shared" si="21"/>
        <v>No Options</v>
      </c>
      <c r="AO111" t="str">
        <f t="shared" si="22"/>
        <v>Better</v>
      </c>
      <c r="AP111" t="str">
        <f t="shared" si="23"/>
        <v>Under 25</v>
      </c>
      <c r="AQ111" t="str">
        <f t="shared" si="24"/>
        <v>Low</v>
      </c>
      <c r="AR111" t="str">
        <f t="shared" si="25"/>
        <v>0-2 Years</v>
      </c>
    </row>
    <row r="112" spans="1:44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39</v>
      </c>
      <c r="L112">
        <v>30</v>
      </c>
      <c r="M112">
        <v>2</v>
      </c>
      <c r="N112">
        <v>3</v>
      </c>
      <c r="O112" t="s">
        <v>54</v>
      </c>
      <c r="P112">
        <v>1</v>
      </c>
      <c r="Q112" t="s">
        <v>41</v>
      </c>
      <c r="R112">
        <v>7484</v>
      </c>
      <c r="S112">
        <v>3</v>
      </c>
      <c r="T112" t="s">
        <v>43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  <c r="AF112">
        <f t="shared" si="13"/>
        <v>0</v>
      </c>
      <c r="AG112">
        <f t="shared" si="14"/>
        <v>0</v>
      </c>
      <c r="AH112" t="str">
        <f t="shared" si="15"/>
        <v>Master</v>
      </c>
      <c r="AI112" t="str">
        <f t="shared" si="16"/>
        <v>Low</v>
      </c>
      <c r="AJ112" t="str">
        <f t="shared" si="17"/>
        <v>Medium</v>
      </c>
      <c r="AK112" t="str">
        <f t="shared" si="18"/>
        <v>Mid-Level</v>
      </c>
      <c r="AL112" t="str">
        <f t="shared" si="19"/>
        <v>Low</v>
      </c>
      <c r="AM112" t="str">
        <f t="shared" si="20"/>
        <v>High</v>
      </c>
      <c r="AN112" t="str">
        <f t="shared" si="21"/>
        <v>No Options</v>
      </c>
      <c r="AO112" t="str">
        <f t="shared" si="22"/>
        <v>Good</v>
      </c>
      <c r="AP112" t="str">
        <f t="shared" si="23"/>
        <v>45-54</v>
      </c>
      <c r="AQ112" t="str">
        <f t="shared" si="24"/>
        <v>Upper-Mid</v>
      </c>
      <c r="AR112" t="str">
        <f t="shared" si="25"/>
        <v>11-20 Years</v>
      </c>
    </row>
    <row r="113" spans="1:44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46</v>
      </c>
      <c r="L113">
        <v>66</v>
      </c>
      <c r="M113">
        <v>1</v>
      </c>
      <c r="N113">
        <v>2</v>
      </c>
      <c r="O113" t="s">
        <v>50</v>
      </c>
      <c r="P113">
        <v>3</v>
      </c>
      <c r="Q113" t="s">
        <v>41</v>
      </c>
      <c r="R113">
        <v>6074</v>
      </c>
      <c r="S113">
        <v>1</v>
      </c>
      <c r="T113" t="s">
        <v>35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  <c r="AF113">
        <f t="shared" si="13"/>
        <v>1</v>
      </c>
      <c r="AG113">
        <f t="shared" si="14"/>
        <v>1</v>
      </c>
      <c r="AH113" t="str">
        <f t="shared" si="15"/>
        <v>Bachelor</v>
      </c>
      <c r="AI113" t="str">
        <f t="shared" si="16"/>
        <v>Low</v>
      </c>
      <c r="AJ113" t="str">
        <f t="shared" si="17"/>
        <v>Low</v>
      </c>
      <c r="AK113" t="str">
        <f t="shared" si="18"/>
        <v>Junior</v>
      </c>
      <c r="AL113" t="str">
        <f t="shared" si="19"/>
        <v>High</v>
      </c>
      <c r="AM113" t="str">
        <f t="shared" si="20"/>
        <v>Very High</v>
      </c>
      <c r="AN113" t="str">
        <f t="shared" si="21"/>
        <v>No Options</v>
      </c>
      <c r="AO113" t="str">
        <f t="shared" si="22"/>
        <v>Better</v>
      </c>
      <c r="AP113" t="str">
        <f t="shared" si="23"/>
        <v>25-34</v>
      </c>
      <c r="AQ113" t="str">
        <f t="shared" si="24"/>
        <v>Lower-Mid</v>
      </c>
      <c r="AR113" t="str">
        <f t="shared" si="25"/>
        <v>6-10 Years</v>
      </c>
    </row>
    <row r="114" spans="1:44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t="s">
        <v>39</v>
      </c>
      <c r="L114">
        <v>30</v>
      </c>
      <c r="M114">
        <v>4</v>
      </c>
      <c r="N114">
        <v>4</v>
      </c>
      <c r="O114" t="s">
        <v>56</v>
      </c>
      <c r="P114">
        <v>4</v>
      </c>
      <c r="Q114" t="s">
        <v>41</v>
      </c>
      <c r="R114">
        <v>17328</v>
      </c>
      <c r="S114">
        <v>2</v>
      </c>
      <c r="T114" t="s">
        <v>35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  <c r="AF114">
        <f t="shared" si="13"/>
        <v>0</v>
      </c>
      <c r="AG114">
        <f t="shared" si="14"/>
        <v>1</v>
      </c>
      <c r="AH114" t="str">
        <f t="shared" si="15"/>
        <v>Bachelor</v>
      </c>
      <c r="AI114" t="str">
        <f t="shared" si="16"/>
        <v>Very High</v>
      </c>
      <c r="AJ114" t="str">
        <f t="shared" si="17"/>
        <v>Very High</v>
      </c>
      <c r="AK114" t="str">
        <f t="shared" si="18"/>
        <v>Senior</v>
      </c>
      <c r="AL114" t="str">
        <f t="shared" si="19"/>
        <v>Very High</v>
      </c>
      <c r="AM114" t="str">
        <f t="shared" si="20"/>
        <v>High</v>
      </c>
      <c r="AN114" t="str">
        <f t="shared" si="21"/>
        <v>No Options</v>
      </c>
      <c r="AO114" t="str">
        <f t="shared" si="22"/>
        <v>Better</v>
      </c>
      <c r="AP114" t="str">
        <f t="shared" si="23"/>
        <v>45-54</v>
      </c>
      <c r="AQ114" t="str">
        <f t="shared" si="24"/>
        <v>High</v>
      </c>
      <c r="AR114" t="str">
        <f t="shared" si="25"/>
        <v>3-5 Years</v>
      </c>
    </row>
    <row r="115" spans="1:44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46</v>
      </c>
      <c r="L115">
        <v>52</v>
      </c>
      <c r="M115">
        <v>3</v>
      </c>
      <c r="N115">
        <v>1</v>
      </c>
      <c r="O115" t="s">
        <v>50</v>
      </c>
      <c r="P115">
        <v>3</v>
      </c>
      <c r="Q115" t="s">
        <v>48</v>
      </c>
      <c r="R115">
        <v>2774</v>
      </c>
      <c r="S115">
        <v>0</v>
      </c>
      <c r="T115" t="s">
        <v>43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  <c r="AF115">
        <f t="shared" si="13"/>
        <v>0</v>
      </c>
      <c r="AG115">
        <f t="shared" si="14"/>
        <v>0</v>
      </c>
      <c r="AH115" t="str">
        <f t="shared" si="15"/>
        <v>Below College</v>
      </c>
      <c r="AI115" t="str">
        <f t="shared" si="16"/>
        <v>Medium</v>
      </c>
      <c r="AJ115" t="str">
        <f t="shared" si="17"/>
        <v>High</v>
      </c>
      <c r="AK115" t="str">
        <f t="shared" si="18"/>
        <v>Entry</v>
      </c>
      <c r="AL115" t="str">
        <f t="shared" si="19"/>
        <v>High</v>
      </c>
      <c r="AM115" t="str">
        <f t="shared" si="20"/>
        <v>High</v>
      </c>
      <c r="AN115" t="str">
        <f t="shared" si="21"/>
        <v>Low</v>
      </c>
      <c r="AO115" t="str">
        <f t="shared" si="22"/>
        <v>Better</v>
      </c>
      <c r="AP115" t="str">
        <f t="shared" si="23"/>
        <v>Under 25</v>
      </c>
      <c r="AQ115" t="str">
        <f t="shared" si="24"/>
        <v>Low</v>
      </c>
      <c r="AR115" t="str">
        <f t="shared" si="25"/>
        <v>3-5 Years</v>
      </c>
    </row>
    <row r="116" spans="1:44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45</v>
      </c>
      <c r="M116">
        <v>2</v>
      </c>
      <c r="N116">
        <v>2</v>
      </c>
      <c r="O116" t="s">
        <v>47</v>
      </c>
      <c r="P116">
        <v>2</v>
      </c>
      <c r="Q116" t="s">
        <v>52</v>
      </c>
      <c r="R116">
        <v>4505</v>
      </c>
      <c r="S116">
        <v>6</v>
      </c>
      <c r="T116" t="s">
        <v>43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  <c r="AF116">
        <f t="shared" si="13"/>
        <v>0</v>
      </c>
      <c r="AG116">
        <f t="shared" si="14"/>
        <v>0</v>
      </c>
      <c r="AH116" t="str">
        <f t="shared" si="15"/>
        <v>Master</v>
      </c>
      <c r="AI116" t="str">
        <f t="shared" si="16"/>
        <v>High</v>
      </c>
      <c r="AJ116" t="str">
        <f t="shared" si="17"/>
        <v>Medium</v>
      </c>
      <c r="AK116" t="str">
        <f t="shared" si="18"/>
        <v>Junior</v>
      </c>
      <c r="AL116" t="str">
        <f t="shared" si="19"/>
        <v>Medium</v>
      </c>
      <c r="AM116" t="str">
        <f t="shared" si="20"/>
        <v>High</v>
      </c>
      <c r="AN116" t="str">
        <f t="shared" si="21"/>
        <v>Low</v>
      </c>
      <c r="AO116" t="str">
        <f t="shared" si="22"/>
        <v>Better</v>
      </c>
      <c r="AP116" t="str">
        <f t="shared" si="23"/>
        <v>25-34</v>
      </c>
      <c r="AQ116" t="str">
        <f t="shared" si="24"/>
        <v>Lower-Mid</v>
      </c>
      <c r="AR116" t="str">
        <f t="shared" si="25"/>
        <v>0-2 Years</v>
      </c>
    </row>
    <row r="117" spans="1:44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46</v>
      </c>
      <c r="L117">
        <v>87</v>
      </c>
      <c r="M117">
        <v>3</v>
      </c>
      <c r="N117">
        <v>3</v>
      </c>
      <c r="O117" t="s">
        <v>40</v>
      </c>
      <c r="P117">
        <v>4</v>
      </c>
      <c r="Q117" t="s">
        <v>41</v>
      </c>
      <c r="R117">
        <v>7428</v>
      </c>
      <c r="S117">
        <v>2</v>
      </c>
      <c r="T117" t="s">
        <v>43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  <c r="AF117">
        <f t="shared" si="13"/>
        <v>0</v>
      </c>
      <c r="AG117">
        <f t="shared" si="14"/>
        <v>0</v>
      </c>
      <c r="AH117" t="str">
        <f t="shared" si="15"/>
        <v>Bachelor</v>
      </c>
      <c r="AI117" t="str">
        <f t="shared" si="16"/>
        <v>High</v>
      </c>
      <c r="AJ117" t="str">
        <f t="shared" si="17"/>
        <v>High</v>
      </c>
      <c r="AK117" t="str">
        <f t="shared" si="18"/>
        <v>Mid-Level</v>
      </c>
      <c r="AL117" t="str">
        <f t="shared" si="19"/>
        <v>Very High</v>
      </c>
      <c r="AM117" t="str">
        <f t="shared" si="20"/>
        <v>Low</v>
      </c>
      <c r="AN117" t="str">
        <f t="shared" si="21"/>
        <v>No Options</v>
      </c>
      <c r="AO117" t="str">
        <f t="shared" si="22"/>
        <v>Better</v>
      </c>
      <c r="AP117" t="str">
        <f t="shared" si="23"/>
        <v>35-44</v>
      </c>
      <c r="AQ117" t="str">
        <f t="shared" si="24"/>
        <v>Upper-Mid</v>
      </c>
      <c r="AR117" t="str">
        <f t="shared" si="25"/>
        <v>3-5 Years</v>
      </c>
    </row>
    <row r="118" spans="1:44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39</v>
      </c>
      <c r="L118">
        <v>45</v>
      </c>
      <c r="M118">
        <v>2</v>
      </c>
      <c r="N118">
        <v>3</v>
      </c>
      <c r="O118" t="s">
        <v>56</v>
      </c>
      <c r="P118">
        <v>1</v>
      </c>
      <c r="Q118" t="s">
        <v>41</v>
      </c>
      <c r="R118">
        <v>11631</v>
      </c>
      <c r="S118">
        <v>2</v>
      </c>
      <c r="T118" t="s">
        <v>43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  <c r="AF118">
        <f t="shared" si="13"/>
        <v>0</v>
      </c>
      <c r="AG118">
        <f t="shared" si="14"/>
        <v>0</v>
      </c>
      <c r="AH118" t="str">
        <f t="shared" si="15"/>
        <v>Bachelor</v>
      </c>
      <c r="AI118" t="str">
        <f t="shared" si="16"/>
        <v>High</v>
      </c>
      <c r="AJ118" t="str">
        <f t="shared" si="17"/>
        <v>Medium</v>
      </c>
      <c r="AK118" t="str">
        <f t="shared" si="18"/>
        <v>Mid-Level</v>
      </c>
      <c r="AL118" t="str">
        <f t="shared" si="19"/>
        <v>Low</v>
      </c>
      <c r="AM118" t="str">
        <f t="shared" si="20"/>
        <v>Very High</v>
      </c>
      <c r="AN118" t="str">
        <f t="shared" si="21"/>
        <v>No Options</v>
      </c>
      <c r="AO118" t="str">
        <f t="shared" si="22"/>
        <v>Better</v>
      </c>
      <c r="AP118" t="str">
        <f t="shared" si="23"/>
        <v>25-34</v>
      </c>
      <c r="AQ118" t="str">
        <f t="shared" si="24"/>
        <v>Upper-Mid</v>
      </c>
      <c r="AR118" t="str">
        <f t="shared" si="25"/>
        <v>11-20 Years</v>
      </c>
    </row>
    <row r="119" spans="1:44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t="s">
        <v>39</v>
      </c>
      <c r="L119">
        <v>92</v>
      </c>
      <c r="M119">
        <v>3</v>
      </c>
      <c r="N119">
        <v>3</v>
      </c>
      <c r="O119" t="s">
        <v>40</v>
      </c>
      <c r="P119">
        <v>4</v>
      </c>
      <c r="Q119" t="s">
        <v>48</v>
      </c>
      <c r="R119">
        <v>9738</v>
      </c>
      <c r="S119">
        <v>0</v>
      </c>
      <c r="T119" t="s">
        <v>43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  <c r="AF119">
        <f t="shared" si="13"/>
        <v>0</v>
      </c>
      <c r="AG119">
        <f t="shared" si="14"/>
        <v>0</v>
      </c>
      <c r="AH119" t="str">
        <f t="shared" si="15"/>
        <v>College</v>
      </c>
      <c r="AI119" t="str">
        <f t="shared" si="16"/>
        <v>Medium</v>
      </c>
      <c r="AJ119" t="str">
        <f t="shared" si="17"/>
        <v>High</v>
      </c>
      <c r="AK119" t="str">
        <f t="shared" si="18"/>
        <v>Mid-Level</v>
      </c>
      <c r="AL119" t="str">
        <f t="shared" si="19"/>
        <v>Very High</v>
      </c>
      <c r="AM119" t="str">
        <f t="shared" si="20"/>
        <v>High</v>
      </c>
      <c r="AN119" t="str">
        <f t="shared" si="21"/>
        <v>Low</v>
      </c>
      <c r="AO119" t="str">
        <f t="shared" si="22"/>
        <v>Better</v>
      </c>
      <c r="AP119" t="str">
        <f t="shared" si="23"/>
        <v>35-44</v>
      </c>
      <c r="AQ119" t="str">
        <f t="shared" si="24"/>
        <v>Upper-Mid</v>
      </c>
      <c r="AR119" t="str">
        <f t="shared" si="25"/>
        <v>6-10 Years</v>
      </c>
    </row>
    <row r="120" spans="1:44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39</v>
      </c>
      <c r="M120">
        <v>3</v>
      </c>
      <c r="N120">
        <v>1</v>
      </c>
      <c r="O120" t="s">
        <v>50</v>
      </c>
      <c r="P120">
        <v>4</v>
      </c>
      <c r="Q120" t="s">
        <v>52</v>
      </c>
      <c r="R120">
        <v>2835</v>
      </c>
      <c r="S120">
        <v>5</v>
      </c>
      <c r="T120" t="s">
        <v>43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  <c r="AF120">
        <f t="shared" si="13"/>
        <v>0</v>
      </c>
      <c r="AG120">
        <f t="shared" si="14"/>
        <v>0</v>
      </c>
      <c r="AH120" t="str">
        <f t="shared" si="15"/>
        <v>College</v>
      </c>
      <c r="AI120" t="str">
        <f t="shared" si="16"/>
        <v>Low</v>
      </c>
      <c r="AJ120" t="str">
        <f t="shared" si="17"/>
        <v>High</v>
      </c>
      <c r="AK120" t="str">
        <f t="shared" si="18"/>
        <v>Entry</v>
      </c>
      <c r="AL120" t="str">
        <f t="shared" si="19"/>
        <v>Very High</v>
      </c>
      <c r="AM120" t="str">
        <f t="shared" si="20"/>
        <v>Low</v>
      </c>
      <c r="AN120" t="str">
        <f t="shared" si="21"/>
        <v>Low</v>
      </c>
      <c r="AO120" t="str">
        <f t="shared" si="22"/>
        <v>Better</v>
      </c>
      <c r="AP120" t="str">
        <f t="shared" si="23"/>
        <v>35-44</v>
      </c>
      <c r="AQ120" t="str">
        <f t="shared" si="24"/>
        <v>Low</v>
      </c>
      <c r="AR120" t="str">
        <f t="shared" si="25"/>
        <v>0-2 Years</v>
      </c>
    </row>
    <row r="121" spans="1:44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46</v>
      </c>
      <c r="L121">
        <v>92</v>
      </c>
      <c r="M121">
        <v>3</v>
      </c>
      <c r="N121">
        <v>4</v>
      </c>
      <c r="O121" t="s">
        <v>56</v>
      </c>
      <c r="P121">
        <v>4</v>
      </c>
      <c r="Q121" t="s">
        <v>48</v>
      </c>
      <c r="R121">
        <v>16959</v>
      </c>
      <c r="S121">
        <v>1</v>
      </c>
      <c r="T121" t="s">
        <v>35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  <c r="AF121">
        <f t="shared" si="13"/>
        <v>0</v>
      </c>
      <c r="AG121">
        <f t="shared" si="14"/>
        <v>1</v>
      </c>
      <c r="AH121" t="str">
        <f t="shared" si="15"/>
        <v>College</v>
      </c>
      <c r="AI121" t="str">
        <f t="shared" si="16"/>
        <v>High</v>
      </c>
      <c r="AJ121" t="str">
        <f t="shared" si="17"/>
        <v>High</v>
      </c>
      <c r="AK121" t="str">
        <f t="shared" si="18"/>
        <v>Senior</v>
      </c>
      <c r="AL121" t="str">
        <f t="shared" si="19"/>
        <v>Very High</v>
      </c>
      <c r="AM121" t="str">
        <f t="shared" si="20"/>
        <v>Very High</v>
      </c>
      <c r="AN121" t="str">
        <f t="shared" si="21"/>
        <v>Medium</v>
      </c>
      <c r="AO121" t="str">
        <f t="shared" si="22"/>
        <v>Best</v>
      </c>
      <c r="AP121" t="str">
        <f t="shared" si="23"/>
        <v>35-44</v>
      </c>
      <c r="AQ121" t="str">
        <f t="shared" si="24"/>
        <v>High</v>
      </c>
      <c r="AR121" t="str">
        <f t="shared" si="25"/>
        <v>20+ Years</v>
      </c>
    </row>
    <row r="122" spans="1:44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46</v>
      </c>
      <c r="L122">
        <v>96</v>
      </c>
      <c r="M122">
        <v>1</v>
      </c>
      <c r="N122">
        <v>1</v>
      </c>
      <c r="O122" t="s">
        <v>47</v>
      </c>
      <c r="P122">
        <v>3</v>
      </c>
      <c r="Q122" t="s">
        <v>52</v>
      </c>
      <c r="R122">
        <v>2613</v>
      </c>
      <c r="S122">
        <v>1</v>
      </c>
      <c r="T122" t="s">
        <v>43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  <c r="AF122">
        <f t="shared" si="13"/>
        <v>0</v>
      </c>
      <c r="AG122">
        <f t="shared" si="14"/>
        <v>0</v>
      </c>
      <c r="AH122" t="str">
        <f t="shared" si="15"/>
        <v>Bachelor</v>
      </c>
      <c r="AI122" t="str">
        <f t="shared" si="16"/>
        <v>Low</v>
      </c>
      <c r="AJ122" t="str">
        <f t="shared" si="17"/>
        <v>Low</v>
      </c>
      <c r="AK122" t="str">
        <f t="shared" si="18"/>
        <v>Entry</v>
      </c>
      <c r="AL122" t="str">
        <f t="shared" si="19"/>
        <v>High</v>
      </c>
      <c r="AM122" t="str">
        <f t="shared" si="20"/>
        <v>High</v>
      </c>
      <c r="AN122" t="str">
        <f t="shared" si="21"/>
        <v>High</v>
      </c>
      <c r="AO122" t="str">
        <f t="shared" si="22"/>
        <v>Good</v>
      </c>
      <c r="AP122" t="str">
        <f t="shared" si="23"/>
        <v>25-34</v>
      </c>
      <c r="AQ122" t="str">
        <f t="shared" si="24"/>
        <v>Low</v>
      </c>
      <c r="AR122" t="str">
        <f t="shared" si="25"/>
        <v>6-10 Years</v>
      </c>
    </row>
    <row r="123" spans="1:44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t="s">
        <v>46</v>
      </c>
      <c r="L123">
        <v>95</v>
      </c>
      <c r="M123">
        <v>3</v>
      </c>
      <c r="N123">
        <v>2</v>
      </c>
      <c r="O123" t="s">
        <v>40</v>
      </c>
      <c r="P123">
        <v>2</v>
      </c>
      <c r="Q123" t="s">
        <v>48</v>
      </c>
      <c r="R123">
        <v>6146</v>
      </c>
      <c r="S123">
        <v>0</v>
      </c>
      <c r="T123" t="s">
        <v>43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  <c r="AF123">
        <f t="shared" si="13"/>
        <v>0</v>
      </c>
      <c r="AG123">
        <f t="shared" si="14"/>
        <v>0</v>
      </c>
      <c r="AH123" t="str">
        <f t="shared" si="15"/>
        <v>College</v>
      </c>
      <c r="AI123" t="str">
        <f t="shared" si="16"/>
        <v>High</v>
      </c>
      <c r="AJ123" t="str">
        <f t="shared" si="17"/>
        <v>High</v>
      </c>
      <c r="AK123" t="str">
        <f t="shared" si="18"/>
        <v>Junior</v>
      </c>
      <c r="AL123" t="str">
        <f t="shared" si="19"/>
        <v>Medium</v>
      </c>
      <c r="AM123" t="str">
        <f t="shared" si="20"/>
        <v>Low</v>
      </c>
      <c r="AN123" t="str">
        <f t="shared" si="21"/>
        <v>Low</v>
      </c>
      <c r="AO123" t="str">
        <f t="shared" si="22"/>
        <v>Best</v>
      </c>
      <c r="AP123" t="str">
        <f t="shared" si="23"/>
        <v>25-34</v>
      </c>
      <c r="AQ123" t="str">
        <f t="shared" si="24"/>
        <v>Lower-Mid</v>
      </c>
      <c r="AR123" t="str">
        <f t="shared" si="25"/>
        <v>6-10 Years</v>
      </c>
    </row>
    <row r="124" spans="1:44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72</v>
      </c>
      <c r="M124">
        <v>3</v>
      </c>
      <c r="N124">
        <v>1</v>
      </c>
      <c r="O124" t="s">
        <v>47</v>
      </c>
      <c r="P124">
        <v>2</v>
      </c>
      <c r="Q124" t="s">
        <v>48</v>
      </c>
      <c r="R124">
        <v>4963</v>
      </c>
      <c r="S124">
        <v>9</v>
      </c>
      <c r="T124" t="s">
        <v>35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  <c r="AF124">
        <f t="shared" si="13"/>
        <v>1</v>
      </c>
      <c r="AG124">
        <f t="shared" si="14"/>
        <v>1</v>
      </c>
      <c r="AH124" t="str">
        <f t="shared" si="15"/>
        <v>Master</v>
      </c>
      <c r="AI124" t="str">
        <f t="shared" si="16"/>
        <v>Medium</v>
      </c>
      <c r="AJ124" t="str">
        <f t="shared" si="17"/>
        <v>High</v>
      </c>
      <c r="AK124" t="str">
        <f t="shared" si="18"/>
        <v>Entry</v>
      </c>
      <c r="AL124" t="str">
        <f t="shared" si="19"/>
        <v>Medium</v>
      </c>
      <c r="AM124" t="str">
        <f t="shared" si="20"/>
        <v>Low</v>
      </c>
      <c r="AN124" t="str">
        <f t="shared" si="21"/>
        <v>High</v>
      </c>
      <c r="AO124" t="str">
        <f t="shared" si="22"/>
        <v>Better</v>
      </c>
      <c r="AP124" t="str">
        <f t="shared" si="23"/>
        <v>55+</v>
      </c>
      <c r="AQ124" t="str">
        <f t="shared" si="24"/>
        <v>Lower-Mid</v>
      </c>
      <c r="AR124" t="str">
        <f t="shared" si="25"/>
        <v>3-5 Years</v>
      </c>
    </row>
    <row r="125" spans="1:44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46</v>
      </c>
      <c r="L125">
        <v>51</v>
      </c>
      <c r="M125">
        <v>3</v>
      </c>
      <c r="N125">
        <v>5</v>
      </c>
      <c r="O125" t="s">
        <v>58</v>
      </c>
      <c r="P125">
        <v>3</v>
      </c>
      <c r="Q125" t="s">
        <v>41</v>
      </c>
      <c r="R125">
        <v>19537</v>
      </c>
      <c r="S125">
        <v>7</v>
      </c>
      <c r="T125" t="s">
        <v>43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  <c r="AF125">
        <f t="shared" si="13"/>
        <v>0</v>
      </c>
      <c r="AG125">
        <f t="shared" si="14"/>
        <v>0</v>
      </c>
      <c r="AH125" t="str">
        <f t="shared" si="15"/>
        <v>Bachelor</v>
      </c>
      <c r="AI125" t="str">
        <f t="shared" si="16"/>
        <v>Low</v>
      </c>
      <c r="AJ125" t="str">
        <f t="shared" si="17"/>
        <v>High</v>
      </c>
      <c r="AK125" t="str">
        <f t="shared" si="18"/>
        <v>Executive</v>
      </c>
      <c r="AL125" t="str">
        <f t="shared" si="19"/>
        <v>High</v>
      </c>
      <c r="AM125" t="str">
        <f t="shared" si="20"/>
        <v>High</v>
      </c>
      <c r="AN125" t="str">
        <f t="shared" si="21"/>
        <v>No Options</v>
      </c>
      <c r="AO125" t="str">
        <f t="shared" si="22"/>
        <v>Better</v>
      </c>
      <c r="AP125" t="str">
        <f t="shared" si="23"/>
        <v>45-54</v>
      </c>
      <c r="AQ125" t="str">
        <f t="shared" si="24"/>
        <v>High</v>
      </c>
      <c r="AR125" t="str">
        <f t="shared" si="25"/>
        <v>11-20 Years</v>
      </c>
    </row>
    <row r="126" spans="1:44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46</v>
      </c>
      <c r="L126">
        <v>76</v>
      </c>
      <c r="M126">
        <v>1</v>
      </c>
      <c r="N126">
        <v>2</v>
      </c>
      <c r="O126" t="s">
        <v>40</v>
      </c>
      <c r="P126">
        <v>3</v>
      </c>
      <c r="Q126" t="s">
        <v>48</v>
      </c>
      <c r="R126">
        <v>6172</v>
      </c>
      <c r="S126">
        <v>4</v>
      </c>
      <c r="T126" t="s">
        <v>35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  <c r="AF126">
        <f t="shared" si="13"/>
        <v>1</v>
      </c>
      <c r="AG126">
        <f t="shared" si="14"/>
        <v>1</v>
      </c>
      <c r="AH126" t="str">
        <f t="shared" si="15"/>
        <v>Master</v>
      </c>
      <c r="AI126" t="str">
        <f t="shared" si="16"/>
        <v>Medium</v>
      </c>
      <c r="AJ126" t="str">
        <f t="shared" si="17"/>
        <v>Low</v>
      </c>
      <c r="AK126" t="str">
        <f t="shared" si="18"/>
        <v>Junior</v>
      </c>
      <c r="AL126" t="str">
        <f t="shared" si="19"/>
        <v>High</v>
      </c>
      <c r="AM126" t="str">
        <f t="shared" si="20"/>
        <v>Medium</v>
      </c>
      <c r="AN126" t="str">
        <f t="shared" si="21"/>
        <v>No Options</v>
      </c>
      <c r="AO126" t="str">
        <f t="shared" si="22"/>
        <v>Good</v>
      </c>
      <c r="AP126" t="str">
        <f t="shared" si="23"/>
        <v>25-34</v>
      </c>
      <c r="AQ126" t="str">
        <f t="shared" si="24"/>
        <v>Lower-Mid</v>
      </c>
      <c r="AR126" t="str">
        <f t="shared" si="25"/>
        <v>6-10 Years</v>
      </c>
    </row>
    <row r="127" spans="1:44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39</v>
      </c>
      <c r="L127">
        <v>46</v>
      </c>
      <c r="M127">
        <v>2</v>
      </c>
      <c r="N127">
        <v>1</v>
      </c>
      <c r="O127" t="s">
        <v>47</v>
      </c>
      <c r="P127">
        <v>2</v>
      </c>
      <c r="Q127" t="s">
        <v>48</v>
      </c>
      <c r="R127">
        <v>2368</v>
      </c>
      <c r="S127">
        <v>1</v>
      </c>
      <c r="T127" t="s">
        <v>43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  <c r="AF127">
        <f t="shared" si="13"/>
        <v>0</v>
      </c>
      <c r="AG127">
        <f t="shared" si="14"/>
        <v>0</v>
      </c>
      <c r="AH127" t="str">
        <f t="shared" si="15"/>
        <v>Bachelor</v>
      </c>
      <c r="AI127" t="str">
        <f t="shared" si="16"/>
        <v>High</v>
      </c>
      <c r="AJ127" t="str">
        <f t="shared" si="17"/>
        <v>Medium</v>
      </c>
      <c r="AK127" t="str">
        <f t="shared" si="18"/>
        <v>Entry</v>
      </c>
      <c r="AL127" t="str">
        <f t="shared" si="19"/>
        <v>Medium</v>
      </c>
      <c r="AM127" t="str">
        <f t="shared" si="20"/>
        <v>High</v>
      </c>
      <c r="AN127" t="str">
        <f t="shared" si="21"/>
        <v>No Options</v>
      </c>
      <c r="AO127" t="str">
        <f t="shared" si="22"/>
        <v>Good</v>
      </c>
      <c r="AP127" t="str">
        <f t="shared" si="23"/>
        <v>25-34</v>
      </c>
      <c r="AQ127" t="str">
        <f t="shared" si="24"/>
        <v>Low</v>
      </c>
      <c r="AR127" t="str">
        <f t="shared" si="25"/>
        <v>3-5 Years</v>
      </c>
    </row>
    <row r="128" spans="1:44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39</v>
      </c>
      <c r="L128">
        <v>94</v>
      </c>
      <c r="M128">
        <v>3</v>
      </c>
      <c r="N128">
        <v>3</v>
      </c>
      <c r="O128" t="s">
        <v>54</v>
      </c>
      <c r="P128">
        <v>4</v>
      </c>
      <c r="Q128" t="s">
        <v>48</v>
      </c>
      <c r="R128">
        <v>10312</v>
      </c>
      <c r="S128">
        <v>1</v>
      </c>
      <c r="T128" t="s">
        <v>43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  <c r="AF128">
        <f t="shared" si="13"/>
        <v>1</v>
      </c>
      <c r="AG128">
        <f t="shared" si="14"/>
        <v>0</v>
      </c>
      <c r="AH128" t="str">
        <f t="shared" si="15"/>
        <v>Master</v>
      </c>
      <c r="AI128" t="str">
        <f t="shared" si="16"/>
        <v>Very High</v>
      </c>
      <c r="AJ128" t="str">
        <f t="shared" si="17"/>
        <v>High</v>
      </c>
      <c r="AK128" t="str">
        <f t="shared" si="18"/>
        <v>Mid-Level</v>
      </c>
      <c r="AL128" t="str">
        <f t="shared" si="19"/>
        <v>Very High</v>
      </c>
      <c r="AM128" t="str">
        <f t="shared" si="20"/>
        <v>Very High</v>
      </c>
      <c r="AN128" t="str">
        <f t="shared" si="21"/>
        <v>Low</v>
      </c>
      <c r="AO128" t="str">
        <f t="shared" si="22"/>
        <v>Good</v>
      </c>
      <c r="AP128" t="str">
        <f t="shared" si="23"/>
        <v>55+</v>
      </c>
      <c r="AQ128" t="str">
        <f t="shared" si="24"/>
        <v>Upper-Mid</v>
      </c>
      <c r="AR128" t="str">
        <f t="shared" si="25"/>
        <v>20+ Years</v>
      </c>
    </row>
    <row r="129" spans="1:44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t="s">
        <v>46</v>
      </c>
      <c r="L129">
        <v>50</v>
      </c>
      <c r="M129">
        <v>3</v>
      </c>
      <c r="N129">
        <v>1</v>
      </c>
      <c r="O129" t="s">
        <v>57</v>
      </c>
      <c r="P129">
        <v>3</v>
      </c>
      <c r="Q129" t="s">
        <v>41</v>
      </c>
      <c r="R129">
        <v>1675</v>
      </c>
      <c r="S129">
        <v>1</v>
      </c>
      <c r="T129" t="s">
        <v>35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  <c r="AF129">
        <f t="shared" si="13"/>
        <v>1</v>
      </c>
      <c r="AG129">
        <f t="shared" si="14"/>
        <v>1</v>
      </c>
      <c r="AH129" t="str">
        <f t="shared" si="15"/>
        <v>Below College</v>
      </c>
      <c r="AI129" t="str">
        <f t="shared" si="16"/>
        <v>Very High</v>
      </c>
      <c r="AJ129" t="str">
        <f t="shared" si="17"/>
        <v>High</v>
      </c>
      <c r="AK129" t="str">
        <f t="shared" si="18"/>
        <v>Entry</v>
      </c>
      <c r="AL129" t="str">
        <f t="shared" si="19"/>
        <v>High</v>
      </c>
      <c r="AM129" t="str">
        <f t="shared" si="20"/>
        <v>Very High</v>
      </c>
      <c r="AN129" t="str">
        <f t="shared" si="21"/>
        <v>No Options</v>
      </c>
      <c r="AO129" t="str">
        <f t="shared" si="22"/>
        <v>Good</v>
      </c>
      <c r="AP129" t="str">
        <f t="shared" si="23"/>
        <v>Under 25</v>
      </c>
      <c r="AQ129" t="str">
        <f t="shared" si="24"/>
        <v>Low</v>
      </c>
      <c r="AR129" t="str">
        <f t="shared" si="25"/>
        <v>0-2 Years</v>
      </c>
    </row>
    <row r="130" spans="1:44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t="s">
        <v>46</v>
      </c>
      <c r="L130">
        <v>100</v>
      </c>
      <c r="M130">
        <v>3</v>
      </c>
      <c r="N130">
        <v>1</v>
      </c>
      <c r="O130" t="s">
        <v>50</v>
      </c>
      <c r="P130">
        <v>4</v>
      </c>
      <c r="Q130" t="s">
        <v>48</v>
      </c>
      <c r="R130">
        <v>2523</v>
      </c>
      <c r="S130">
        <v>0</v>
      </c>
      <c r="T130" t="s">
        <v>43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  <c r="AF130">
        <f t="shared" si="13"/>
        <v>0</v>
      </c>
      <c r="AG130">
        <f t="shared" si="14"/>
        <v>0</v>
      </c>
      <c r="AH130" t="str">
        <f t="shared" si="15"/>
        <v>Below College</v>
      </c>
      <c r="AI130" t="str">
        <f t="shared" si="16"/>
        <v>High</v>
      </c>
      <c r="AJ130" t="str">
        <f t="shared" si="17"/>
        <v>High</v>
      </c>
      <c r="AK130" t="str">
        <f t="shared" si="18"/>
        <v>Entry</v>
      </c>
      <c r="AL130" t="str">
        <f t="shared" si="19"/>
        <v>Very High</v>
      </c>
      <c r="AM130" t="str">
        <f t="shared" si="20"/>
        <v>High</v>
      </c>
      <c r="AN130" t="str">
        <f t="shared" si="21"/>
        <v>Low</v>
      </c>
      <c r="AO130" t="str">
        <f t="shared" si="22"/>
        <v>Better</v>
      </c>
      <c r="AP130" t="str">
        <f t="shared" si="23"/>
        <v>Under 25</v>
      </c>
      <c r="AQ130" t="str">
        <f t="shared" si="24"/>
        <v>Low</v>
      </c>
      <c r="AR130" t="str">
        <f t="shared" si="25"/>
        <v>0-2 Years</v>
      </c>
    </row>
    <row r="131" spans="1:44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39</v>
      </c>
      <c r="L131">
        <v>96</v>
      </c>
      <c r="M131">
        <v>3</v>
      </c>
      <c r="N131">
        <v>2</v>
      </c>
      <c r="O131" t="s">
        <v>53</v>
      </c>
      <c r="P131">
        <v>1</v>
      </c>
      <c r="Q131" t="s">
        <v>48</v>
      </c>
      <c r="R131">
        <v>6567</v>
      </c>
      <c r="S131">
        <v>1</v>
      </c>
      <c r="T131" t="s">
        <v>43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  <c r="AF131">
        <f t="shared" ref="AF131:AF194" si="26">IF(B131="Yes",1,0)</f>
        <v>0</v>
      </c>
      <c r="AG131">
        <f t="shared" ref="AG131:AG194" si="27">IF(T131="Yes",1,0)</f>
        <v>0</v>
      </c>
      <c r="AH131" t="str">
        <f t="shared" ref="AH131:AH194" si="28">CHOOSE(G131,"Below College","College","Bachelor","Master","Doctor")</f>
        <v>Master</v>
      </c>
      <c r="AI131" t="str">
        <f t="shared" ref="AI131:AI194" si="29">CHOOSE(J131,"Low","Medium","High","Very High")</f>
        <v>High</v>
      </c>
      <c r="AJ131" t="str">
        <f t="shared" ref="AJ131:AJ194" si="30">CHOOSE(M131,"Low","Medium","High","Very High")</f>
        <v>High</v>
      </c>
      <c r="AK131" t="str">
        <f t="shared" ref="AK131:AK194" si="31">CHOOSE(N131,"Entry","Junior","Mid-Level","Senior","Executive")</f>
        <v>Junior</v>
      </c>
      <c r="AL131" t="str">
        <f t="shared" ref="AL131:AL194" si="32">CHOOSE(P131,"Low","Medium","High","Very High")</f>
        <v>Low</v>
      </c>
      <c r="AM131" t="str">
        <f t="shared" ref="AM131:AM194" si="33">CHOOSE(W131,"Low","Medium","High","Very High")</f>
        <v>High</v>
      </c>
      <c r="AN131" t="str">
        <f t="shared" ref="AN131:AN194" si="34">CHOOSE(X131+1,"No Options","Low","Medium","High")</f>
        <v>No Options</v>
      </c>
      <c r="AO131" t="str">
        <f t="shared" ref="AO131:AO194" si="35">CHOOSE(AA131,"Bad","Good","Better","Best")</f>
        <v>Good</v>
      </c>
      <c r="AP131" t="str">
        <f t="shared" ref="AP131:AP194" si="36">IF(A131&lt;=24,"Under 25",IF(A131&lt;=34,"25-34",IF(A131&lt;=44,"35-44",IF(A131&lt;=54,"45-54","55+"))))</f>
        <v>45-54</v>
      </c>
      <c r="AQ131" t="str">
        <f t="shared" ref="AQ131:AQ194" si="37">IF(R131&lt;3000,"Low",IF(R131&lt;7000,"Lower-Mid",IF(R131&lt;13000,"Upper-Mid","High")))</f>
        <v>Lower-Mid</v>
      </c>
      <c r="AR131" t="str">
        <f t="shared" ref="AR131:AR194" si="38">IF(AB131&lt;=2,"0-2 Years",IF(AB131&lt;=5,"3-5 Years",IF(AB131&lt;=10,"6-10 Years",IF(AB131&lt;=20,"11-20 Years","20+ Years"))))</f>
        <v>11-20 Years</v>
      </c>
    </row>
    <row r="132" spans="1:44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39</v>
      </c>
      <c r="L132">
        <v>72</v>
      </c>
      <c r="M132">
        <v>4</v>
      </c>
      <c r="N132">
        <v>1</v>
      </c>
      <c r="O132" t="s">
        <v>47</v>
      </c>
      <c r="P132">
        <v>3</v>
      </c>
      <c r="Q132" t="s">
        <v>41</v>
      </c>
      <c r="R132">
        <v>4739</v>
      </c>
      <c r="S132">
        <v>4</v>
      </c>
      <c r="T132" t="s">
        <v>43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  <c r="AF132">
        <f t="shared" si="26"/>
        <v>0</v>
      </c>
      <c r="AG132">
        <f t="shared" si="27"/>
        <v>0</v>
      </c>
      <c r="AH132" t="str">
        <f t="shared" si="28"/>
        <v>Bachelor</v>
      </c>
      <c r="AI132" t="str">
        <f t="shared" si="29"/>
        <v>Medium</v>
      </c>
      <c r="AJ132" t="str">
        <f t="shared" si="30"/>
        <v>Very High</v>
      </c>
      <c r="AK132" t="str">
        <f t="shared" si="31"/>
        <v>Entry</v>
      </c>
      <c r="AL132" t="str">
        <f t="shared" si="32"/>
        <v>High</v>
      </c>
      <c r="AM132" t="str">
        <f t="shared" si="33"/>
        <v>Very High</v>
      </c>
      <c r="AN132" t="str">
        <f t="shared" si="34"/>
        <v>No Options</v>
      </c>
      <c r="AO132" t="str">
        <f t="shared" si="35"/>
        <v>Better</v>
      </c>
      <c r="AP132" t="str">
        <f t="shared" si="36"/>
        <v>35-44</v>
      </c>
      <c r="AQ132" t="str">
        <f t="shared" si="37"/>
        <v>Lower-Mid</v>
      </c>
      <c r="AR132" t="str">
        <f t="shared" si="38"/>
        <v>3-5 Years</v>
      </c>
    </row>
    <row r="133" spans="1:44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t="s">
        <v>39</v>
      </c>
      <c r="L133">
        <v>77</v>
      </c>
      <c r="M133">
        <v>3</v>
      </c>
      <c r="N133">
        <v>3</v>
      </c>
      <c r="O133" t="s">
        <v>40</v>
      </c>
      <c r="P133">
        <v>4</v>
      </c>
      <c r="Q133" t="s">
        <v>41</v>
      </c>
      <c r="R133">
        <v>9208</v>
      </c>
      <c r="S133">
        <v>4</v>
      </c>
      <c r="T133" t="s">
        <v>43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  <c r="AF133">
        <f t="shared" si="26"/>
        <v>0</v>
      </c>
      <c r="AG133">
        <f t="shared" si="27"/>
        <v>0</v>
      </c>
      <c r="AH133" t="str">
        <f t="shared" si="28"/>
        <v>Bachelor</v>
      </c>
      <c r="AI133" t="str">
        <f t="shared" si="29"/>
        <v>High</v>
      </c>
      <c r="AJ133" t="str">
        <f t="shared" si="30"/>
        <v>High</v>
      </c>
      <c r="AK133" t="str">
        <f t="shared" si="31"/>
        <v>Mid-Level</v>
      </c>
      <c r="AL133" t="str">
        <f t="shared" si="32"/>
        <v>Very High</v>
      </c>
      <c r="AM133" t="str">
        <f t="shared" si="33"/>
        <v>Very High</v>
      </c>
      <c r="AN133" t="str">
        <f t="shared" si="34"/>
        <v>No Options</v>
      </c>
      <c r="AO133" t="str">
        <f t="shared" si="35"/>
        <v>Better</v>
      </c>
      <c r="AP133" t="str">
        <f t="shared" si="36"/>
        <v>45-54</v>
      </c>
      <c r="AQ133" t="str">
        <f t="shared" si="37"/>
        <v>Upper-Mid</v>
      </c>
      <c r="AR133" t="str">
        <f t="shared" si="38"/>
        <v>0-2 Years</v>
      </c>
    </row>
    <row r="134" spans="1:44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71</v>
      </c>
      <c r="M134">
        <v>1</v>
      </c>
      <c r="N134">
        <v>2</v>
      </c>
      <c r="O134" t="s">
        <v>40</v>
      </c>
      <c r="P134">
        <v>3</v>
      </c>
      <c r="Q134" t="s">
        <v>48</v>
      </c>
      <c r="R134">
        <v>4559</v>
      </c>
      <c r="S134">
        <v>3</v>
      </c>
      <c r="T134" t="s">
        <v>35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  <c r="AF134">
        <f t="shared" si="26"/>
        <v>1</v>
      </c>
      <c r="AG134">
        <f t="shared" si="27"/>
        <v>1</v>
      </c>
      <c r="AH134" t="str">
        <f t="shared" si="28"/>
        <v>Bachelor</v>
      </c>
      <c r="AI134" t="str">
        <f t="shared" si="29"/>
        <v>Medium</v>
      </c>
      <c r="AJ134" t="str">
        <f t="shared" si="30"/>
        <v>Low</v>
      </c>
      <c r="AK134" t="str">
        <f t="shared" si="31"/>
        <v>Junior</v>
      </c>
      <c r="AL134" t="str">
        <f t="shared" si="32"/>
        <v>High</v>
      </c>
      <c r="AM134" t="str">
        <f t="shared" si="33"/>
        <v>High</v>
      </c>
      <c r="AN134" t="str">
        <f t="shared" si="34"/>
        <v>Low</v>
      </c>
      <c r="AO134" t="str">
        <f t="shared" si="35"/>
        <v>Better</v>
      </c>
      <c r="AP134" t="str">
        <f t="shared" si="36"/>
        <v>25-34</v>
      </c>
      <c r="AQ134" t="str">
        <f t="shared" si="37"/>
        <v>Lower-Mid</v>
      </c>
      <c r="AR134" t="str">
        <f t="shared" si="38"/>
        <v>0-2 Years</v>
      </c>
    </row>
    <row r="135" spans="1:44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46</v>
      </c>
      <c r="L135">
        <v>96</v>
      </c>
      <c r="M135">
        <v>3</v>
      </c>
      <c r="N135">
        <v>3</v>
      </c>
      <c r="O135" t="s">
        <v>40</v>
      </c>
      <c r="P135">
        <v>3</v>
      </c>
      <c r="Q135" t="s">
        <v>52</v>
      </c>
      <c r="R135">
        <v>8189</v>
      </c>
      <c r="S135">
        <v>3</v>
      </c>
      <c r="T135" t="s">
        <v>35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  <c r="AF135">
        <f t="shared" si="26"/>
        <v>0</v>
      </c>
      <c r="AG135">
        <f t="shared" si="27"/>
        <v>1</v>
      </c>
      <c r="AH135" t="str">
        <f t="shared" si="28"/>
        <v>Below College</v>
      </c>
      <c r="AI135" t="str">
        <f t="shared" si="29"/>
        <v>High</v>
      </c>
      <c r="AJ135" t="str">
        <f t="shared" si="30"/>
        <v>High</v>
      </c>
      <c r="AK135" t="str">
        <f t="shared" si="31"/>
        <v>Mid-Level</v>
      </c>
      <c r="AL135" t="str">
        <f t="shared" si="32"/>
        <v>High</v>
      </c>
      <c r="AM135" t="str">
        <f t="shared" si="33"/>
        <v>High</v>
      </c>
      <c r="AN135" t="str">
        <f t="shared" si="34"/>
        <v>Low</v>
      </c>
      <c r="AO135" t="str">
        <f t="shared" si="35"/>
        <v>Better</v>
      </c>
      <c r="AP135" t="str">
        <f t="shared" si="36"/>
        <v>35-44</v>
      </c>
      <c r="AQ135" t="str">
        <f t="shared" si="37"/>
        <v>Upper-Mid</v>
      </c>
      <c r="AR135" t="str">
        <f t="shared" si="38"/>
        <v>6-10 Years</v>
      </c>
    </row>
    <row r="136" spans="1:44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61</v>
      </c>
      <c r="M136">
        <v>3</v>
      </c>
      <c r="N136">
        <v>1</v>
      </c>
      <c r="O136" t="s">
        <v>61</v>
      </c>
      <c r="P136">
        <v>3</v>
      </c>
      <c r="Q136" t="s">
        <v>48</v>
      </c>
      <c r="R136">
        <v>2942</v>
      </c>
      <c r="S136">
        <v>1</v>
      </c>
      <c r="T136" t="s">
        <v>43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  <c r="AF136">
        <f t="shared" si="26"/>
        <v>0</v>
      </c>
      <c r="AG136">
        <f t="shared" si="27"/>
        <v>0</v>
      </c>
      <c r="AH136" t="str">
        <f t="shared" si="28"/>
        <v>Below College</v>
      </c>
      <c r="AI136" t="str">
        <f t="shared" si="29"/>
        <v>High</v>
      </c>
      <c r="AJ136" t="str">
        <f t="shared" si="30"/>
        <v>High</v>
      </c>
      <c r="AK136" t="str">
        <f t="shared" si="31"/>
        <v>Entry</v>
      </c>
      <c r="AL136" t="str">
        <f t="shared" si="32"/>
        <v>High</v>
      </c>
      <c r="AM136" t="str">
        <f t="shared" si="33"/>
        <v>Very High</v>
      </c>
      <c r="AN136" t="str">
        <f t="shared" si="34"/>
        <v>Low</v>
      </c>
      <c r="AO136" t="str">
        <f t="shared" si="35"/>
        <v>Better</v>
      </c>
      <c r="AP136" t="str">
        <f t="shared" si="36"/>
        <v>25-34</v>
      </c>
      <c r="AQ136" t="str">
        <f t="shared" si="37"/>
        <v>Low</v>
      </c>
      <c r="AR136" t="str">
        <f t="shared" si="38"/>
        <v>6-10 Years</v>
      </c>
    </row>
    <row r="137" spans="1:44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46</v>
      </c>
      <c r="L137">
        <v>84</v>
      </c>
      <c r="M137">
        <v>3</v>
      </c>
      <c r="N137">
        <v>2</v>
      </c>
      <c r="O137" t="s">
        <v>53</v>
      </c>
      <c r="P137">
        <v>2</v>
      </c>
      <c r="Q137" t="s">
        <v>52</v>
      </c>
      <c r="R137">
        <v>4941</v>
      </c>
      <c r="S137">
        <v>6</v>
      </c>
      <c r="T137" t="s">
        <v>43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  <c r="AF137">
        <f t="shared" si="26"/>
        <v>0</v>
      </c>
      <c r="AG137">
        <f t="shared" si="27"/>
        <v>0</v>
      </c>
      <c r="AH137" t="str">
        <f t="shared" si="28"/>
        <v>College</v>
      </c>
      <c r="AI137" t="str">
        <f t="shared" si="29"/>
        <v>Medium</v>
      </c>
      <c r="AJ137" t="str">
        <f t="shared" si="30"/>
        <v>High</v>
      </c>
      <c r="AK137" t="str">
        <f t="shared" si="31"/>
        <v>Junior</v>
      </c>
      <c r="AL137" t="str">
        <f t="shared" si="32"/>
        <v>Medium</v>
      </c>
      <c r="AM137" t="str">
        <f t="shared" si="33"/>
        <v>Very High</v>
      </c>
      <c r="AN137" t="str">
        <f t="shared" si="34"/>
        <v>Medium</v>
      </c>
      <c r="AO137" t="str">
        <f t="shared" si="35"/>
        <v>Better</v>
      </c>
      <c r="AP137" t="str">
        <f t="shared" si="36"/>
        <v>35-44</v>
      </c>
      <c r="AQ137" t="str">
        <f t="shared" si="37"/>
        <v>Lower-Mid</v>
      </c>
      <c r="AR137" t="str">
        <f t="shared" si="38"/>
        <v>3-5 Years</v>
      </c>
    </row>
    <row r="138" spans="1:44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46</v>
      </c>
      <c r="L138">
        <v>53</v>
      </c>
      <c r="M138">
        <v>1</v>
      </c>
      <c r="N138">
        <v>3</v>
      </c>
      <c r="O138" t="s">
        <v>53</v>
      </c>
      <c r="P138">
        <v>4</v>
      </c>
      <c r="Q138" t="s">
        <v>41</v>
      </c>
      <c r="R138">
        <v>10650</v>
      </c>
      <c r="S138">
        <v>2</v>
      </c>
      <c r="T138" t="s">
        <v>43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  <c r="AF138">
        <f t="shared" si="26"/>
        <v>1</v>
      </c>
      <c r="AG138">
        <f t="shared" si="27"/>
        <v>0</v>
      </c>
      <c r="AH138" t="str">
        <f t="shared" si="28"/>
        <v>Master</v>
      </c>
      <c r="AI138" t="str">
        <f t="shared" si="29"/>
        <v>Low</v>
      </c>
      <c r="AJ138" t="str">
        <f t="shared" si="30"/>
        <v>Low</v>
      </c>
      <c r="AK138" t="str">
        <f t="shared" si="31"/>
        <v>Mid-Level</v>
      </c>
      <c r="AL138" t="str">
        <f t="shared" si="32"/>
        <v>Very High</v>
      </c>
      <c r="AM138" t="str">
        <f t="shared" si="33"/>
        <v>Very High</v>
      </c>
      <c r="AN138" t="str">
        <f t="shared" si="34"/>
        <v>No Options</v>
      </c>
      <c r="AO138" t="str">
        <f t="shared" si="35"/>
        <v>Better</v>
      </c>
      <c r="AP138" t="str">
        <f t="shared" si="36"/>
        <v>45-54</v>
      </c>
      <c r="AQ138" t="str">
        <f t="shared" si="37"/>
        <v>Upper-Mid</v>
      </c>
      <c r="AR138" t="str">
        <f t="shared" si="38"/>
        <v>3-5 Years</v>
      </c>
    </row>
    <row r="139" spans="1:44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47</v>
      </c>
      <c r="M139">
        <v>2</v>
      </c>
      <c r="N139">
        <v>2</v>
      </c>
      <c r="O139" t="s">
        <v>40</v>
      </c>
      <c r="P139">
        <v>3</v>
      </c>
      <c r="Q139" t="s">
        <v>48</v>
      </c>
      <c r="R139">
        <v>5902</v>
      </c>
      <c r="S139">
        <v>4</v>
      </c>
      <c r="T139" t="s">
        <v>43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  <c r="AF139">
        <f t="shared" si="26"/>
        <v>0</v>
      </c>
      <c r="AG139">
        <f t="shared" si="27"/>
        <v>0</v>
      </c>
      <c r="AH139" t="str">
        <f t="shared" si="28"/>
        <v>Master</v>
      </c>
      <c r="AI139" t="str">
        <f t="shared" si="29"/>
        <v>Very High</v>
      </c>
      <c r="AJ139" t="str">
        <f t="shared" si="30"/>
        <v>Medium</v>
      </c>
      <c r="AK139" t="str">
        <f t="shared" si="31"/>
        <v>Junior</v>
      </c>
      <c r="AL139" t="str">
        <f t="shared" si="32"/>
        <v>High</v>
      </c>
      <c r="AM139" t="str">
        <f t="shared" si="33"/>
        <v>High</v>
      </c>
      <c r="AN139" t="str">
        <f t="shared" si="34"/>
        <v>Low</v>
      </c>
      <c r="AO139" t="str">
        <f t="shared" si="35"/>
        <v>Best</v>
      </c>
      <c r="AP139" t="str">
        <f t="shared" si="36"/>
        <v>35-44</v>
      </c>
      <c r="AQ139" t="str">
        <f t="shared" si="37"/>
        <v>Lower-Mid</v>
      </c>
      <c r="AR139" t="str">
        <f t="shared" si="38"/>
        <v>11-20 Years</v>
      </c>
    </row>
    <row r="140" spans="1:44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46</v>
      </c>
      <c r="L140">
        <v>41</v>
      </c>
      <c r="M140">
        <v>2</v>
      </c>
      <c r="N140">
        <v>2</v>
      </c>
      <c r="O140" t="s">
        <v>40</v>
      </c>
      <c r="P140">
        <v>3</v>
      </c>
      <c r="Q140" t="s">
        <v>48</v>
      </c>
      <c r="R140">
        <v>8639</v>
      </c>
      <c r="S140">
        <v>2</v>
      </c>
      <c r="T140" t="s">
        <v>43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  <c r="AF140">
        <f t="shared" si="26"/>
        <v>0</v>
      </c>
      <c r="AG140">
        <f t="shared" si="27"/>
        <v>0</v>
      </c>
      <c r="AH140" t="str">
        <f t="shared" si="28"/>
        <v>Bachelor</v>
      </c>
      <c r="AI140" t="str">
        <f t="shared" si="29"/>
        <v>Low</v>
      </c>
      <c r="AJ140" t="str">
        <f t="shared" si="30"/>
        <v>Medium</v>
      </c>
      <c r="AK140" t="str">
        <f t="shared" si="31"/>
        <v>Junior</v>
      </c>
      <c r="AL140" t="str">
        <f t="shared" si="32"/>
        <v>High</v>
      </c>
      <c r="AM140" t="str">
        <f t="shared" si="33"/>
        <v>Very High</v>
      </c>
      <c r="AN140" t="str">
        <f t="shared" si="34"/>
        <v>No Options</v>
      </c>
      <c r="AO140" t="str">
        <f t="shared" si="35"/>
        <v>Better</v>
      </c>
      <c r="AP140" t="str">
        <f t="shared" si="36"/>
        <v>25-34</v>
      </c>
      <c r="AQ140" t="str">
        <f t="shared" si="37"/>
        <v>Upper-Mid</v>
      </c>
      <c r="AR140" t="str">
        <f t="shared" si="38"/>
        <v>0-2 Years</v>
      </c>
    </row>
    <row r="141" spans="1:44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t="s">
        <v>46</v>
      </c>
      <c r="L141">
        <v>48</v>
      </c>
      <c r="M141">
        <v>3</v>
      </c>
      <c r="N141">
        <v>2</v>
      </c>
      <c r="O141" t="s">
        <v>61</v>
      </c>
      <c r="P141">
        <v>4</v>
      </c>
      <c r="Q141" t="s">
        <v>48</v>
      </c>
      <c r="R141">
        <v>6347</v>
      </c>
      <c r="S141">
        <v>0</v>
      </c>
      <c r="T141" t="s">
        <v>35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  <c r="AF141">
        <f t="shared" si="26"/>
        <v>0</v>
      </c>
      <c r="AG141">
        <f t="shared" si="27"/>
        <v>1</v>
      </c>
      <c r="AH141" t="str">
        <f t="shared" si="28"/>
        <v>Bachelor</v>
      </c>
      <c r="AI141" t="str">
        <f t="shared" si="29"/>
        <v>High</v>
      </c>
      <c r="AJ141" t="str">
        <f t="shared" si="30"/>
        <v>High</v>
      </c>
      <c r="AK141" t="str">
        <f t="shared" si="31"/>
        <v>Junior</v>
      </c>
      <c r="AL141" t="str">
        <f t="shared" si="32"/>
        <v>Very High</v>
      </c>
      <c r="AM141" t="str">
        <f t="shared" si="33"/>
        <v>Very High</v>
      </c>
      <c r="AN141" t="str">
        <f t="shared" si="34"/>
        <v>No Options</v>
      </c>
      <c r="AO141" t="str">
        <f t="shared" si="35"/>
        <v>Bad</v>
      </c>
      <c r="AP141" t="str">
        <f t="shared" si="36"/>
        <v>25-34</v>
      </c>
      <c r="AQ141" t="str">
        <f t="shared" si="37"/>
        <v>Lower-Mid</v>
      </c>
      <c r="AR141" t="str">
        <f t="shared" si="38"/>
        <v>11-20 Years</v>
      </c>
    </row>
    <row r="142" spans="1:44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39</v>
      </c>
      <c r="L142">
        <v>41</v>
      </c>
      <c r="M142">
        <v>3</v>
      </c>
      <c r="N142">
        <v>1</v>
      </c>
      <c r="O142" t="s">
        <v>50</v>
      </c>
      <c r="P142">
        <v>1</v>
      </c>
      <c r="Q142" t="s">
        <v>41</v>
      </c>
      <c r="R142">
        <v>4200</v>
      </c>
      <c r="S142">
        <v>7</v>
      </c>
      <c r="T142" t="s">
        <v>43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  <c r="AF142">
        <f t="shared" si="26"/>
        <v>1</v>
      </c>
      <c r="AG142">
        <f t="shared" si="27"/>
        <v>0</v>
      </c>
      <c r="AH142" t="str">
        <f t="shared" si="28"/>
        <v>Bachelor</v>
      </c>
      <c r="AI142" t="str">
        <f t="shared" si="29"/>
        <v>Low</v>
      </c>
      <c r="AJ142" t="str">
        <f t="shared" si="30"/>
        <v>High</v>
      </c>
      <c r="AK142" t="str">
        <f t="shared" si="31"/>
        <v>Entry</v>
      </c>
      <c r="AL142" t="str">
        <f t="shared" si="32"/>
        <v>Low</v>
      </c>
      <c r="AM142" t="str">
        <f t="shared" si="33"/>
        <v>Low</v>
      </c>
      <c r="AN142" t="str">
        <f t="shared" si="34"/>
        <v>No Options</v>
      </c>
      <c r="AO142" t="str">
        <f t="shared" si="35"/>
        <v>Best</v>
      </c>
      <c r="AP142" t="str">
        <f t="shared" si="36"/>
        <v>25-34</v>
      </c>
      <c r="AQ142" t="str">
        <f t="shared" si="37"/>
        <v>Lower-Mid</v>
      </c>
      <c r="AR142" t="str">
        <f t="shared" si="38"/>
        <v>3-5 Years</v>
      </c>
    </row>
    <row r="143" spans="1:44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46</v>
      </c>
      <c r="L143">
        <v>83</v>
      </c>
      <c r="M143">
        <v>3</v>
      </c>
      <c r="N143">
        <v>1</v>
      </c>
      <c r="O143" t="s">
        <v>47</v>
      </c>
      <c r="P143">
        <v>4</v>
      </c>
      <c r="Q143" t="s">
        <v>41</v>
      </c>
      <c r="R143">
        <v>3452</v>
      </c>
      <c r="S143">
        <v>5</v>
      </c>
      <c r="T143" t="s">
        <v>43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  <c r="AF143">
        <f t="shared" si="26"/>
        <v>0</v>
      </c>
      <c r="AG143">
        <f t="shared" si="27"/>
        <v>0</v>
      </c>
      <c r="AH143" t="str">
        <f t="shared" si="28"/>
        <v>Bachelor</v>
      </c>
      <c r="AI143" t="str">
        <f t="shared" si="29"/>
        <v>High</v>
      </c>
      <c r="AJ143" t="str">
        <f t="shared" si="30"/>
        <v>High</v>
      </c>
      <c r="AK143" t="str">
        <f t="shared" si="31"/>
        <v>Entry</v>
      </c>
      <c r="AL143" t="str">
        <f t="shared" si="32"/>
        <v>Very High</v>
      </c>
      <c r="AM143" t="str">
        <f t="shared" si="33"/>
        <v>Medium</v>
      </c>
      <c r="AN143" t="str">
        <f t="shared" si="34"/>
        <v>No Options</v>
      </c>
      <c r="AO143" t="str">
        <f t="shared" si="35"/>
        <v>Good</v>
      </c>
      <c r="AP143" t="str">
        <f t="shared" si="36"/>
        <v>45-54</v>
      </c>
      <c r="AQ143" t="str">
        <f t="shared" si="37"/>
        <v>Lower-Mid</v>
      </c>
      <c r="AR143" t="str">
        <f t="shared" si="38"/>
        <v>6-10 Years</v>
      </c>
    </row>
    <row r="144" spans="1:44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t="s">
        <v>39</v>
      </c>
      <c r="L144">
        <v>32</v>
      </c>
      <c r="M144">
        <v>3</v>
      </c>
      <c r="N144">
        <v>2</v>
      </c>
      <c r="O144" t="s">
        <v>47</v>
      </c>
      <c r="P144">
        <v>3</v>
      </c>
      <c r="Q144" t="s">
        <v>41</v>
      </c>
      <c r="R144">
        <v>4317</v>
      </c>
      <c r="S144">
        <v>3</v>
      </c>
      <c r="T144" t="s">
        <v>35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  <c r="AF144">
        <f t="shared" si="26"/>
        <v>0</v>
      </c>
      <c r="AG144">
        <f t="shared" si="27"/>
        <v>1</v>
      </c>
      <c r="AH144" t="str">
        <f t="shared" si="28"/>
        <v>Doctor</v>
      </c>
      <c r="AI144" t="str">
        <f t="shared" si="29"/>
        <v>Very High</v>
      </c>
      <c r="AJ144" t="str">
        <f t="shared" si="30"/>
        <v>High</v>
      </c>
      <c r="AK144" t="str">
        <f t="shared" si="31"/>
        <v>Junior</v>
      </c>
      <c r="AL144" t="str">
        <f t="shared" si="32"/>
        <v>High</v>
      </c>
      <c r="AM144" t="str">
        <f t="shared" si="33"/>
        <v>Medium</v>
      </c>
      <c r="AN144" t="str">
        <f t="shared" si="34"/>
        <v>No Options</v>
      </c>
      <c r="AO144" t="str">
        <f t="shared" si="35"/>
        <v>Better</v>
      </c>
      <c r="AP144" t="str">
        <f t="shared" si="36"/>
        <v>35-44</v>
      </c>
      <c r="AQ144" t="str">
        <f t="shared" si="37"/>
        <v>Lower-Mid</v>
      </c>
      <c r="AR144" t="str">
        <f t="shared" si="38"/>
        <v>3-5 Years</v>
      </c>
    </row>
    <row r="145" spans="1:44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75</v>
      </c>
      <c r="M145">
        <v>3</v>
      </c>
      <c r="N145">
        <v>1</v>
      </c>
      <c r="O145" t="s">
        <v>47</v>
      </c>
      <c r="P145">
        <v>3</v>
      </c>
      <c r="Q145" t="s">
        <v>41</v>
      </c>
      <c r="R145">
        <v>2632</v>
      </c>
      <c r="S145">
        <v>1</v>
      </c>
      <c r="T145" t="s">
        <v>43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  <c r="AF145">
        <f t="shared" si="26"/>
        <v>0</v>
      </c>
      <c r="AG145">
        <f t="shared" si="27"/>
        <v>0</v>
      </c>
      <c r="AH145" t="str">
        <f t="shared" si="28"/>
        <v>Bachelor</v>
      </c>
      <c r="AI145" t="str">
        <f t="shared" si="29"/>
        <v>Low</v>
      </c>
      <c r="AJ145" t="str">
        <f t="shared" si="30"/>
        <v>High</v>
      </c>
      <c r="AK145" t="str">
        <f t="shared" si="31"/>
        <v>Entry</v>
      </c>
      <c r="AL145" t="str">
        <f t="shared" si="32"/>
        <v>High</v>
      </c>
      <c r="AM145" t="str">
        <f t="shared" si="33"/>
        <v>High</v>
      </c>
      <c r="AN145" t="str">
        <f t="shared" si="34"/>
        <v>No Options</v>
      </c>
      <c r="AO145" t="str">
        <f t="shared" si="35"/>
        <v>Good</v>
      </c>
      <c r="AP145" t="str">
        <f t="shared" si="36"/>
        <v>25-34</v>
      </c>
      <c r="AQ145" t="str">
        <f t="shared" si="37"/>
        <v>Low</v>
      </c>
      <c r="AR145" t="str">
        <f t="shared" si="38"/>
        <v>3-5 Years</v>
      </c>
    </row>
    <row r="146" spans="1:44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46</v>
      </c>
      <c r="L146">
        <v>35</v>
      </c>
      <c r="M146">
        <v>1</v>
      </c>
      <c r="N146">
        <v>2</v>
      </c>
      <c r="O146" t="s">
        <v>40</v>
      </c>
      <c r="P146">
        <v>4</v>
      </c>
      <c r="Q146" t="s">
        <v>52</v>
      </c>
      <c r="R146">
        <v>4668</v>
      </c>
      <c r="S146">
        <v>0</v>
      </c>
      <c r="T146" t="s">
        <v>43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  <c r="AF146">
        <f t="shared" si="26"/>
        <v>0</v>
      </c>
      <c r="AG146">
        <f t="shared" si="27"/>
        <v>0</v>
      </c>
      <c r="AH146" t="str">
        <f t="shared" si="28"/>
        <v>College</v>
      </c>
      <c r="AI146" t="str">
        <f t="shared" si="29"/>
        <v>Very High</v>
      </c>
      <c r="AJ146" t="str">
        <f t="shared" si="30"/>
        <v>Low</v>
      </c>
      <c r="AK146" t="str">
        <f t="shared" si="31"/>
        <v>Junior</v>
      </c>
      <c r="AL146" t="str">
        <f t="shared" si="32"/>
        <v>Very High</v>
      </c>
      <c r="AM146" t="str">
        <f t="shared" si="33"/>
        <v>Very High</v>
      </c>
      <c r="AN146" t="str">
        <f t="shared" si="34"/>
        <v>High</v>
      </c>
      <c r="AO146" t="str">
        <f t="shared" si="35"/>
        <v>Best</v>
      </c>
      <c r="AP146" t="str">
        <f t="shared" si="36"/>
        <v>25-34</v>
      </c>
      <c r="AQ146" t="str">
        <f t="shared" si="37"/>
        <v>Lower-Mid</v>
      </c>
      <c r="AR146" t="str">
        <f t="shared" si="38"/>
        <v>6-10 Years</v>
      </c>
    </row>
    <row r="147" spans="1:44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t="s">
        <v>39</v>
      </c>
      <c r="L147">
        <v>84</v>
      </c>
      <c r="M147">
        <v>3</v>
      </c>
      <c r="N147">
        <v>1</v>
      </c>
      <c r="O147" t="s">
        <v>47</v>
      </c>
      <c r="P147">
        <v>1</v>
      </c>
      <c r="Q147" t="s">
        <v>52</v>
      </c>
      <c r="R147">
        <v>3204</v>
      </c>
      <c r="S147">
        <v>5</v>
      </c>
      <c r="T147" t="s">
        <v>43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  <c r="AF147">
        <f t="shared" si="26"/>
        <v>0</v>
      </c>
      <c r="AG147">
        <f t="shared" si="27"/>
        <v>0</v>
      </c>
      <c r="AH147" t="str">
        <f t="shared" si="28"/>
        <v>Bachelor</v>
      </c>
      <c r="AI147" t="str">
        <f t="shared" si="29"/>
        <v>Very High</v>
      </c>
      <c r="AJ147" t="str">
        <f t="shared" si="30"/>
        <v>High</v>
      </c>
      <c r="AK147" t="str">
        <f t="shared" si="31"/>
        <v>Entry</v>
      </c>
      <c r="AL147" t="str">
        <f t="shared" si="32"/>
        <v>Low</v>
      </c>
      <c r="AM147" t="str">
        <f t="shared" si="33"/>
        <v>Very High</v>
      </c>
      <c r="AN147" t="str">
        <f t="shared" si="34"/>
        <v>Low</v>
      </c>
      <c r="AO147" t="str">
        <f t="shared" si="35"/>
        <v>Better</v>
      </c>
      <c r="AP147" t="str">
        <f t="shared" si="36"/>
        <v>25-34</v>
      </c>
      <c r="AQ147" t="str">
        <f t="shared" si="37"/>
        <v>Lower-Mid</v>
      </c>
      <c r="AR147" t="str">
        <f t="shared" si="38"/>
        <v>3-5 Years</v>
      </c>
    </row>
    <row r="148" spans="1:44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46</v>
      </c>
      <c r="L148">
        <v>35</v>
      </c>
      <c r="M148">
        <v>2</v>
      </c>
      <c r="N148">
        <v>1</v>
      </c>
      <c r="O148" t="s">
        <v>50</v>
      </c>
      <c r="P148">
        <v>4</v>
      </c>
      <c r="Q148" t="s">
        <v>41</v>
      </c>
      <c r="R148">
        <v>2720</v>
      </c>
      <c r="S148">
        <v>0</v>
      </c>
      <c r="T148" t="s">
        <v>43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  <c r="AF148">
        <f t="shared" si="26"/>
        <v>0</v>
      </c>
      <c r="AG148">
        <f t="shared" si="27"/>
        <v>0</v>
      </c>
      <c r="AH148" t="str">
        <f t="shared" si="28"/>
        <v>Below College</v>
      </c>
      <c r="AI148" t="str">
        <f t="shared" si="29"/>
        <v>Medium</v>
      </c>
      <c r="AJ148" t="str">
        <f t="shared" si="30"/>
        <v>Medium</v>
      </c>
      <c r="AK148" t="str">
        <f t="shared" si="31"/>
        <v>Entry</v>
      </c>
      <c r="AL148" t="str">
        <f t="shared" si="32"/>
        <v>Very High</v>
      </c>
      <c r="AM148" t="str">
        <f t="shared" si="33"/>
        <v>Very High</v>
      </c>
      <c r="AN148" t="str">
        <f t="shared" si="34"/>
        <v>No Options</v>
      </c>
      <c r="AO148" t="str">
        <f t="shared" si="35"/>
        <v>Better</v>
      </c>
      <c r="AP148" t="str">
        <f t="shared" si="36"/>
        <v>25-34</v>
      </c>
      <c r="AQ148" t="str">
        <f t="shared" si="37"/>
        <v>Low</v>
      </c>
      <c r="AR148" t="str">
        <f t="shared" si="38"/>
        <v>3-5 Years</v>
      </c>
    </row>
    <row r="149" spans="1:44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46</v>
      </c>
      <c r="L149">
        <v>91</v>
      </c>
      <c r="M149">
        <v>2</v>
      </c>
      <c r="N149">
        <v>4</v>
      </c>
      <c r="O149" t="s">
        <v>56</v>
      </c>
      <c r="P149">
        <v>1</v>
      </c>
      <c r="Q149" t="s">
        <v>52</v>
      </c>
      <c r="R149">
        <v>17181</v>
      </c>
      <c r="S149">
        <v>4</v>
      </c>
      <c r="T149" t="s">
        <v>43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  <c r="AF149">
        <f t="shared" si="26"/>
        <v>0</v>
      </c>
      <c r="AG149">
        <f t="shared" si="27"/>
        <v>0</v>
      </c>
      <c r="AH149" t="str">
        <f t="shared" si="28"/>
        <v>Bachelor</v>
      </c>
      <c r="AI149" t="str">
        <f t="shared" si="29"/>
        <v>Very High</v>
      </c>
      <c r="AJ149" t="str">
        <f t="shared" si="30"/>
        <v>Medium</v>
      </c>
      <c r="AK149" t="str">
        <f t="shared" si="31"/>
        <v>Senior</v>
      </c>
      <c r="AL149" t="str">
        <f t="shared" si="32"/>
        <v>Low</v>
      </c>
      <c r="AM149" t="str">
        <f t="shared" si="33"/>
        <v>Medium</v>
      </c>
      <c r="AN149" t="str">
        <f t="shared" si="34"/>
        <v>Low</v>
      </c>
      <c r="AO149" t="str">
        <f t="shared" si="35"/>
        <v>Good</v>
      </c>
      <c r="AP149" t="str">
        <f t="shared" si="36"/>
        <v>35-44</v>
      </c>
      <c r="AQ149" t="str">
        <f t="shared" si="37"/>
        <v>High</v>
      </c>
      <c r="AR149" t="str">
        <f t="shared" si="38"/>
        <v>6-10 Years</v>
      </c>
    </row>
    <row r="150" spans="1:44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46</v>
      </c>
      <c r="L150">
        <v>94</v>
      </c>
      <c r="M150">
        <v>3</v>
      </c>
      <c r="N150">
        <v>1</v>
      </c>
      <c r="O150" t="s">
        <v>50</v>
      </c>
      <c r="P150">
        <v>1</v>
      </c>
      <c r="Q150" t="s">
        <v>48</v>
      </c>
      <c r="R150">
        <v>2238</v>
      </c>
      <c r="S150">
        <v>2</v>
      </c>
      <c r="T150" t="s">
        <v>43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  <c r="AF150">
        <f t="shared" si="26"/>
        <v>0</v>
      </c>
      <c r="AG150">
        <f t="shared" si="27"/>
        <v>0</v>
      </c>
      <c r="AH150" t="str">
        <f t="shared" si="28"/>
        <v>Master</v>
      </c>
      <c r="AI150" t="str">
        <f t="shared" si="29"/>
        <v>High</v>
      </c>
      <c r="AJ150" t="str">
        <f t="shared" si="30"/>
        <v>High</v>
      </c>
      <c r="AK150" t="str">
        <f t="shared" si="31"/>
        <v>Entry</v>
      </c>
      <c r="AL150" t="str">
        <f t="shared" si="32"/>
        <v>Low</v>
      </c>
      <c r="AM150" t="str">
        <f t="shared" si="33"/>
        <v>Very High</v>
      </c>
      <c r="AN150" t="str">
        <f t="shared" si="34"/>
        <v>Low</v>
      </c>
      <c r="AO150" t="str">
        <f t="shared" si="35"/>
        <v>Better</v>
      </c>
      <c r="AP150" t="str">
        <f t="shared" si="36"/>
        <v>35-44</v>
      </c>
      <c r="AQ150" t="str">
        <f t="shared" si="37"/>
        <v>Low</v>
      </c>
      <c r="AR150" t="str">
        <f t="shared" si="38"/>
        <v>3-5 Years</v>
      </c>
    </row>
    <row r="151" spans="1:44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39</v>
      </c>
      <c r="L151">
        <v>79</v>
      </c>
      <c r="M151">
        <v>3</v>
      </c>
      <c r="N151">
        <v>1</v>
      </c>
      <c r="O151" t="s">
        <v>50</v>
      </c>
      <c r="P151">
        <v>2</v>
      </c>
      <c r="Q151" t="s">
        <v>41</v>
      </c>
      <c r="R151">
        <v>1483</v>
      </c>
      <c r="S151">
        <v>1</v>
      </c>
      <c r="T151" t="s">
        <v>43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  <c r="AF151">
        <f t="shared" si="26"/>
        <v>0</v>
      </c>
      <c r="AG151">
        <f t="shared" si="27"/>
        <v>0</v>
      </c>
      <c r="AH151" t="str">
        <f t="shared" si="28"/>
        <v>Below College</v>
      </c>
      <c r="AI151" t="str">
        <f t="shared" si="29"/>
        <v>Medium</v>
      </c>
      <c r="AJ151" t="str">
        <f t="shared" si="30"/>
        <v>High</v>
      </c>
      <c r="AK151" t="str">
        <f t="shared" si="31"/>
        <v>Entry</v>
      </c>
      <c r="AL151" t="str">
        <f t="shared" si="32"/>
        <v>Medium</v>
      </c>
      <c r="AM151" t="str">
        <f t="shared" si="33"/>
        <v>Very High</v>
      </c>
      <c r="AN151" t="str">
        <f t="shared" si="34"/>
        <v>No Options</v>
      </c>
      <c r="AO151" t="str">
        <f t="shared" si="35"/>
        <v>Better</v>
      </c>
      <c r="AP151" t="str">
        <f t="shared" si="36"/>
        <v>Under 25</v>
      </c>
      <c r="AQ151" t="str">
        <f t="shared" si="37"/>
        <v>Low</v>
      </c>
      <c r="AR151" t="str">
        <f t="shared" si="38"/>
        <v>0-2 Years</v>
      </c>
    </row>
    <row r="152" spans="1:44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39</v>
      </c>
      <c r="L152">
        <v>54</v>
      </c>
      <c r="M152">
        <v>3</v>
      </c>
      <c r="N152">
        <v>2</v>
      </c>
      <c r="O152" t="s">
        <v>47</v>
      </c>
      <c r="P152">
        <v>2</v>
      </c>
      <c r="Q152" t="s">
        <v>52</v>
      </c>
      <c r="R152">
        <v>5605</v>
      </c>
      <c r="S152">
        <v>1</v>
      </c>
      <c r="T152" t="s">
        <v>43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  <c r="AF152">
        <f t="shared" si="26"/>
        <v>0</v>
      </c>
      <c r="AG152">
        <f t="shared" si="27"/>
        <v>0</v>
      </c>
      <c r="AH152" t="str">
        <f t="shared" si="28"/>
        <v>Bachelor</v>
      </c>
      <c r="AI152" t="str">
        <f t="shared" si="29"/>
        <v>Medium</v>
      </c>
      <c r="AJ152" t="str">
        <f t="shared" si="30"/>
        <v>High</v>
      </c>
      <c r="AK152" t="str">
        <f t="shared" si="31"/>
        <v>Junior</v>
      </c>
      <c r="AL152" t="str">
        <f t="shared" si="32"/>
        <v>Medium</v>
      </c>
      <c r="AM152" t="str">
        <f t="shared" si="33"/>
        <v>Low</v>
      </c>
      <c r="AN152" t="str">
        <f t="shared" si="34"/>
        <v>Low</v>
      </c>
      <c r="AO152" t="str">
        <f t="shared" si="35"/>
        <v>Better</v>
      </c>
      <c r="AP152" t="str">
        <f t="shared" si="36"/>
        <v>35-44</v>
      </c>
      <c r="AQ152" t="str">
        <f t="shared" si="37"/>
        <v>Lower-Mid</v>
      </c>
      <c r="AR152" t="str">
        <f t="shared" si="38"/>
        <v>11-20 Years</v>
      </c>
    </row>
    <row r="153" spans="1:44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t="s">
        <v>46</v>
      </c>
      <c r="L153">
        <v>94</v>
      </c>
      <c r="M153">
        <v>3</v>
      </c>
      <c r="N153">
        <v>3</v>
      </c>
      <c r="O153" t="s">
        <v>40</v>
      </c>
      <c r="P153">
        <v>2</v>
      </c>
      <c r="Q153" t="s">
        <v>48</v>
      </c>
      <c r="R153">
        <v>7295</v>
      </c>
      <c r="S153">
        <v>1</v>
      </c>
      <c r="T153" t="s">
        <v>43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  <c r="AF153">
        <f t="shared" si="26"/>
        <v>0</v>
      </c>
      <c r="AG153">
        <f t="shared" si="27"/>
        <v>0</v>
      </c>
      <c r="AH153" t="str">
        <f t="shared" si="28"/>
        <v>Doctor</v>
      </c>
      <c r="AI153" t="str">
        <f t="shared" si="29"/>
        <v>High</v>
      </c>
      <c r="AJ153" t="str">
        <f t="shared" si="30"/>
        <v>High</v>
      </c>
      <c r="AK153" t="str">
        <f t="shared" si="31"/>
        <v>Mid-Level</v>
      </c>
      <c r="AL153" t="str">
        <f t="shared" si="32"/>
        <v>Medium</v>
      </c>
      <c r="AM153" t="str">
        <f t="shared" si="33"/>
        <v>Low</v>
      </c>
      <c r="AN153" t="str">
        <f t="shared" si="34"/>
        <v>Medium</v>
      </c>
      <c r="AO153" t="str">
        <f t="shared" si="35"/>
        <v>Better</v>
      </c>
      <c r="AP153" t="str">
        <f t="shared" si="36"/>
        <v>35-44</v>
      </c>
      <c r="AQ153" t="str">
        <f t="shared" si="37"/>
        <v>Upper-Mid</v>
      </c>
      <c r="AR153" t="str">
        <f t="shared" si="38"/>
        <v>6-10 Years</v>
      </c>
    </row>
    <row r="154" spans="1:44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t="s">
        <v>46</v>
      </c>
      <c r="L154">
        <v>34</v>
      </c>
      <c r="M154">
        <v>3</v>
      </c>
      <c r="N154">
        <v>2</v>
      </c>
      <c r="O154" t="s">
        <v>57</v>
      </c>
      <c r="P154">
        <v>3</v>
      </c>
      <c r="Q154" t="s">
        <v>48</v>
      </c>
      <c r="R154">
        <v>2306</v>
      </c>
      <c r="S154">
        <v>2</v>
      </c>
      <c r="T154" t="s">
        <v>35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  <c r="AF154">
        <f t="shared" si="26"/>
        <v>0</v>
      </c>
      <c r="AG154">
        <f t="shared" si="27"/>
        <v>1</v>
      </c>
      <c r="AH154" t="str">
        <f t="shared" si="28"/>
        <v>College</v>
      </c>
      <c r="AI154" t="str">
        <f t="shared" si="29"/>
        <v>Medium</v>
      </c>
      <c r="AJ154" t="str">
        <f t="shared" si="30"/>
        <v>High</v>
      </c>
      <c r="AK154" t="str">
        <f t="shared" si="31"/>
        <v>Junior</v>
      </c>
      <c r="AL154" t="str">
        <f t="shared" si="32"/>
        <v>High</v>
      </c>
      <c r="AM154" t="str">
        <f t="shared" si="33"/>
        <v>Very High</v>
      </c>
      <c r="AN154" t="str">
        <f t="shared" si="34"/>
        <v>Low</v>
      </c>
      <c r="AO154" t="str">
        <f t="shared" si="35"/>
        <v>Bad</v>
      </c>
      <c r="AP154" t="str">
        <f t="shared" si="36"/>
        <v>45-54</v>
      </c>
      <c r="AQ154" t="str">
        <f t="shared" si="37"/>
        <v>Low</v>
      </c>
      <c r="AR154" t="str">
        <f t="shared" si="38"/>
        <v>6-10 Years</v>
      </c>
    </row>
    <row r="155" spans="1:44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46</v>
      </c>
      <c r="L155">
        <v>60</v>
      </c>
      <c r="M155">
        <v>3</v>
      </c>
      <c r="N155">
        <v>2</v>
      </c>
      <c r="O155" t="s">
        <v>50</v>
      </c>
      <c r="P155">
        <v>2</v>
      </c>
      <c r="Q155" t="s">
        <v>52</v>
      </c>
      <c r="R155">
        <v>2348</v>
      </c>
      <c r="S155">
        <v>8</v>
      </c>
      <c r="T155" t="s">
        <v>43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  <c r="AF155">
        <f t="shared" si="26"/>
        <v>0</v>
      </c>
      <c r="AG155">
        <f t="shared" si="27"/>
        <v>0</v>
      </c>
      <c r="AH155" t="str">
        <f t="shared" si="28"/>
        <v>Bachelor</v>
      </c>
      <c r="AI155" t="str">
        <f t="shared" si="29"/>
        <v>Medium</v>
      </c>
      <c r="AJ155" t="str">
        <f t="shared" si="30"/>
        <v>High</v>
      </c>
      <c r="AK155" t="str">
        <f t="shared" si="31"/>
        <v>Junior</v>
      </c>
      <c r="AL155" t="str">
        <f t="shared" si="32"/>
        <v>Medium</v>
      </c>
      <c r="AM155" t="str">
        <f t="shared" si="33"/>
        <v>High</v>
      </c>
      <c r="AN155" t="str">
        <f t="shared" si="34"/>
        <v>Low</v>
      </c>
      <c r="AO155" t="str">
        <f t="shared" si="35"/>
        <v>Bad</v>
      </c>
      <c r="AP155" t="str">
        <f t="shared" si="36"/>
        <v>45-54</v>
      </c>
      <c r="AQ155" t="str">
        <f t="shared" si="37"/>
        <v>Low</v>
      </c>
      <c r="AR155" t="str">
        <f t="shared" si="38"/>
        <v>11-20 Years</v>
      </c>
    </row>
    <row r="156" spans="1:44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t="s">
        <v>39</v>
      </c>
      <c r="L156">
        <v>43</v>
      </c>
      <c r="M156">
        <v>3</v>
      </c>
      <c r="N156">
        <v>3</v>
      </c>
      <c r="O156" t="s">
        <v>40</v>
      </c>
      <c r="P156">
        <v>4</v>
      </c>
      <c r="Q156" t="s">
        <v>41</v>
      </c>
      <c r="R156">
        <v>8998</v>
      </c>
      <c r="S156">
        <v>1</v>
      </c>
      <c r="T156" t="s">
        <v>43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  <c r="AF156">
        <f t="shared" si="26"/>
        <v>0</v>
      </c>
      <c r="AG156">
        <f t="shared" si="27"/>
        <v>0</v>
      </c>
      <c r="AH156" t="str">
        <f t="shared" si="28"/>
        <v>Bachelor</v>
      </c>
      <c r="AI156" t="str">
        <f t="shared" si="29"/>
        <v>Medium</v>
      </c>
      <c r="AJ156" t="str">
        <f t="shared" si="30"/>
        <v>High</v>
      </c>
      <c r="AK156" t="str">
        <f t="shared" si="31"/>
        <v>Mid-Level</v>
      </c>
      <c r="AL156" t="str">
        <f t="shared" si="32"/>
        <v>Very High</v>
      </c>
      <c r="AM156" t="str">
        <f t="shared" si="33"/>
        <v>Very High</v>
      </c>
      <c r="AN156" t="str">
        <f t="shared" si="34"/>
        <v>No Options</v>
      </c>
      <c r="AO156" t="str">
        <f t="shared" si="35"/>
        <v>Better</v>
      </c>
      <c r="AP156" t="str">
        <f t="shared" si="36"/>
        <v>25-34</v>
      </c>
      <c r="AQ156" t="str">
        <f t="shared" si="37"/>
        <v>Upper-Mid</v>
      </c>
      <c r="AR156" t="str">
        <f t="shared" si="38"/>
        <v>6-10 Years</v>
      </c>
    </row>
    <row r="157" spans="1:44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t="s">
        <v>46</v>
      </c>
      <c r="L157">
        <v>41</v>
      </c>
      <c r="M157">
        <v>3</v>
      </c>
      <c r="N157">
        <v>2</v>
      </c>
      <c r="O157" t="s">
        <v>53</v>
      </c>
      <c r="P157">
        <v>3</v>
      </c>
      <c r="Q157" t="s">
        <v>48</v>
      </c>
      <c r="R157">
        <v>4319</v>
      </c>
      <c r="S157">
        <v>1</v>
      </c>
      <c r="T157" t="s">
        <v>43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  <c r="AF157">
        <f t="shared" si="26"/>
        <v>0</v>
      </c>
      <c r="AG157">
        <f t="shared" si="27"/>
        <v>0</v>
      </c>
      <c r="AH157" t="str">
        <f t="shared" si="28"/>
        <v>Below College</v>
      </c>
      <c r="AI157" t="str">
        <f t="shared" si="29"/>
        <v>Very High</v>
      </c>
      <c r="AJ157" t="str">
        <f t="shared" si="30"/>
        <v>High</v>
      </c>
      <c r="AK157" t="str">
        <f t="shared" si="31"/>
        <v>Junior</v>
      </c>
      <c r="AL157" t="str">
        <f t="shared" si="32"/>
        <v>High</v>
      </c>
      <c r="AM157" t="str">
        <f t="shared" si="33"/>
        <v>Low</v>
      </c>
      <c r="AN157" t="str">
        <f t="shared" si="34"/>
        <v>Low</v>
      </c>
      <c r="AO157" t="str">
        <f t="shared" si="35"/>
        <v>Better</v>
      </c>
      <c r="AP157" t="str">
        <f t="shared" si="36"/>
        <v>25-34</v>
      </c>
      <c r="AQ157" t="str">
        <f t="shared" si="37"/>
        <v>Lower-Mid</v>
      </c>
      <c r="AR157" t="str">
        <f t="shared" si="38"/>
        <v>6-10 Years</v>
      </c>
    </row>
    <row r="158" spans="1:44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46</v>
      </c>
      <c r="L158">
        <v>34</v>
      </c>
      <c r="M158">
        <v>2</v>
      </c>
      <c r="N158">
        <v>2</v>
      </c>
      <c r="O158" t="s">
        <v>53</v>
      </c>
      <c r="P158">
        <v>3</v>
      </c>
      <c r="Q158" t="s">
        <v>48</v>
      </c>
      <c r="R158">
        <v>6132</v>
      </c>
      <c r="S158">
        <v>2</v>
      </c>
      <c r="T158" t="s">
        <v>43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  <c r="AF158">
        <f t="shared" si="26"/>
        <v>0</v>
      </c>
      <c r="AG158">
        <f t="shared" si="27"/>
        <v>0</v>
      </c>
      <c r="AH158" t="str">
        <f t="shared" si="28"/>
        <v>Master</v>
      </c>
      <c r="AI158" t="str">
        <f t="shared" si="29"/>
        <v>Medium</v>
      </c>
      <c r="AJ158" t="str">
        <f t="shared" si="30"/>
        <v>Medium</v>
      </c>
      <c r="AK158" t="str">
        <f t="shared" si="31"/>
        <v>Junior</v>
      </c>
      <c r="AL158" t="str">
        <f t="shared" si="32"/>
        <v>High</v>
      </c>
      <c r="AM158" t="str">
        <f t="shared" si="33"/>
        <v>High</v>
      </c>
      <c r="AN158" t="str">
        <f t="shared" si="34"/>
        <v>No Options</v>
      </c>
      <c r="AO158" t="str">
        <f t="shared" si="35"/>
        <v>Better</v>
      </c>
      <c r="AP158" t="str">
        <f t="shared" si="36"/>
        <v>45-54</v>
      </c>
      <c r="AQ158" t="str">
        <f t="shared" si="37"/>
        <v>Lower-Mid</v>
      </c>
      <c r="AR158" t="str">
        <f t="shared" si="38"/>
        <v>0-2 Years</v>
      </c>
    </row>
    <row r="159" spans="1:44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39</v>
      </c>
      <c r="L159">
        <v>75</v>
      </c>
      <c r="M159">
        <v>2</v>
      </c>
      <c r="N159">
        <v>1</v>
      </c>
      <c r="O159" t="s">
        <v>47</v>
      </c>
      <c r="P159">
        <v>2</v>
      </c>
      <c r="Q159" t="s">
        <v>48</v>
      </c>
      <c r="R159">
        <v>3346</v>
      </c>
      <c r="S159">
        <v>4</v>
      </c>
      <c r="T159" t="s">
        <v>35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  <c r="AF159">
        <f t="shared" si="26"/>
        <v>0</v>
      </c>
      <c r="AG159">
        <f t="shared" si="27"/>
        <v>1</v>
      </c>
      <c r="AH159" t="str">
        <f t="shared" si="28"/>
        <v>Bachelor</v>
      </c>
      <c r="AI159" t="str">
        <f t="shared" si="29"/>
        <v>Medium</v>
      </c>
      <c r="AJ159" t="str">
        <f t="shared" si="30"/>
        <v>Medium</v>
      </c>
      <c r="AK159" t="str">
        <f t="shared" si="31"/>
        <v>Entry</v>
      </c>
      <c r="AL159" t="str">
        <f t="shared" si="32"/>
        <v>Medium</v>
      </c>
      <c r="AM159" t="str">
        <f t="shared" si="33"/>
        <v>Medium</v>
      </c>
      <c r="AN159" t="str">
        <f t="shared" si="34"/>
        <v>Low</v>
      </c>
      <c r="AO159" t="str">
        <f t="shared" si="35"/>
        <v>Good</v>
      </c>
      <c r="AP159" t="str">
        <f t="shared" si="36"/>
        <v>55+</v>
      </c>
      <c r="AQ159" t="str">
        <f t="shared" si="37"/>
        <v>Lower-Mid</v>
      </c>
      <c r="AR159" t="str">
        <f t="shared" si="38"/>
        <v>0-2 Years</v>
      </c>
    </row>
    <row r="160" spans="1:44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t="s">
        <v>46</v>
      </c>
      <c r="L160">
        <v>67</v>
      </c>
      <c r="M160">
        <v>2</v>
      </c>
      <c r="N160">
        <v>3</v>
      </c>
      <c r="O160" t="s">
        <v>40</v>
      </c>
      <c r="P160">
        <v>4</v>
      </c>
      <c r="Q160" t="s">
        <v>48</v>
      </c>
      <c r="R160">
        <v>10855</v>
      </c>
      <c r="S160">
        <v>7</v>
      </c>
      <c r="T160" t="s">
        <v>43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  <c r="AF160">
        <f t="shared" si="26"/>
        <v>0</v>
      </c>
      <c r="AG160">
        <f t="shared" si="27"/>
        <v>0</v>
      </c>
      <c r="AH160" t="str">
        <f t="shared" si="28"/>
        <v>Master</v>
      </c>
      <c r="AI160" t="str">
        <f t="shared" si="29"/>
        <v>High</v>
      </c>
      <c r="AJ160" t="str">
        <f t="shared" si="30"/>
        <v>Medium</v>
      </c>
      <c r="AK160" t="str">
        <f t="shared" si="31"/>
        <v>Mid-Level</v>
      </c>
      <c r="AL160" t="str">
        <f t="shared" si="32"/>
        <v>Very High</v>
      </c>
      <c r="AM160" t="str">
        <f t="shared" si="33"/>
        <v>Low</v>
      </c>
      <c r="AN160" t="str">
        <f t="shared" si="34"/>
        <v>Low</v>
      </c>
      <c r="AO160" t="str">
        <f t="shared" si="35"/>
        <v>Good</v>
      </c>
      <c r="AP160" t="str">
        <f t="shared" si="36"/>
        <v>35-44</v>
      </c>
      <c r="AQ160" t="str">
        <f t="shared" si="37"/>
        <v>Upper-Mid</v>
      </c>
      <c r="AR160" t="str">
        <f t="shared" si="38"/>
        <v>11-20 Years</v>
      </c>
    </row>
    <row r="161" spans="1:44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t="s">
        <v>39</v>
      </c>
      <c r="L161">
        <v>75</v>
      </c>
      <c r="M161">
        <v>3</v>
      </c>
      <c r="N161">
        <v>1</v>
      </c>
      <c r="O161" t="s">
        <v>57</v>
      </c>
      <c r="P161">
        <v>3</v>
      </c>
      <c r="Q161" t="s">
        <v>48</v>
      </c>
      <c r="R161">
        <v>2231</v>
      </c>
      <c r="S161">
        <v>6</v>
      </c>
      <c r="T161" t="s">
        <v>43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  <c r="AF161">
        <f t="shared" si="26"/>
        <v>0</v>
      </c>
      <c r="AG161">
        <f t="shared" si="27"/>
        <v>0</v>
      </c>
      <c r="AH161" t="str">
        <f t="shared" si="28"/>
        <v>Master</v>
      </c>
      <c r="AI161" t="str">
        <f t="shared" si="29"/>
        <v>High</v>
      </c>
      <c r="AJ161" t="str">
        <f t="shared" si="30"/>
        <v>High</v>
      </c>
      <c r="AK161" t="str">
        <f t="shared" si="31"/>
        <v>Entry</v>
      </c>
      <c r="AL161" t="str">
        <f t="shared" si="32"/>
        <v>High</v>
      </c>
      <c r="AM161" t="str">
        <f t="shared" si="33"/>
        <v>Very High</v>
      </c>
      <c r="AN161" t="str">
        <f t="shared" si="34"/>
        <v>Low</v>
      </c>
      <c r="AO161" t="str">
        <f t="shared" si="35"/>
        <v>Better</v>
      </c>
      <c r="AP161" t="str">
        <f t="shared" si="36"/>
        <v>25-34</v>
      </c>
      <c r="AQ161" t="str">
        <f t="shared" si="37"/>
        <v>Low</v>
      </c>
      <c r="AR161" t="str">
        <f t="shared" si="38"/>
        <v>3-5 Years</v>
      </c>
    </row>
    <row r="162" spans="1:44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46</v>
      </c>
      <c r="L162">
        <v>80</v>
      </c>
      <c r="M162">
        <v>3</v>
      </c>
      <c r="N162">
        <v>1</v>
      </c>
      <c r="O162" t="s">
        <v>47</v>
      </c>
      <c r="P162">
        <v>4</v>
      </c>
      <c r="Q162" t="s">
        <v>48</v>
      </c>
      <c r="R162">
        <v>2323</v>
      </c>
      <c r="S162">
        <v>1</v>
      </c>
      <c r="T162" t="s">
        <v>43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  <c r="AF162">
        <f t="shared" si="26"/>
        <v>0</v>
      </c>
      <c r="AG162">
        <f t="shared" si="27"/>
        <v>0</v>
      </c>
      <c r="AH162" t="str">
        <f t="shared" si="28"/>
        <v>Below College</v>
      </c>
      <c r="AI162" t="str">
        <f t="shared" si="29"/>
        <v>High</v>
      </c>
      <c r="AJ162" t="str">
        <f t="shared" si="30"/>
        <v>High</v>
      </c>
      <c r="AK162" t="str">
        <f t="shared" si="31"/>
        <v>Entry</v>
      </c>
      <c r="AL162" t="str">
        <f t="shared" si="32"/>
        <v>Very High</v>
      </c>
      <c r="AM162" t="str">
        <f t="shared" si="33"/>
        <v>Low</v>
      </c>
      <c r="AN162" t="str">
        <f t="shared" si="34"/>
        <v>Medium</v>
      </c>
      <c r="AO162" t="str">
        <f t="shared" si="35"/>
        <v>Better</v>
      </c>
      <c r="AP162" t="str">
        <f t="shared" si="36"/>
        <v>Under 25</v>
      </c>
      <c r="AQ162" t="str">
        <f t="shared" si="37"/>
        <v>Low</v>
      </c>
      <c r="AR162" t="str">
        <f t="shared" si="38"/>
        <v>0-2 Years</v>
      </c>
    </row>
    <row r="163" spans="1:44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46</v>
      </c>
      <c r="L163">
        <v>57</v>
      </c>
      <c r="M163">
        <v>3</v>
      </c>
      <c r="N163">
        <v>1</v>
      </c>
      <c r="O163" t="s">
        <v>47</v>
      </c>
      <c r="P163">
        <v>2</v>
      </c>
      <c r="Q163" t="s">
        <v>52</v>
      </c>
      <c r="R163">
        <v>2024</v>
      </c>
      <c r="S163">
        <v>6</v>
      </c>
      <c r="T163" t="s">
        <v>43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  <c r="AF163">
        <f t="shared" si="26"/>
        <v>0</v>
      </c>
      <c r="AG163">
        <f t="shared" si="27"/>
        <v>0</v>
      </c>
      <c r="AH163" t="str">
        <f t="shared" si="28"/>
        <v>Bachelor</v>
      </c>
      <c r="AI163" t="str">
        <f t="shared" si="29"/>
        <v>Very High</v>
      </c>
      <c r="AJ163" t="str">
        <f t="shared" si="30"/>
        <v>High</v>
      </c>
      <c r="AK163" t="str">
        <f t="shared" si="31"/>
        <v>Entry</v>
      </c>
      <c r="AL163" t="str">
        <f t="shared" si="32"/>
        <v>Medium</v>
      </c>
      <c r="AM163" t="str">
        <f t="shared" si="33"/>
        <v>Very High</v>
      </c>
      <c r="AN163" t="str">
        <f t="shared" si="34"/>
        <v>Low</v>
      </c>
      <c r="AO163" t="str">
        <f t="shared" si="35"/>
        <v>Bad</v>
      </c>
      <c r="AP163" t="str">
        <f t="shared" si="36"/>
        <v>25-34</v>
      </c>
      <c r="AQ163" t="str">
        <f t="shared" si="37"/>
        <v>Low</v>
      </c>
      <c r="AR163" t="str">
        <f t="shared" si="38"/>
        <v>0-2 Years</v>
      </c>
    </row>
    <row r="164" spans="1:44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46</v>
      </c>
      <c r="L164">
        <v>42</v>
      </c>
      <c r="M164">
        <v>3</v>
      </c>
      <c r="N164">
        <v>1</v>
      </c>
      <c r="O164" t="s">
        <v>47</v>
      </c>
      <c r="P164">
        <v>4</v>
      </c>
      <c r="Q164" t="s">
        <v>48</v>
      </c>
      <c r="R164">
        <v>2713</v>
      </c>
      <c r="S164">
        <v>1</v>
      </c>
      <c r="T164" t="s">
        <v>43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  <c r="AF164">
        <f t="shared" si="26"/>
        <v>0</v>
      </c>
      <c r="AG164">
        <f t="shared" si="27"/>
        <v>0</v>
      </c>
      <c r="AH164" t="str">
        <f t="shared" si="28"/>
        <v>Bachelor</v>
      </c>
      <c r="AI164" t="str">
        <f t="shared" si="29"/>
        <v>High</v>
      </c>
      <c r="AJ164" t="str">
        <f t="shared" si="30"/>
        <v>High</v>
      </c>
      <c r="AK164" t="str">
        <f t="shared" si="31"/>
        <v>Entry</v>
      </c>
      <c r="AL164" t="str">
        <f t="shared" si="32"/>
        <v>Very High</v>
      </c>
      <c r="AM164" t="str">
        <f t="shared" si="33"/>
        <v>High</v>
      </c>
      <c r="AN164" t="str">
        <f t="shared" si="34"/>
        <v>Low</v>
      </c>
      <c r="AO164" t="str">
        <f t="shared" si="35"/>
        <v>Bad</v>
      </c>
      <c r="AP164" t="str">
        <f t="shared" si="36"/>
        <v>25-34</v>
      </c>
      <c r="AQ164" t="str">
        <f t="shared" si="37"/>
        <v>Low</v>
      </c>
      <c r="AR164" t="str">
        <f t="shared" si="38"/>
        <v>3-5 Years</v>
      </c>
    </row>
    <row r="165" spans="1:44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46</v>
      </c>
      <c r="L165">
        <v>83</v>
      </c>
      <c r="M165">
        <v>4</v>
      </c>
      <c r="N165">
        <v>3</v>
      </c>
      <c r="O165" t="s">
        <v>54</v>
      </c>
      <c r="P165">
        <v>4</v>
      </c>
      <c r="Q165" t="s">
        <v>52</v>
      </c>
      <c r="R165">
        <v>9439</v>
      </c>
      <c r="S165">
        <v>3</v>
      </c>
      <c r="T165" t="s">
        <v>35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  <c r="AF165">
        <f t="shared" si="26"/>
        <v>0</v>
      </c>
      <c r="AG165">
        <f t="shared" si="27"/>
        <v>1</v>
      </c>
      <c r="AH165" t="str">
        <f t="shared" si="28"/>
        <v>College</v>
      </c>
      <c r="AI165" t="str">
        <f t="shared" si="29"/>
        <v>High</v>
      </c>
      <c r="AJ165" t="str">
        <f t="shared" si="30"/>
        <v>Very High</v>
      </c>
      <c r="AK165" t="str">
        <f t="shared" si="31"/>
        <v>Mid-Level</v>
      </c>
      <c r="AL165" t="str">
        <f t="shared" si="32"/>
        <v>Very High</v>
      </c>
      <c r="AM165" t="str">
        <f t="shared" si="33"/>
        <v>Medium</v>
      </c>
      <c r="AN165" t="str">
        <f t="shared" si="34"/>
        <v>Low</v>
      </c>
      <c r="AO165" t="str">
        <f t="shared" si="35"/>
        <v>Bad</v>
      </c>
      <c r="AP165" t="str">
        <f t="shared" si="36"/>
        <v>55+</v>
      </c>
      <c r="AQ165" t="str">
        <f t="shared" si="37"/>
        <v>Upper-Mid</v>
      </c>
      <c r="AR165" t="str">
        <f t="shared" si="38"/>
        <v>3-5 Years</v>
      </c>
    </row>
    <row r="166" spans="1:44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46</v>
      </c>
      <c r="L166">
        <v>79</v>
      </c>
      <c r="M166">
        <v>2</v>
      </c>
      <c r="N166">
        <v>1</v>
      </c>
      <c r="O166" t="s">
        <v>47</v>
      </c>
      <c r="P166">
        <v>3</v>
      </c>
      <c r="Q166" t="s">
        <v>52</v>
      </c>
      <c r="R166">
        <v>2566</v>
      </c>
      <c r="S166">
        <v>1</v>
      </c>
      <c r="T166" t="s">
        <v>35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  <c r="AF166">
        <f t="shared" si="26"/>
        <v>0</v>
      </c>
      <c r="AG166">
        <f t="shared" si="27"/>
        <v>1</v>
      </c>
      <c r="AH166" t="str">
        <f t="shared" si="28"/>
        <v>Bachelor</v>
      </c>
      <c r="AI166" t="str">
        <f t="shared" si="29"/>
        <v>High</v>
      </c>
      <c r="AJ166" t="str">
        <f t="shared" si="30"/>
        <v>Medium</v>
      </c>
      <c r="AK166" t="str">
        <f t="shared" si="31"/>
        <v>Entry</v>
      </c>
      <c r="AL166" t="str">
        <f t="shared" si="32"/>
        <v>High</v>
      </c>
      <c r="AM166" t="str">
        <f t="shared" si="33"/>
        <v>Very High</v>
      </c>
      <c r="AN166" t="str">
        <f t="shared" si="34"/>
        <v>Low</v>
      </c>
      <c r="AO166" t="str">
        <f t="shared" si="35"/>
        <v>Good</v>
      </c>
      <c r="AP166" t="str">
        <f t="shared" si="36"/>
        <v>25-34</v>
      </c>
      <c r="AQ166" t="str">
        <f t="shared" si="37"/>
        <v>Low</v>
      </c>
      <c r="AR166" t="str">
        <f t="shared" si="38"/>
        <v>0-2 Years</v>
      </c>
    </row>
    <row r="167" spans="1:44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53</v>
      </c>
      <c r="M167">
        <v>3</v>
      </c>
      <c r="N167">
        <v>5</v>
      </c>
      <c r="O167" t="s">
        <v>56</v>
      </c>
      <c r="P167">
        <v>2</v>
      </c>
      <c r="Q167" t="s">
        <v>41</v>
      </c>
      <c r="R167">
        <v>19926</v>
      </c>
      <c r="S167">
        <v>3</v>
      </c>
      <c r="T167" t="s">
        <v>43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  <c r="AF167">
        <f t="shared" si="26"/>
        <v>0</v>
      </c>
      <c r="AG167">
        <f t="shared" si="27"/>
        <v>0</v>
      </c>
      <c r="AH167" t="str">
        <f t="shared" si="28"/>
        <v>Bachelor</v>
      </c>
      <c r="AI167" t="str">
        <f t="shared" si="29"/>
        <v>High</v>
      </c>
      <c r="AJ167" t="str">
        <f t="shared" si="30"/>
        <v>High</v>
      </c>
      <c r="AK167" t="str">
        <f t="shared" si="31"/>
        <v>Executive</v>
      </c>
      <c r="AL167" t="str">
        <f t="shared" si="32"/>
        <v>Medium</v>
      </c>
      <c r="AM167" t="str">
        <f t="shared" si="33"/>
        <v>Medium</v>
      </c>
      <c r="AN167" t="str">
        <f t="shared" si="34"/>
        <v>No Options</v>
      </c>
      <c r="AO167" t="str">
        <f t="shared" si="35"/>
        <v>Better</v>
      </c>
      <c r="AP167" t="str">
        <f t="shared" si="36"/>
        <v>45-54</v>
      </c>
      <c r="AQ167" t="str">
        <f t="shared" si="37"/>
        <v>High</v>
      </c>
      <c r="AR167" t="str">
        <f t="shared" si="38"/>
        <v>3-5 Years</v>
      </c>
    </row>
    <row r="168" spans="1:44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46</v>
      </c>
      <c r="L168">
        <v>56</v>
      </c>
      <c r="M168">
        <v>3</v>
      </c>
      <c r="N168">
        <v>1</v>
      </c>
      <c r="O168" t="s">
        <v>47</v>
      </c>
      <c r="P168">
        <v>3</v>
      </c>
      <c r="Q168" t="s">
        <v>52</v>
      </c>
      <c r="R168">
        <v>2451</v>
      </c>
      <c r="S168">
        <v>4</v>
      </c>
      <c r="T168" t="s">
        <v>43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  <c r="AF168">
        <f t="shared" si="26"/>
        <v>0</v>
      </c>
      <c r="AG168">
        <f t="shared" si="27"/>
        <v>0</v>
      </c>
      <c r="AH168" t="str">
        <f t="shared" si="28"/>
        <v>Bachelor</v>
      </c>
      <c r="AI168" t="str">
        <f t="shared" si="29"/>
        <v>Low</v>
      </c>
      <c r="AJ168" t="str">
        <f t="shared" si="30"/>
        <v>High</v>
      </c>
      <c r="AK168" t="str">
        <f t="shared" si="31"/>
        <v>Entry</v>
      </c>
      <c r="AL168" t="str">
        <f t="shared" si="32"/>
        <v>High</v>
      </c>
      <c r="AM168" t="str">
        <f t="shared" si="33"/>
        <v>Low</v>
      </c>
      <c r="AN168" t="str">
        <f t="shared" si="34"/>
        <v>Low</v>
      </c>
      <c r="AO168" t="str">
        <f t="shared" si="35"/>
        <v>Better</v>
      </c>
      <c r="AP168" t="str">
        <f t="shared" si="36"/>
        <v>35-44</v>
      </c>
      <c r="AQ168" t="str">
        <f t="shared" si="37"/>
        <v>Low</v>
      </c>
      <c r="AR168" t="str">
        <f t="shared" si="38"/>
        <v>6-10 Years</v>
      </c>
    </row>
    <row r="169" spans="1:44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41</v>
      </c>
      <c r="M169">
        <v>3</v>
      </c>
      <c r="N169">
        <v>3</v>
      </c>
      <c r="O169" t="s">
        <v>40</v>
      </c>
      <c r="P169">
        <v>4</v>
      </c>
      <c r="Q169" t="s">
        <v>48</v>
      </c>
      <c r="R169">
        <v>9419</v>
      </c>
      <c r="S169">
        <v>2</v>
      </c>
      <c r="T169" t="s">
        <v>43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  <c r="AF169">
        <f t="shared" si="26"/>
        <v>0</v>
      </c>
      <c r="AG169">
        <f t="shared" si="27"/>
        <v>0</v>
      </c>
      <c r="AH169" t="str">
        <f t="shared" si="28"/>
        <v>Bachelor</v>
      </c>
      <c r="AI169" t="str">
        <f t="shared" si="29"/>
        <v>Medium</v>
      </c>
      <c r="AJ169" t="str">
        <f t="shared" si="30"/>
        <v>High</v>
      </c>
      <c r="AK169" t="str">
        <f t="shared" si="31"/>
        <v>Mid-Level</v>
      </c>
      <c r="AL169" t="str">
        <f t="shared" si="32"/>
        <v>Very High</v>
      </c>
      <c r="AM169" t="str">
        <f t="shared" si="33"/>
        <v>High</v>
      </c>
      <c r="AN169" t="str">
        <f t="shared" si="34"/>
        <v>Low</v>
      </c>
      <c r="AO169" t="str">
        <f t="shared" si="35"/>
        <v>Better</v>
      </c>
      <c r="AP169" t="str">
        <f t="shared" si="36"/>
        <v>25-34</v>
      </c>
      <c r="AQ169" t="str">
        <f t="shared" si="37"/>
        <v>Upper-Mid</v>
      </c>
      <c r="AR169" t="str">
        <f t="shared" si="38"/>
        <v>6-10 Years</v>
      </c>
    </row>
    <row r="170" spans="1:44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59</v>
      </c>
      <c r="M170">
        <v>2</v>
      </c>
      <c r="N170">
        <v>2</v>
      </c>
      <c r="O170" t="s">
        <v>40</v>
      </c>
      <c r="P170">
        <v>4</v>
      </c>
      <c r="Q170" t="s">
        <v>41</v>
      </c>
      <c r="R170">
        <v>8686</v>
      </c>
      <c r="S170">
        <v>4</v>
      </c>
      <c r="T170" t="s">
        <v>43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  <c r="AF170">
        <f t="shared" si="26"/>
        <v>0</v>
      </c>
      <c r="AG170">
        <f t="shared" si="27"/>
        <v>0</v>
      </c>
      <c r="AH170" t="str">
        <f t="shared" si="28"/>
        <v>Master</v>
      </c>
      <c r="AI170" t="str">
        <f t="shared" si="29"/>
        <v>Low</v>
      </c>
      <c r="AJ170" t="str">
        <f t="shared" si="30"/>
        <v>Medium</v>
      </c>
      <c r="AK170" t="str">
        <f t="shared" si="31"/>
        <v>Junior</v>
      </c>
      <c r="AL170" t="str">
        <f t="shared" si="32"/>
        <v>Very High</v>
      </c>
      <c r="AM170" t="str">
        <f t="shared" si="33"/>
        <v>High</v>
      </c>
      <c r="AN170" t="str">
        <f t="shared" si="34"/>
        <v>No Options</v>
      </c>
      <c r="AO170" t="str">
        <f t="shared" si="35"/>
        <v>Best</v>
      </c>
      <c r="AP170" t="str">
        <f t="shared" si="36"/>
        <v>35-44</v>
      </c>
      <c r="AQ170" t="str">
        <f t="shared" si="37"/>
        <v>Upper-Mid</v>
      </c>
      <c r="AR170" t="str">
        <f t="shared" si="38"/>
        <v>6-10 Years</v>
      </c>
    </row>
    <row r="171" spans="1:44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46</v>
      </c>
      <c r="L171">
        <v>43</v>
      </c>
      <c r="M171">
        <v>3</v>
      </c>
      <c r="N171">
        <v>1</v>
      </c>
      <c r="O171" t="s">
        <v>47</v>
      </c>
      <c r="P171">
        <v>3</v>
      </c>
      <c r="Q171" t="s">
        <v>41</v>
      </c>
      <c r="R171">
        <v>3038</v>
      </c>
      <c r="S171">
        <v>3</v>
      </c>
      <c r="T171" t="s">
        <v>43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  <c r="AF171">
        <f t="shared" si="26"/>
        <v>0</v>
      </c>
      <c r="AG171">
        <f t="shared" si="27"/>
        <v>0</v>
      </c>
      <c r="AH171" t="str">
        <f t="shared" si="28"/>
        <v>Doctor</v>
      </c>
      <c r="AI171" t="str">
        <f t="shared" si="29"/>
        <v>High</v>
      </c>
      <c r="AJ171" t="str">
        <f t="shared" si="30"/>
        <v>High</v>
      </c>
      <c r="AK171" t="str">
        <f t="shared" si="31"/>
        <v>Entry</v>
      </c>
      <c r="AL171" t="str">
        <f t="shared" si="32"/>
        <v>High</v>
      </c>
      <c r="AM171" t="str">
        <f t="shared" si="33"/>
        <v>Low</v>
      </c>
      <c r="AN171" t="str">
        <f t="shared" si="34"/>
        <v>No Options</v>
      </c>
      <c r="AO171" t="str">
        <f t="shared" si="35"/>
        <v>Better</v>
      </c>
      <c r="AP171" t="str">
        <f t="shared" si="36"/>
        <v>25-34</v>
      </c>
      <c r="AQ171" t="str">
        <f t="shared" si="37"/>
        <v>Lower-Mid</v>
      </c>
      <c r="AR171" t="str">
        <f t="shared" si="38"/>
        <v>3-5 Years</v>
      </c>
    </row>
    <row r="172" spans="1:44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t="s">
        <v>46</v>
      </c>
      <c r="L172">
        <v>51</v>
      </c>
      <c r="M172">
        <v>3</v>
      </c>
      <c r="N172">
        <v>1</v>
      </c>
      <c r="O172" t="s">
        <v>47</v>
      </c>
      <c r="P172">
        <v>2</v>
      </c>
      <c r="Q172" t="s">
        <v>48</v>
      </c>
      <c r="R172">
        <v>3058</v>
      </c>
      <c r="S172">
        <v>0</v>
      </c>
      <c r="T172" t="s">
        <v>35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  <c r="AF172">
        <f t="shared" si="26"/>
        <v>0</v>
      </c>
      <c r="AG172">
        <f t="shared" si="27"/>
        <v>1</v>
      </c>
      <c r="AH172" t="str">
        <f t="shared" si="28"/>
        <v>Bachelor</v>
      </c>
      <c r="AI172" t="str">
        <f t="shared" si="29"/>
        <v>High</v>
      </c>
      <c r="AJ172" t="str">
        <f t="shared" si="30"/>
        <v>High</v>
      </c>
      <c r="AK172" t="str">
        <f t="shared" si="31"/>
        <v>Entry</v>
      </c>
      <c r="AL172" t="str">
        <f t="shared" si="32"/>
        <v>Medium</v>
      </c>
      <c r="AM172" t="str">
        <f t="shared" si="33"/>
        <v>Very High</v>
      </c>
      <c r="AN172" t="str">
        <f t="shared" si="34"/>
        <v>Low</v>
      </c>
      <c r="AO172" t="str">
        <f t="shared" si="35"/>
        <v>Good</v>
      </c>
      <c r="AP172" t="str">
        <f t="shared" si="36"/>
        <v>25-34</v>
      </c>
      <c r="AQ172" t="str">
        <f t="shared" si="37"/>
        <v>Lower-Mid</v>
      </c>
      <c r="AR172" t="str">
        <f t="shared" si="38"/>
        <v>3-5 Years</v>
      </c>
    </row>
    <row r="173" spans="1:44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t="s">
        <v>39</v>
      </c>
      <c r="L173">
        <v>100</v>
      </c>
      <c r="M173">
        <v>1</v>
      </c>
      <c r="N173">
        <v>1</v>
      </c>
      <c r="O173" t="s">
        <v>57</v>
      </c>
      <c r="P173">
        <v>1</v>
      </c>
      <c r="Q173" t="s">
        <v>41</v>
      </c>
      <c r="R173">
        <v>2325</v>
      </c>
      <c r="S173">
        <v>0</v>
      </c>
      <c r="T173" t="s">
        <v>43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  <c r="AF173">
        <f t="shared" si="26"/>
        <v>1</v>
      </c>
      <c r="AG173">
        <f t="shared" si="27"/>
        <v>0</v>
      </c>
      <c r="AH173" t="str">
        <f t="shared" si="28"/>
        <v>Below College</v>
      </c>
      <c r="AI173" t="str">
        <f t="shared" si="29"/>
        <v>High</v>
      </c>
      <c r="AJ173" t="str">
        <f t="shared" si="30"/>
        <v>Low</v>
      </c>
      <c r="AK173" t="str">
        <f t="shared" si="31"/>
        <v>Entry</v>
      </c>
      <c r="AL173" t="str">
        <f t="shared" si="32"/>
        <v>Low</v>
      </c>
      <c r="AM173" t="str">
        <f t="shared" si="33"/>
        <v>Low</v>
      </c>
      <c r="AN173" t="str">
        <f t="shared" si="34"/>
        <v>No Options</v>
      </c>
      <c r="AO173" t="str">
        <f t="shared" si="35"/>
        <v>Best</v>
      </c>
      <c r="AP173" t="str">
        <f t="shared" si="36"/>
        <v>Under 25</v>
      </c>
      <c r="AQ173" t="str">
        <f t="shared" si="37"/>
        <v>Low</v>
      </c>
      <c r="AR173" t="str">
        <f t="shared" si="38"/>
        <v>0-2 Years</v>
      </c>
    </row>
    <row r="174" spans="1:44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46</v>
      </c>
      <c r="L174">
        <v>30</v>
      </c>
      <c r="M174">
        <v>3</v>
      </c>
      <c r="N174">
        <v>1</v>
      </c>
      <c r="O174" t="s">
        <v>50</v>
      </c>
      <c r="P174">
        <v>2</v>
      </c>
      <c r="Q174" t="s">
        <v>41</v>
      </c>
      <c r="R174">
        <v>2088</v>
      </c>
      <c r="S174">
        <v>4</v>
      </c>
      <c r="T174" t="s">
        <v>43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  <c r="AF174">
        <f t="shared" si="26"/>
        <v>0</v>
      </c>
      <c r="AG174">
        <f t="shared" si="27"/>
        <v>0</v>
      </c>
      <c r="AH174" t="str">
        <f t="shared" si="28"/>
        <v>College</v>
      </c>
      <c r="AI174" t="str">
        <f t="shared" si="29"/>
        <v>Very High</v>
      </c>
      <c r="AJ174" t="str">
        <f t="shared" si="30"/>
        <v>High</v>
      </c>
      <c r="AK174" t="str">
        <f t="shared" si="31"/>
        <v>Entry</v>
      </c>
      <c r="AL174" t="str">
        <f t="shared" si="32"/>
        <v>Medium</v>
      </c>
      <c r="AM174" t="str">
        <f t="shared" si="33"/>
        <v>High</v>
      </c>
      <c r="AN174" t="str">
        <f t="shared" si="34"/>
        <v>No Options</v>
      </c>
      <c r="AO174" t="str">
        <f t="shared" si="35"/>
        <v>Good</v>
      </c>
      <c r="AP174" t="str">
        <f t="shared" si="36"/>
        <v>35-44</v>
      </c>
      <c r="AQ174" t="str">
        <f t="shared" si="37"/>
        <v>Low</v>
      </c>
      <c r="AR174" t="str">
        <f t="shared" si="38"/>
        <v>6-10 Years</v>
      </c>
    </row>
    <row r="175" spans="1:44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46</v>
      </c>
      <c r="L175">
        <v>66</v>
      </c>
      <c r="M175">
        <v>3</v>
      </c>
      <c r="N175">
        <v>2</v>
      </c>
      <c r="O175" t="s">
        <v>50</v>
      </c>
      <c r="P175">
        <v>1</v>
      </c>
      <c r="Q175" t="s">
        <v>52</v>
      </c>
      <c r="R175">
        <v>3072</v>
      </c>
      <c r="S175">
        <v>1</v>
      </c>
      <c r="T175" t="s">
        <v>43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  <c r="AF175">
        <f t="shared" si="26"/>
        <v>0</v>
      </c>
      <c r="AG175">
        <f t="shared" si="27"/>
        <v>0</v>
      </c>
      <c r="AH175" t="str">
        <f t="shared" si="28"/>
        <v>Bachelor</v>
      </c>
      <c r="AI175" t="str">
        <f t="shared" si="29"/>
        <v>High</v>
      </c>
      <c r="AJ175" t="str">
        <f t="shared" si="30"/>
        <v>High</v>
      </c>
      <c r="AK175" t="str">
        <f t="shared" si="31"/>
        <v>Junior</v>
      </c>
      <c r="AL175" t="str">
        <f t="shared" si="32"/>
        <v>Low</v>
      </c>
      <c r="AM175" t="str">
        <f t="shared" si="33"/>
        <v>High</v>
      </c>
      <c r="AN175" t="str">
        <f t="shared" si="34"/>
        <v>Medium</v>
      </c>
      <c r="AO175" t="str">
        <f t="shared" si="35"/>
        <v>Better</v>
      </c>
      <c r="AP175" t="str">
        <f t="shared" si="36"/>
        <v>25-34</v>
      </c>
      <c r="AQ175" t="str">
        <f t="shared" si="37"/>
        <v>Lower-Mid</v>
      </c>
      <c r="AR175" t="str">
        <f t="shared" si="38"/>
        <v>11-20 Years</v>
      </c>
    </row>
    <row r="176" spans="1:44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30</v>
      </c>
      <c r="M176">
        <v>3</v>
      </c>
      <c r="N176">
        <v>2</v>
      </c>
      <c r="O176" t="s">
        <v>40</v>
      </c>
      <c r="P176">
        <v>1</v>
      </c>
      <c r="Q176" t="s">
        <v>52</v>
      </c>
      <c r="R176">
        <v>5006</v>
      </c>
      <c r="S176">
        <v>4</v>
      </c>
      <c r="T176" t="s">
        <v>35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  <c r="AF176">
        <f t="shared" si="26"/>
        <v>0</v>
      </c>
      <c r="AG176">
        <f t="shared" si="27"/>
        <v>1</v>
      </c>
      <c r="AH176" t="str">
        <f t="shared" si="28"/>
        <v>College</v>
      </c>
      <c r="AI176" t="str">
        <f t="shared" si="29"/>
        <v>High</v>
      </c>
      <c r="AJ176" t="str">
        <f t="shared" si="30"/>
        <v>High</v>
      </c>
      <c r="AK176" t="str">
        <f t="shared" si="31"/>
        <v>Junior</v>
      </c>
      <c r="AL176" t="str">
        <f t="shared" si="32"/>
        <v>Low</v>
      </c>
      <c r="AM176" t="str">
        <f t="shared" si="33"/>
        <v>Low</v>
      </c>
      <c r="AN176" t="str">
        <f t="shared" si="34"/>
        <v>Low</v>
      </c>
      <c r="AO176" t="str">
        <f t="shared" si="35"/>
        <v>Best</v>
      </c>
      <c r="AP176" t="str">
        <f t="shared" si="36"/>
        <v>45-54</v>
      </c>
      <c r="AQ176" t="str">
        <f t="shared" si="37"/>
        <v>Lower-Mid</v>
      </c>
      <c r="AR176" t="str">
        <f t="shared" si="38"/>
        <v>3-5 Years</v>
      </c>
    </row>
    <row r="177" spans="1:44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67</v>
      </c>
      <c r="M177">
        <v>3</v>
      </c>
      <c r="N177">
        <v>1</v>
      </c>
      <c r="O177" t="s">
        <v>47</v>
      </c>
      <c r="P177">
        <v>1</v>
      </c>
      <c r="Q177" t="s">
        <v>52</v>
      </c>
      <c r="R177">
        <v>4257</v>
      </c>
      <c r="S177">
        <v>4</v>
      </c>
      <c r="T177" t="s">
        <v>35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  <c r="AF177">
        <f t="shared" si="26"/>
        <v>0</v>
      </c>
      <c r="AG177">
        <f t="shared" si="27"/>
        <v>1</v>
      </c>
      <c r="AH177" t="str">
        <f t="shared" si="28"/>
        <v>Bachelor</v>
      </c>
      <c r="AI177" t="str">
        <f t="shared" si="29"/>
        <v>High</v>
      </c>
      <c r="AJ177" t="str">
        <f t="shared" si="30"/>
        <v>High</v>
      </c>
      <c r="AK177" t="str">
        <f t="shared" si="31"/>
        <v>Entry</v>
      </c>
      <c r="AL177" t="str">
        <f t="shared" si="32"/>
        <v>Low</v>
      </c>
      <c r="AM177" t="str">
        <f t="shared" si="33"/>
        <v>High</v>
      </c>
      <c r="AN177" t="str">
        <f t="shared" si="34"/>
        <v>Low</v>
      </c>
      <c r="AO177" t="str">
        <f t="shared" si="35"/>
        <v>Better</v>
      </c>
      <c r="AP177" t="str">
        <f t="shared" si="36"/>
        <v>55+</v>
      </c>
      <c r="AQ177" t="str">
        <f t="shared" si="37"/>
        <v>Lower-Mid</v>
      </c>
      <c r="AR177" t="str">
        <f t="shared" si="38"/>
        <v>0-2 Years</v>
      </c>
    </row>
    <row r="178" spans="1:44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46</v>
      </c>
      <c r="L178">
        <v>90</v>
      </c>
      <c r="M178">
        <v>3</v>
      </c>
      <c r="N178">
        <v>1</v>
      </c>
      <c r="O178" t="s">
        <v>47</v>
      </c>
      <c r="P178">
        <v>4</v>
      </c>
      <c r="Q178" t="s">
        <v>41</v>
      </c>
      <c r="R178">
        <v>2500</v>
      </c>
      <c r="S178">
        <v>0</v>
      </c>
      <c r="T178" t="s">
        <v>43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  <c r="AF178">
        <f t="shared" si="26"/>
        <v>0</v>
      </c>
      <c r="AG178">
        <f t="shared" si="27"/>
        <v>0</v>
      </c>
      <c r="AH178" t="str">
        <f t="shared" si="28"/>
        <v>Bachelor</v>
      </c>
      <c r="AI178" t="str">
        <f t="shared" si="29"/>
        <v>High</v>
      </c>
      <c r="AJ178" t="str">
        <f t="shared" si="30"/>
        <v>High</v>
      </c>
      <c r="AK178" t="str">
        <f t="shared" si="31"/>
        <v>Entry</v>
      </c>
      <c r="AL178" t="str">
        <f t="shared" si="32"/>
        <v>Very High</v>
      </c>
      <c r="AM178" t="str">
        <f t="shared" si="33"/>
        <v>Low</v>
      </c>
      <c r="AN178" t="str">
        <f t="shared" si="34"/>
        <v>No Options</v>
      </c>
      <c r="AO178" t="str">
        <f t="shared" si="35"/>
        <v>Best</v>
      </c>
      <c r="AP178" t="str">
        <f t="shared" si="36"/>
        <v>25-34</v>
      </c>
      <c r="AQ178" t="str">
        <f t="shared" si="37"/>
        <v>Low</v>
      </c>
      <c r="AR178" t="str">
        <f t="shared" si="38"/>
        <v>3-5 Years</v>
      </c>
    </row>
    <row r="179" spans="1:44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46</v>
      </c>
      <c r="L179">
        <v>47</v>
      </c>
      <c r="M179">
        <v>2</v>
      </c>
      <c r="N179">
        <v>1</v>
      </c>
      <c r="O179" t="s">
        <v>50</v>
      </c>
      <c r="P179">
        <v>4</v>
      </c>
      <c r="Q179" t="s">
        <v>41</v>
      </c>
      <c r="R179">
        <v>1102</v>
      </c>
      <c r="S179">
        <v>1</v>
      </c>
      <c r="T179" t="s">
        <v>43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  <c r="AF179">
        <f t="shared" si="26"/>
        <v>1</v>
      </c>
      <c r="AG179">
        <f t="shared" si="27"/>
        <v>0</v>
      </c>
      <c r="AH179" t="str">
        <f t="shared" si="28"/>
        <v>Bachelor</v>
      </c>
      <c r="AI179" t="str">
        <f t="shared" si="29"/>
        <v>Medium</v>
      </c>
      <c r="AJ179" t="str">
        <f t="shared" si="30"/>
        <v>Medium</v>
      </c>
      <c r="AK179" t="str">
        <f t="shared" si="31"/>
        <v>Entry</v>
      </c>
      <c r="AL179" t="str">
        <f t="shared" si="32"/>
        <v>Very High</v>
      </c>
      <c r="AM179" t="str">
        <f t="shared" si="33"/>
        <v>High</v>
      </c>
      <c r="AN179" t="str">
        <f t="shared" si="34"/>
        <v>No Options</v>
      </c>
      <c r="AO179" t="str">
        <f t="shared" si="35"/>
        <v>Good</v>
      </c>
      <c r="AP179" t="str">
        <f t="shared" si="36"/>
        <v>Under 25</v>
      </c>
      <c r="AQ179" t="str">
        <f t="shared" si="37"/>
        <v>Low</v>
      </c>
      <c r="AR179" t="str">
        <f t="shared" si="38"/>
        <v>0-2 Years</v>
      </c>
    </row>
    <row r="180" spans="1:44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t="s">
        <v>39</v>
      </c>
      <c r="L180">
        <v>92</v>
      </c>
      <c r="M180">
        <v>3</v>
      </c>
      <c r="N180">
        <v>3</v>
      </c>
      <c r="O180" t="s">
        <v>40</v>
      </c>
      <c r="P180">
        <v>1</v>
      </c>
      <c r="Q180" t="s">
        <v>52</v>
      </c>
      <c r="R180">
        <v>10453</v>
      </c>
      <c r="S180">
        <v>1</v>
      </c>
      <c r="T180" t="s">
        <v>43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  <c r="AF180">
        <f t="shared" si="26"/>
        <v>0</v>
      </c>
      <c r="AG180">
        <f t="shared" si="27"/>
        <v>0</v>
      </c>
      <c r="AH180" t="str">
        <f t="shared" si="28"/>
        <v>College</v>
      </c>
      <c r="AI180" t="str">
        <f t="shared" si="29"/>
        <v>Medium</v>
      </c>
      <c r="AJ180" t="str">
        <f t="shared" si="30"/>
        <v>High</v>
      </c>
      <c r="AK180" t="str">
        <f t="shared" si="31"/>
        <v>Mid-Level</v>
      </c>
      <c r="AL180" t="str">
        <f t="shared" si="32"/>
        <v>Low</v>
      </c>
      <c r="AM180" t="str">
        <f t="shared" si="33"/>
        <v>High</v>
      </c>
      <c r="AN180" t="str">
        <f t="shared" si="34"/>
        <v>High</v>
      </c>
      <c r="AO180" t="str">
        <f t="shared" si="35"/>
        <v>Better</v>
      </c>
      <c r="AP180" t="str">
        <f t="shared" si="36"/>
        <v>45-54</v>
      </c>
      <c r="AQ180" t="str">
        <f t="shared" si="37"/>
        <v>Upper-Mid</v>
      </c>
      <c r="AR180" t="str">
        <f t="shared" si="38"/>
        <v>20+ Years</v>
      </c>
    </row>
    <row r="181" spans="1:44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75</v>
      </c>
      <c r="M181">
        <v>3</v>
      </c>
      <c r="N181">
        <v>1</v>
      </c>
      <c r="O181" t="s">
        <v>50</v>
      </c>
      <c r="P181">
        <v>4</v>
      </c>
      <c r="Q181" t="s">
        <v>41</v>
      </c>
      <c r="R181">
        <v>2288</v>
      </c>
      <c r="S181">
        <v>1</v>
      </c>
      <c r="T181" t="s">
        <v>43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  <c r="AF181">
        <f t="shared" si="26"/>
        <v>0</v>
      </c>
      <c r="AG181">
        <f t="shared" si="27"/>
        <v>0</v>
      </c>
      <c r="AH181" t="str">
        <f t="shared" si="28"/>
        <v>College</v>
      </c>
      <c r="AI181" t="str">
        <f t="shared" si="29"/>
        <v>High</v>
      </c>
      <c r="AJ181" t="str">
        <f t="shared" si="30"/>
        <v>High</v>
      </c>
      <c r="AK181" t="str">
        <f t="shared" si="31"/>
        <v>Entry</v>
      </c>
      <c r="AL181" t="str">
        <f t="shared" si="32"/>
        <v>Very High</v>
      </c>
      <c r="AM181" t="str">
        <f t="shared" si="33"/>
        <v>High</v>
      </c>
      <c r="AN181" t="str">
        <f t="shared" si="34"/>
        <v>No Options</v>
      </c>
      <c r="AO181" t="str">
        <f t="shared" si="35"/>
        <v>Better</v>
      </c>
      <c r="AP181" t="str">
        <f t="shared" si="36"/>
        <v>35-44</v>
      </c>
      <c r="AQ181" t="str">
        <f t="shared" si="37"/>
        <v>Low</v>
      </c>
      <c r="AR181" t="str">
        <f t="shared" si="38"/>
        <v>0-2 Years</v>
      </c>
    </row>
    <row r="182" spans="1:44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39</v>
      </c>
      <c r="L182">
        <v>95</v>
      </c>
      <c r="M182">
        <v>3</v>
      </c>
      <c r="N182">
        <v>1</v>
      </c>
      <c r="O182" t="s">
        <v>47</v>
      </c>
      <c r="P182">
        <v>4</v>
      </c>
      <c r="Q182" t="s">
        <v>48</v>
      </c>
      <c r="R182">
        <v>3929</v>
      </c>
      <c r="S182">
        <v>8</v>
      </c>
      <c r="T182" t="s">
        <v>35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  <c r="AF182">
        <f t="shared" si="26"/>
        <v>0</v>
      </c>
      <c r="AG182">
        <f t="shared" si="27"/>
        <v>1</v>
      </c>
      <c r="AH182" t="str">
        <f t="shared" si="28"/>
        <v>Below College</v>
      </c>
      <c r="AI182" t="str">
        <f t="shared" si="29"/>
        <v>High</v>
      </c>
      <c r="AJ182" t="str">
        <f t="shared" si="30"/>
        <v>High</v>
      </c>
      <c r="AK182" t="str">
        <f t="shared" si="31"/>
        <v>Entry</v>
      </c>
      <c r="AL182" t="str">
        <f t="shared" si="32"/>
        <v>Very High</v>
      </c>
      <c r="AM182" t="str">
        <f t="shared" si="33"/>
        <v>High</v>
      </c>
      <c r="AN182" t="str">
        <f t="shared" si="34"/>
        <v>Low</v>
      </c>
      <c r="AO182" t="str">
        <f t="shared" si="35"/>
        <v>Better</v>
      </c>
      <c r="AP182" t="str">
        <f t="shared" si="36"/>
        <v>25-34</v>
      </c>
      <c r="AQ182" t="str">
        <f t="shared" si="37"/>
        <v>Lower-Mid</v>
      </c>
      <c r="AR182" t="str">
        <f t="shared" si="38"/>
        <v>3-5 Years</v>
      </c>
    </row>
    <row r="183" spans="1:44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39</v>
      </c>
      <c r="L183">
        <v>95</v>
      </c>
      <c r="M183">
        <v>3</v>
      </c>
      <c r="N183">
        <v>1</v>
      </c>
      <c r="O183" t="s">
        <v>47</v>
      </c>
      <c r="P183">
        <v>2</v>
      </c>
      <c r="Q183" t="s">
        <v>41</v>
      </c>
      <c r="R183">
        <v>2311</v>
      </c>
      <c r="S183">
        <v>2</v>
      </c>
      <c r="T183" t="s">
        <v>43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  <c r="AF183">
        <f t="shared" si="26"/>
        <v>0</v>
      </c>
      <c r="AG183">
        <f t="shared" si="27"/>
        <v>0</v>
      </c>
      <c r="AH183" t="str">
        <f t="shared" si="28"/>
        <v>College</v>
      </c>
      <c r="AI183" t="str">
        <f t="shared" si="29"/>
        <v>Very High</v>
      </c>
      <c r="AJ183" t="str">
        <f t="shared" si="30"/>
        <v>High</v>
      </c>
      <c r="AK183" t="str">
        <f t="shared" si="31"/>
        <v>Entry</v>
      </c>
      <c r="AL183" t="str">
        <f t="shared" si="32"/>
        <v>Medium</v>
      </c>
      <c r="AM183" t="str">
        <f t="shared" si="33"/>
        <v>Very High</v>
      </c>
      <c r="AN183" t="str">
        <f t="shared" si="34"/>
        <v>No Options</v>
      </c>
      <c r="AO183" t="str">
        <f t="shared" si="35"/>
        <v>Better</v>
      </c>
      <c r="AP183" t="str">
        <f t="shared" si="36"/>
        <v>25-34</v>
      </c>
      <c r="AQ183" t="str">
        <f t="shared" si="37"/>
        <v>Low</v>
      </c>
      <c r="AR183" t="str">
        <f t="shared" si="38"/>
        <v>3-5 Years</v>
      </c>
    </row>
    <row r="184" spans="1:44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t="s">
        <v>39</v>
      </c>
      <c r="L184">
        <v>70</v>
      </c>
      <c r="M184">
        <v>3</v>
      </c>
      <c r="N184">
        <v>1</v>
      </c>
      <c r="O184" t="s">
        <v>57</v>
      </c>
      <c r="P184">
        <v>2</v>
      </c>
      <c r="Q184" t="s">
        <v>41</v>
      </c>
      <c r="R184">
        <v>3140</v>
      </c>
      <c r="S184">
        <v>1</v>
      </c>
      <c r="T184" t="s">
        <v>35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  <c r="AF184">
        <f t="shared" si="26"/>
        <v>1</v>
      </c>
      <c r="AG184">
        <f t="shared" si="27"/>
        <v>1</v>
      </c>
      <c r="AH184" t="str">
        <f t="shared" si="28"/>
        <v>College</v>
      </c>
      <c r="AI184" t="str">
        <f t="shared" si="29"/>
        <v>Medium</v>
      </c>
      <c r="AJ184" t="str">
        <f t="shared" si="30"/>
        <v>High</v>
      </c>
      <c r="AK184" t="str">
        <f t="shared" si="31"/>
        <v>Entry</v>
      </c>
      <c r="AL184" t="str">
        <f t="shared" si="32"/>
        <v>Medium</v>
      </c>
      <c r="AM184" t="str">
        <f t="shared" si="33"/>
        <v>Very High</v>
      </c>
      <c r="AN184" t="str">
        <f t="shared" si="34"/>
        <v>No Options</v>
      </c>
      <c r="AO184" t="str">
        <f t="shared" si="35"/>
        <v>Good</v>
      </c>
      <c r="AP184" t="str">
        <f t="shared" si="36"/>
        <v>35-44</v>
      </c>
      <c r="AQ184" t="str">
        <f t="shared" si="37"/>
        <v>Lower-Mid</v>
      </c>
      <c r="AR184" t="str">
        <f t="shared" si="38"/>
        <v>3-5 Years</v>
      </c>
    </row>
    <row r="185" spans="1:44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46</v>
      </c>
      <c r="L185">
        <v>86</v>
      </c>
      <c r="M185">
        <v>2</v>
      </c>
      <c r="N185">
        <v>1</v>
      </c>
      <c r="O185" t="s">
        <v>50</v>
      </c>
      <c r="P185">
        <v>3</v>
      </c>
      <c r="Q185" t="s">
        <v>48</v>
      </c>
      <c r="R185">
        <v>3690</v>
      </c>
      <c r="S185">
        <v>2</v>
      </c>
      <c r="T185" t="s">
        <v>43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  <c r="AF185">
        <f t="shared" si="26"/>
        <v>0</v>
      </c>
      <c r="AG185">
        <f t="shared" si="27"/>
        <v>0</v>
      </c>
      <c r="AH185" t="str">
        <f t="shared" si="28"/>
        <v>Bachelor</v>
      </c>
      <c r="AI185" t="str">
        <f t="shared" si="29"/>
        <v>High</v>
      </c>
      <c r="AJ185" t="str">
        <f t="shared" si="30"/>
        <v>Medium</v>
      </c>
      <c r="AK185" t="str">
        <f t="shared" si="31"/>
        <v>Entry</v>
      </c>
      <c r="AL185" t="str">
        <f t="shared" si="32"/>
        <v>High</v>
      </c>
      <c r="AM185" t="str">
        <f t="shared" si="33"/>
        <v>Very High</v>
      </c>
      <c r="AN185" t="str">
        <f t="shared" si="34"/>
        <v>Low</v>
      </c>
      <c r="AO185" t="str">
        <f t="shared" si="35"/>
        <v>Good</v>
      </c>
      <c r="AP185" t="str">
        <f t="shared" si="36"/>
        <v>45-54</v>
      </c>
      <c r="AQ185" t="str">
        <f t="shared" si="37"/>
        <v>Lower-Mid</v>
      </c>
      <c r="AR185" t="str">
        <f t="shared" si="38"/>
        <v>3-5 Years</v>
      </c>
    </row>
    <row r="186" spans="1:44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39</v>
      </c>
      <c r="L186">
        <v>57</v>
      </c>
      <c r="M186">
        <v>4</v>
      </c>
      <c r="N186">
        <v>2</v>
      </c>
      <c r="O186" t="s">
        <v>53</v>
      </c>
      <c r="P186">
        <v>1</v>
      </c>
      <c r="Q186" t="s">
        <v>52</v>
      </c>
      <c r="R186">
        <v>4450</v>
      </c>
      <c r="S186">
        <v>1</v>
      </c>
      <c r="T186" t="s">
        <v>43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  <c r="AF186">
        <f t="shared" si="26"/>
        <v>0</v>
      </c>
      <c r="AG186">
        <f t="shared" si="27"/>
        <v>0</v>
      </c>
      <c r="AH186" t="str">
        <f t="shared" si="28"/>
        <v>College</v>
      </c>
      <c r="AI186" t="str">
        <f t="shared" si="29"/>
        <v>Very High</v>
      </c>
      <c r="AJ186" t="str">
        <f t="shared" si="30"/>
        <v>Very High</v>
      </c>
      <c r="AK186" t="str">
        <f t="shared" si="31"/>
        <v>Junior</v>
      </c>
      <c r="AL186" t="str">
        <f t="shared" si="32"/>
        <v>Low</v>
      </c>
      <c r="AM186" t="str">
        <f t="shared" si="33"/>
        <v>High</v>
      </c>
      <c r="AN186" t="str">
        <f t="shared" si="34"/>
        <v>Medium</v>
      </c>
      <c r="AO186" t="str">
        <f t="shared" si="35"/>
        <v>Better</v>
      </c>
      <c r="AP186" t="str">
        <f t="shared" si="36"/>
        <v>45-54</v>
      </c>
      <c r="AQ186" t="str">
        <f t="shared" si="37"/>
        <v>Lower-Mid</v>
      </c>
      <c r="AR186" t="str">
        <f t="shared" si="38"/>
        <v>3-5 Years</v>
      </c>
    </row>
    <row r="187" spans="1:44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39</v>
      </c>
      <c r="L187">
        <v>72</v>
      </c>
      <c r="M187">
        <v>3</v>
      </c>
      <c r="N187">
        <v>1</v>
      </c>
      <c r="O187" t="s">
        <v>47</v>
      </c>
      <c r="P187">
        <v>2</v>
      </c>
      <c r="Q187" t="s">
        <v>48</v>
      </c>
      <c r="R187">
        <v>2756</v>
      </c>
      <c r="S187">
        <v>1</v>
      </c>
      <c r="T187" t="s">
        <v>43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  <c r="AF187">
        <f t="shared" si="26"/>
        <v>0</v>
      </c>
      <c r="AG187">
        <f t="shared" si="27"/>
        <v>0</v>
      </c>
      <c r="AH187" t="str">
        <f t="shared" si="28"/>
        <v>Bachelor</v>
      </c>
      <c r="AI187" t="str">
        <f t="shared" si="29"/>
        <v>Very High</v>
      </c>
      <c r="AJ187" t="str">
        <f t="shared" si="30"/>
        <v>High</v>
      </c>
      <c r="AK187" t="str">
        <f t="shared" si="31"/>
        <v>Entry</v>
      </c>
      <c r="AL187" t="str">
        <f t="shared" si="32"/>
        <v>Medium</v>
      </c>
      <c r="AM187" t="str">
        <f t="shared" si="33"/>
        <v>Very High</v>
      </c>
      <c r="AN187" t="str">
        <f t="shared" si="34"/>
        <v>Low</v>
      </c>
      <c r="AO187" t="str">
        <f t="shared" si="35"/>
        <v>Better</v>
      </c>
      <c r="AP187" t="str">
        <f t="shared" si="36"/>
        <v>25-34</v>
      </c>
      <c r="AQ187" t="str">
        <f t="shared" si="37"/>
        <v>Low</v>
      </c>
      <c r="AR187" t="str">
        <f t="shared" si="38"/>
        <v>6-10 Years</v>
      </c>
    </row>
    <row r="188" spans="1:44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39</v>
      </c>
      <c r="L188">
        <v>46</v>
      </c>
      <c r="M188">
        <v>3</v>
      </c>
      <c r="N188">
        <v>5</v>
      </c>
      <c r="O188" t="s">
        <v>56</v>
      </c>
      <c r="P188">
        <v>3</v>
      </c>
      <c r="Q188" t="s">
        <v>48</v>
      </c>
      <c r="R188">
        <v>19033</v>
      </c>
      <c r="S188">
        <v>1</v>
      </c>
      <c r="T188" t="s">
        <v>43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  <c r="AF188">
        <f t="shared" si="26"/>
        <v>0</v>
      </c>
      <c r="AG188">
        <f t="shared" si="27"/>
        <v>0</v>
      </c>
      <c r="AH188" t="str">
        <f t="shared" si="28"/>
        <v>Below College</v>
      </c>
      <c r="AI188" t="str">
        <f t="shared" si="29"/>
        <v>Very High</v>
      </c>
      <c r="AJ188" t="str">
        <f t="shared" si="30"/>
        <v>High</v>
      </c>
      <c r="AK188" t="str">
        <f t="shared" si="31"/>
        <v>Executive</v>
      </c>
      <c r="AL188" t="str">
        <f t="shared" si="32"/>
        <v>High</v>
      </c>
      <c r="AM188" t="str">
        <f t="shared" si="33"/>
        <v>Medium</v>
      </c>
      <c r="AN188" t="str">
        <f t="shared" si="34"/>
        <v>Low</v>
      </c>
      <c r="AO188" t="str">
        <f t="shared" si="35"/>
        <v>Better</v>
      </c>
      <c r="AP188" t="str">
        <f t="shared" si="36"/>
        <v>35-44</v>
      </c>
      <c r="AQ188" t="str">
        <f t="shared" si="37"/>
        <v>High</v>
      </c>
      <c r="AR188" t="str">
        <f t="shared" si="38"/>
        <v>11-20 Years</v>
      </c>
    </row>
    <row r="189" spans="1:44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46</v>
      </c>
      <c r="L189">
        <v>61</v>
      </c>
      <c r="M189">
        <v>4</v>
      </c>
      <c r="N189">
        <v>5</v>
      </c>
      <c r="O189" t="s">
        <v>58</v>
      </c>
      <c r="P189">
        <v>2</v>
      </c>
      <c r="Q189" t="s">
        <v>41</v>
      </c>
      <c r="R189">
        <v>18722</v>
      </c>
      <c r="S189">
        <v>8</v>
      </c>
      <c r="T189" t="s">
        <v>43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  <c r="AF189">
        <f t="shared" si="26"/>
        <v>0</v>
      </c>
      <c r="AG189">
        <f t="shared" si="27"/>
        <v>0</v>
      </c>
      <c r="AH189" t="str">
        <f t="shared" si="28"/>
        <v>Master</v>
      </c>
      <c r="AI189" t="str">
        <f t="shared" si="29"/>
        <v>High</v>
      </c>
      <c r="AJ189" t="str">
        <f t="shared" si="30"/>
        <v>Very High</v>
      </c>
      <c r="AK189" t="str">
        <f t="shared" si="31"/>
        <v>Executive</v>
      </c>
      <c r="AL189" t="str">
        <f t="shared" si="32"/>
        <v>Medium</v>
      </c>
      <c r="AM189" t="str">
        <f t="shared" si="33"/>
        <v>Very High</v>
      </c>
      <c r="AN189" t="str">
        <f t="shared" si="34"/>
        <v>No Options</v>
      </c>
      <c r="AO189" t="str">
        <f t="shared" si="35"/>
        <v>Better</v>
      </c>
      <c r="AP189" t="str">
        <f t="shared" si="36"/>
        <v>55+</v>
      </c>
      <c r="AQ189" t="str">
        <f t="shared" si="37"/>
        <v>High</v>
      </c>
      <c r="AR189" t="str">
        <f t="shared" si="38"/>
        <v>20+ Years</v>
      </c>
    </row>
    <row r="190" spans="1:44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46</v>
      </c>
      <c r="L190">
        <v>45</v>
      </c>
      <c r="M190">
        <v>2</v>
      </c>
      <c r="N190">
        <v>2</v>
      </c>
      <c r="O190" t="s">
        <v>53</v>
      </c>
      <c r="P190">
        <v>3</v>
      </c>
      <c r="Q190" t="s">
        <v>48</v>
      </c>
      <c r="R190">
        <v>9547</v>
      </c>
      <c r="S190">
        <v>1</v>
      </c>
      <c r="T190" t="s">
        <v>43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  <c r="AF190">
        <f t="shared" si="26"/>
        <v>0</v>
      </c>
      <c r="AG190">
        <f t="shared" si="27"/>
        <v>0</v>
      </c>
      <c r="AH190" t="str">
        <f t="shared" si="28"/>
        <v>Below College</v>
      </c>
      <c r="AI190" t="str">
        <f t="shared" si="29"/>
        <v>Very High</v>
      </c>
      <c r="AJ190" t="str">
        <f t="shared" si="30"/>
        <v>Medium</v>
      </c>
      <c r="AK190" t="str">
        <f t="shared" si="31"/>
        <v>Junior</v>
      </c>
      <c r="AL190" t="str">
        <f t="shared" si="32"/>
        <v>High</v>
      </c>
      <c r="AM190" t="str">
        <f t="shared" si="33"/>
        <v>High</v>
      </c>
      <c r="AN190" t="str">
        <f t="shared" si="34"/>
        <v>No Options</v>
      </c>
      <c r="AO190" t="str">
        <f t="shared" si="35"/>
        <v>Good</v>
      </c>
      <c r="AP190" t="str">
        <f t="shared" si="36"/>
        <v>25-34</v>
      </c>
      <c r="AQ190" t="str">
        <f t="shared" si="37"/>
        <v>Upper-Mid</v>
      </c>
      <c r="AR190" t="str">
        <f t="shared" si="38"/>
        <v>6-10 Years</v>
      </c>
    </row>
    <row r="191" spans="1:44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39</v>
      </c>
      <c r="L191">
        <v>98</v>
      </c>
      <c r="M191">
        <v>3</v>
      </c>
      <c r="N191">
        <v>4</v>
      </c>
      <c r="O191" t="s">
        <v>54</v>
      </c>
      <c r="P191">
        <v>2</v>
      </c>
      <c r="Q191" t="s">
        <v>41</v>
      </c>
      <c r="R191">
        <v>13734</v>
      </c>
      <c r="S191">
        <v>3</v>
      </c>
      <c r="T191" t="s">
        <v>43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  <c r="AF191">
        <f t="shared" si="26"/>
        <v>0</v>
      </c>
      <c r="AG191">
        <f t="shared" si="27"/>
        <v>0</v>
      </c>
      <c r="AH191" t="str">
        <f t="shared" si="28"/>
        <v>Bachelor</v>
      </c>
      <c r="AI191" t="str">
        <f t="shared" si="29"/>
        <v>Very High</v>
      </c>
      <c r="AJ191" t="str">
        <f t="shared" si="30"/>
        <v>High</v>
      </c>
      <c r="AK191" t="str">
        <f t="shared" si="31"/>
        <v>Senior</v>
      </c>
      <c r="AL191" t="str">
        <f t="shared" si="32"/>
        <v>Medium</v>
      </c>
      <c r="AM191" t="str">
        <f t="shared" si="33"/>
        <v>High</v>
      </c>
      <c r="AN191" t="str">
        <f t="shared" si="34"/>
        <v>No Options</v>
      </c>
      <c r="AO191" t="str">
        <f t="shared" si="35"/>
        <v>Better</v>
      </c>
      <c r="AP191" t="str">
        <f t="shared" si="36"/>
        <v>45-54</v>
      </c>
      <c r="AQ191" t="str">
        <f t="shared" si="37"/>
        <v>High</v>
      </c>
      <c r="AR191" t="str">
        <f t="shared" si="38"/>
        <v>6-10 Years</v>
      </c>
    </row>
    <row r="192" spans="1:44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46</v>
      </c>
      <c r="L192">
        <v>65</v>
      </c>
      <c r="M192">
        <v>2</v>
      </c>
      <c r="N192">
        <v>5</v>
      </c>
      <c r="O192" t="s">
        <v>56</v>
      </c>
      <c r="P192">
        <v>3</v>
      </c>
      <c r="Q192" t="s">
        <v>48</v>
      </c>
      <c r="R192">
        <v>19999</v>
      </c>
      <c r="S192">
        <v>0</v>
      </c>
      <c r="T192" t="s">
        <v>43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  <c r="AF192">
        <f t="shared" si="26"/>
        <v>0</v>
      </c>
      <c r="AG192">
        <f t="shared" si="27"/>
        <v>0</v>
      </c>
      <c r="AH192" t="str">
        <f t="shared" si="28"/>
        <v>Master</v>
      </c>
      <c r="AI192" t="str">
        <f t="shared" si="29"/>
        <v>High</v>
      </c>
      <c r="AJ192" t="str">
        <f t="shared" si="30"/>
        <v>Medium</v>
      </c>
      <c r="AK192" t="str">
        <f t="shared" si="31"/>
        <v>Executive</v>
      </c>
      <c r="AL192" t="str">
        <f t="shared" si="32"/>
        <v>High</v>
      </c>
      <c r="AM192" t="str">
        <f t="shared" si="33"/>
        <v>Low</v>
      </c>
      <c r="AN192" t="str">
        <f t="shared" si="34"/>
        <v>Low</v>
      </c>
      <c r="AO192" t="str">
        <f t="shared" si="35"/>
        <v>Better</v>
      </c>
      <c r="AP192" t="str">
        <f t="shared" si="36"/>
        <v>45-54</v>
      </c>
      <c r="AQ192" t="str">
        <f t="shared" si="37"/>
        <v>High</v>
      </c>
      <c r="AR192" t="str">
        <f t="shared" si="38"/>
        <v>20+ Years</v>
      </c>
    </row>
    <row r="193" spans="1:44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39</v>
      </c>
      <c r="L193">
        <v>99</v>
      </c>
      <c r="M193">
        <v>3</v>
      </c>
      <c r="N193">
        <v>1</v>
      </c>
      <c r="O193" t="s">
        <v>47</v>
      </c>
      <c r="P193">
        <v>2</v>
      </c>
      <c r="Q193" t="s">
        <v>41</v>
      </c>
      <c r="R193">
        <v>2279</v>
      </c>
      <c r="S193">
        <v>1</v>
      </c>
      <c r="T193" t="s">
        <v>43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  <c r="AF193">
        <f t="shared" si="26"/>
        <v>0</v>
      </c>
      <c r="AG193">
        <f t="shared" si="27"/>
        <v>0</v>
      </c>
      <c r="AH193" t="str">
        <f t="shared" si="28"/>
        <v>Bachelor</v>
      </c>
      <c r="AI193" t="str">
        <f t="shared" si="29"/>
        <v>Very High</v>
      </c>
      <c r="AJ193" t="str">
        <f t="shared" si="30"/>
        <v>High</v>
      </c>
      <c r="AK193" t="str">
        <f t="shared" si="31"/>
        <v>Entry</v>
      </c>
      <c r="AL193" t="str">
        <f t="shared" si="32"/>
        <v>Medium</v>
      </c>
      <c r="AM193" t="str">
        <f t="shared" si="33"/>
        <v>Very High</v>
      </c>
      <c r="AN193" t="str">
        <f t="shared" si="34"/>
        <v>No Options</v>
      </c>
      <c r="AO193" t="str">
        <f t="shared" si="35"/>
        <v>Good</v>
      </c>
      <c r="AP193" t="str">
        <f t="shared" si="36"/>
        <v>25-34</v>
      </c>
      <c r="AQ193" t="str">
        <f t="shared" si="37"/>
        <v>Low</v>
      </c>
      <c r="AR193" t="str">
        <f t="shared" si="38"/>
        <v>6-10 Years</v>
      </c>
    </row>
    <row r="194" spans="1:44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46</v>
      </c>
      <c r="L194">
        <v>50</v>
      </c>
      <c r="M194">
        <v>2</v>
      </c>
      <c r="N194">
        <v>2</v>
      </c>
      <c r="O194" t="s">
        <v>53</v>
      </c>
      <c r="P194">
        <v>3</v>
      </c>
      <c r="Q194" t="s">
        <v>48</v>
      </c>
      <c r="R194">
        <v>5916</v>
      </c>
      <c r="S194">
        <v>3</v>
      </c>
      <c r="T194" t="s">
        <v>35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  <c r="AF194">
        <f t="shared" si="26"/>
        <v>1</v>
      </c>
      <c r="AG194">
        <f t="shared" si="27"/>
        <v>1</v>
      </c>
      <c r="AH194" t="str">
        <f t="shared" si="28"/>
        <v>College</v>
      </c>
      <c r="AI194" t="str">
        <f t="shared" si="29"/>
        <v>Medium</v>
      </c>
      <c r="AJ194" t="str">
        <f t="shared" si="30"/>
        <v>Medium</v>
      </c>
      <c r="AK194" t="str">
        <f t="shared" si="31"/>
        <v>Junior</v>
      </c>
      <c r="AL194" t="str">
        <f t="shared" si="32"/>
        <v>High</v>
      </c>
      <c r="AM194" t="str">
        <f t="shared" si="33"/>
        <v>Low</v>
      </c>
      <c r="AN194" t="str">
        <f t="shared" si="34"/>
        <v>No Options</v>
      </c>
      <c r="AO194" t="str">
        <f t="shared" si="35"/>
        <v>Better</v>
      </c>
      <c r="AP194" t="str">
        <f t="shared" si="36"/>
        <v>35-44</v>
      </c>
      <c r="AQ194" t="str">
        <f t="shared" si="37"/>
        <v>Lower-Mid</v>
      </c>
      <c r="AR194" t="str">
        <f t="shared" si="38"/>
        <v>0-2 Years</v>
      </c>
    </row>
    <row r="195" spans="1:44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46</v>
      </c>
      <c r="L195">
        <v>37</v>
      </c>
      <c r="M195">
        <v>4</v>
      </c>
      <c r="N195">
        <v>1</v>
      </c>
      <c r="O195" t="s">
        <v>47</v>
      </c>
      <c r="P195">
        <v>4</v>
      </c>
      <c r="Q195" t="s">
        <v>52</v>
      </c>
      <c r="R195">
        <v>2089</v>
      </c>
      <c r="S195">
        <v>4</v>
      </c>
      <c r="T195" t="s">
        <v>43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  <c r="AF195">
        <f t="shared" ref="AF195:AF258" si="39">IF(B195="Yes",1,0)</f>
        <v>0</v>
      </c>
      <c r="AG195">
        <f t="shared" ref="AG195:AG258" si="40">IF(T195="Yes",1,0)</f>
        <v>0</v>
      </c>
      <c r="AH195" t="str">
        <f t="shared" ref="AH195:AH258" si="41">CHOOSE(G195,"Below College","College","Bachelor","Master","Doctor")</f>
        <v>Bachelor</v>
      </c>
      <c r="AI195" t="str">
        <f t="shared" ref="AI195:AI258" si="42">CHOOSE(J195,"Low","Medium","High","Very High")</f>
        <v>Very High</v>
      </c>
      <c r="AJ195" t="str">
        <f t="shared" ref="AJ195:AJ258" si="43">CHOOSE(M195,"Low","Medium","High","Very High")</f>
        <v>Very High</v>
      </c>
      <c r="AK195" t="str">
        <f t="shared" ref="AK195:AK258" si="44">CHOOSE(N195,"Entry","Junior","Mid-Level","Senior","Executive")</f>
        <v>Entry</v>
      </c>
      <c r="AL195" t="str">
        <f t="shared" ref="AL195:AL258" si="45">CHOOSE(P195,"Low","Medium","High","Very High")</f>
        <v>Very High</v>
      </c>
      <c r="AM195" t="str">
        <f t="shared" ref="AM195:AM258" si="46">CHOOSE(W195,"Low","Medium","High","Very High")</f>
        <v>Very High</v>
      </c>
      <c r="AN195" t="str">
        <f t="shared" ref="AN195:AN258" si="47">CHOOSE(X195+1,"No Options","Low","Medium","High")</f>
        <v>High</v>
      </c>
      <c r="AO195" t="str">
        <f t="shared" ref="AO195:AO258" si="48">CHOOSE(AA195,"Bad","Good","Better","Best")</f>
        <v>Best</v>
      </c>
      <c r="AP195" t="str">
        <f t="shared" ref="AP195:AP258" si="49">IF(A195&lt;=24,"Under 25",IF(A195&lt;=34,"25-34",IF(A195&lt;=44,"35-44",IF(A195&lt;=54,"45-54","55+"))))</f>
        <v>35-44</v>
      </c>
      <c r="AQ195" t="str">
        <f t="shared" ref="AQ195:AQ258" si="50">IF(R195&lt;3000,"Low",IF(R195&lt;7000,"Lower-Mid",IF(R195&lt;13000,"Upper-Mid","High")))</f>
        <v>Low</v>
      </c>
      <c r="AR195" t="str">
        <f t="shared" ref="AR195:AR258" si="51">IF(AB195&lt;=2,"0-2 Years",IF(AB195&lt;=5,"3-5 Years",IF(AB195&lt;=10,"6-10 Years",IF(AB195&lt;=20,"11-20 Years","20+ Years"))))</f>
        <v>3-5 Years</v>
      </c>
    </row>
    <row r="196" spans="1:44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46</v>
      </c>
      <c r="L196">
        <v>65</v>
      </c>
      <c r="M196">
        <v>2</v>
      </c>
      <c r="N196">
        <v>4</v>
      </c>
      <c r="O196" t="s">
        <v>56</v>
      </c>
      <c r="P196">
        <v>4</v>
      </c>
      <c r="Q196" t="s">
        <v>48</v>
      </c>
      <c r="R196">
        <v>16792</v>
      </c>
      <c r="S196">
        <v>9</v>
      </c>
      <c r="T196" t="s">
        <v>43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  <c r="AF196">
        <f t="shared" si="39"/>
        <v>0</v>
      </c>
      <c r="AG196">
        <f t="shared" si="40"/>
        <v>0</v>
      </c>
      <c r="AH196" t="str">
        <f t="shared" si="41"/>
        <v>College</v>
      </c>
      <c r="AI196" t="str">
        <f t="shared" si="42"/>
        <v>Low</v>
      </c>
      <c r="AJ196" t="str">
        <f t="shared" si="43"/>
        <v>Medium</v>
      </c>
      <c r="AK196" t="str">
        <f t="shared" si="44"/>
        <v>Senior</v>
      </c>
      <c r="AL196" t="str">
        <f t="shared" si="45"/>
        <v>Very High</v>
      </c>
      <c r="AM196" t="str">
        <f t="shared" si="46"/>
        <v>Very High</v>
      </c>
      <c r="AN196" t="str">
        <f t="shared" si="47"/>
        <v>Low</v>
      </c>
      <c r="AO196" t="str">
        <f t="shared" si="48"/>
        <v>Better</v>
      </c>
      <c r="AP196" t="str">
        <f t="shared" si="49"/>
        <v>45-54</v>
      </c>
      <c r="AQ196" t="str">
        <f t="shared" si="50"/>
        <v>High</v>
      </c>
      <c r="AR196" t="str">
        <f t="shared" si="51"/>
        <v>11-20 Years</v>
      </c>
    </row>
    <row r="197" spans="1:44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46</v>
      </c>
      <c r="L197">
        <v>65</v>
      </c>
      <c r="M197">
        <v>4</v>
      </c>
      <c r="N197">
        <v>1</v>
      </c>
      <c r="O197" t="s">
        <v>47</v>
      </c>
      <c r="P197">
        <v>1</v>
      </c>
      <c r="Q197" t="s">
        <v>48</v>
      </c>
      <c r="R197">
        <v>3564</v>
      </c>
      <c r="S197">
        <v>1</v>
      </c>
      <c r="T197" t="s">
        <v>35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  <c r="AF197">
        <f t="shared" si="39"/>
        <v>0</v>
      </c>
      <c r="AG197">
        <f t="shared" si="40"/>
        <v>1</v>
      </c>
      <c r="AH197" t="str">
        <f t="shared" si="41"/>
        <v>Bachelor</v>
      </c>
      <c r="AI197" t="str">
        <f t="shared" si="42"/>
        <v>Medium</v>
      </c>
      <c r="AJ197" t="str">
        <f t="shared" si="43"/>
        <v>Very High</v>
      </c>
      <c r="AK197" t="str">
        <f t="shared" si="44"/>
        <v>Entry</v>
      </c>
      <c r="AL197" t="str">
        <f t="shared" si="45"/>
        <v>Low</v>
      </c>
      <c r="AM197" t="str">
        <f t="shared" si="46"/>
        <v>Low</v>
      </c>
      <c r="AN197" t="str">
        <f t="shared" si="47"/>
        <v>Low</v>
      </c>
      <c r="AO197" t="str">
        <f t="shared" si="48"/>
        <v>Good</v>
      </c>
      <c r="AP197" t="str">
        <f t="shared" si="49"/>
        <v>35-44</v>
      </c>
      <c r="AQ197" t="str">
        <f t="shared" si="50"/>
        <v>Lower-Mid</v>
      </c>
      <c r="AR197" t="str">
        <f t="shared" si="51"/>
        <v>6-10 Years</v>
      </c>
    </row>
    <row r="198" spans="1:44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39</v>
      </c>
      <c r="L198">
        <v>37</v>
      </c>
      <c r="M198">
        <v>3</v>
      </c>
      <c r="N198">
        <v>2</v>
      </c>
      <c r="O198" t="s">
        <v>50</v>
      </c>
      <c r="P198">
        <v>2</v>
      </c>
      <c r="Q198" t="s">
        <v>41</v>
      </c>
      <c r="R198">
        <v>4425</v>
      </c>
      <c r="S198">
        <v>5</v>
      </c>
      <c r="T198" t="s">
        <v>43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  <c r="AF198">
        <f t="shared" si="39"/>
        <v>0</v>
      </c>
      <c r="AG198">
        <f t="shared" si="40"/>
        <v>0</v>
      </c>
      <c r="AH198" t="str">
        <f t="shared" si="41"/>
        <v>Bachelor</v>
      </c>
      <c r="AI198" t="str">
        <f t="shared" si="42"/>
        <v>Medium</v>
      </c>
      <c r="AJ198" t="str">
        <f t="shared" si="43"/>
        <v>High</v>
      </c>
      <c r="AK198" t="str">
        <f t="shared" si="44"/>
        <v>Junior</v>
      </c>
      <c r="AL198" t="str">
        <f t="shared" si="45"/>
        <v>Medium</v>
      </c>
      <c r="AM198" t="str">
        <f t="shared" si="46"/>
        <v>Very High</v>
      </c>
      <c r="AN198" t="str">
        <f t="shared" si="47"/>
        <v>No Options</v>
      </c>
      <c r="AO198" t="str">
        <f t="shared" si="48"/>
        <v>Better</v>
      </c>
      <c r="AP198" t="str">
        <f t="shared" si="49"/>
        <v>35-44</v>
      </c>
      <c r="AQ198" t="str">
        <f t="shared" si="50"/>
        <v>Lower-Mid</v>
      </c>
      <c r="AR198" t="str">
        <f t="shared" si="51"/>
        <v>6-10 Years</v>
      </c>
    </row>
    <row r="199" spans="1:44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39</v>
      </c>
      <c r="L199">
        <v>36</v>
      </c>
      <c r="M199">
        <v>3</v>
      </c>
      <c r="N199">
        <v>2</v>
      </c>
      <c r="O199" t="s">
        <v>53</v>
      </c>
      <c r="P199">
        <v>3</v>
      </c>
      <c r="Q199" t="s">
        <v>52</v>
      </c>
      <c r="R199">
        <v>5265</v>
      </c>
      <c r="S199">
        <v>2</v>
      </c>
      <c r="T199" t="s">
        <v>43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  <c r="AF199">
        <f t="shared" si="39"/>
        <v>0</v>
      </c>
      <c r="AG199">
        <f t="shared" si="40"/>
        <v>0</v>
      </c>
      <c r="AH199" t="str">
        <f t="shared" si="41"/>
        <v>College</v>
      </c>
      <c r="AI199" t="str">
        <f t="shared" si="42"/>
        <v>High</v>
      </c>
      <c r="AJ199" t="str">
        <f t="shared" si="43"/>
        <v>High</v>
      </c>
      <c r="AK199" t="str">
        <f t="shared" si="44"/>
        <v>Junior</v>
      </c>
      <c r="AL199" t="str">
        <f t="shared" si="45"/>
        <v>High</v>
      </c>
      <c r="AM199" t="str">
        <f t="shared" si="46"/>
        <v>Medium</v>
      </c>
      <c r="AN199" t="str">
        <f t="shared" si="47"/>
        <v>Low</v>
      </c>
      <c r="AO199" t="str">
        <f t="shared" si="48"/>
        <v>Better</v>
      </c>
      <c r="AP199" t="str">
        <f t="shared" si="49"/>
        <v>35-44</v>
      </c>
      <c r="AQ199" t="str">
        <f t="shared" si="50"/>
        <v>Lower-Mid</v>
      </c>
      <c r="AR199" t="str">
        <f t="shared" si="51"/>
        <v>3-5 Years</v>
      </c>
    </row>
    <row r="200" spans="1:44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46</v>
      </c>
      <c r="L200">
        <v>88</v>
      </c>
      <c r="M200">
        <v>3</v>
      </c>
      <c r="N200">
        <v>2</v>
      </c>
      <c r="O200" t="s">
        <v>53</v>
      </c>
      <c r="P200">
        <v>3</v>
      </c>
      <c r="Q200" t="s">
        <v>48</v>
      </c>
      <c r="R200">
        <v>6553</v>
      </c>
      <c r="S200">
        <v>9</v>
      </c>
      <c r="T200" t="s">
        <v>43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  <c r="AF200">
        <f t="shared" si="39"/>
        <v>0</v>
      </c>
      <c r="AG200">
        <f t="shared" si="40"/>
        <v>0</v>
      </c>
      <c r="AH200" t="str">
        <f t="shared" si="41"/>
        <v>Master</v>
      </c>
      <c r="AI200" t="str">
        <f t="shared" si="42"/>
        <v>Very High</v>
      </c>
      <c r="AJ200" t="str">
        <f t="shared" si="43"/>
        <v>High</v>
      </c>
      <c r="AK200" t="str">
        <f t="shared" si="44"/>
        <v>Junior</v>
      </c>
      <c r="AL200" t="str">
        <f t="shared" si="45"/>
        <v>High</v>
      </c>
      <c r="AM200" t="str">
        <f t="shared" si="46"/>
        <v>Medium</v>
      </c>
      <c r="AN200" t="str">
        <f t="shared" si="47"/>
        <v>No Options</v>
      </c>
      <c r="AO200" t="str">
        <f t="shared" si="48"/>
        <v>Better</v>
      </c>
      <c r="AP200" t="str">
        <f t="shared" si="49"/>
        <v>35-44</v>
      </c>
      <c r="AQ200" t="str">
        <f t="shared" si="50"/>
        <v>Lower-Mid</v>
      </c>
      <c r="AR200" t="str">
        <f t="shared" si="51"/>
        <v>0-2 Years</v>
      </c>
    </row>
    <row r="201" spans="1:44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t="s">
        <v>46</v>
      </c>
      <c r="L201">
        <v>54</v>
      </c>
      <c r="M201">
        <v>3</v>
      </c>
      <c r="N201">
        <v>2</v>
      </c>
      <c r="O201" t="s">
        <v>53</v>
      </c>
      <c r="P201">
        <v>4</v>
      </c>
      <c r="Q201" t="s">
        <v>48</v>
      </c>
      <c r="R201">
        <v>6261</v>
      </c>
      <c r="S201">
        <v>3</v>
      </c>
      <c r="T201" t="s">
        <v>43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  <c r="AF201">
        <f t="shared" si="39"/>
        <v>0</v>
      </c>
      <c r="AG201">
        <f t="shared" si="40"/>
        <v>0</v>
      </c>
      <c r="AH201" t="str">
        <f t="shared" si="41"/>
        <v>Bachelor</v>
      </c>
      <c r="AI201" t="str">
        <f t="shared" si="42"/>
        <v>Very High</v>
      </c>
      <c r="AJ201" t="str">
        <f t="shared" si="43"/>
        <v>High</v>
      </c>
      <c r="AK201" t="str">
        <f t="shared" si="44"/>
        <v>Junior</v>
      </c>
      <c r="AL201" t="str">
        <f t="shared" si="45"/>
        <v>Very High</v>
      </c>
      <c r="AM201" t="str">
        <f t="shared" si="46"/>
        <v>Low</v>
      </c>
      <c r="AN201" t="str">
        <f t="shared" si="47"/>
        <v>Low</v>
      </c>
      <c r="AO201" t="str">
        <f t="shared" si="48"/>
        <v>Bad</v>
      </c>
      <c r="AP201" t="str">
        <f t="shared" si="49"/>
        <v>35-44</v>
      </c>
      <c r="AQ201" t="str">
        <f t="shared" si="50"/>
        <v>Lower-Mid</v>
      </c>
      <c r="AR201" t="str">
        <f t="shared" si="51"/>
        <v>6-10 Years</v>
      </c>
    </row>
    <row r="202" spans="1:44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t="s">
        <v>46</v>
      </c>
      <c r="L202">
        <v>60</v>
      </c>
      <c r="M202">
        <v>2</v>
      </c>
      <c r="N202">
        <v>2</v>
      </c>
      <c r="O202" t="s">
        <v>53</v>
      </c>
      <c r="P202">
        <v>1</v>
      </c>
      <c r="Q202" t="s">
        <v>48</v>
      </c>
      <c r="R202">
        <v>4298</v>
      </c>
      <c r="S202">
        <v>5</v>
      </c>
      <c r="T202" t="s">
        <v>43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  <c r="AF202">
        <f t="shared" si="39"/>
        <v>0</v>
      </c>
      <c r="AG202">
        <f t="shared" si="40"/>
        <v>0</v>
      </c>
      <c r="AH202" t="str">
        <f t="shared" si="41"/>
        <v>Below College</v>
      </c>
      <c r="AI202" t="str">
        <f t="shared" si="42"/>
        <v>High</v>
      </c>
      <c r="AJ202" t="str">
        <f t="shared" si="43"/>
        <v>Medium</v>
      </c>
      <c r="AK202" t="str">
        <f t="shared" si="44"/>
        <v>Junior</v>
      </c>
      <c r="AL202" t="str">
        <f t="shared" si="45"/>
        <v>Low</v>
      </c>
      <c r="AM202" t="str">
        <f t="shared" si="46"/>
        <v>High</v>
      </c>
      <c r="AN202" t="str">
        <f t="shared" si="47"/>
        <v>Low</v>
      </c>
      <c r="AO202" t="str">
        <f t="shared" si="48"/>
        <v>Better</v>
      </c>
      <c r="AP202" t="str">
        <f t="shared" si="49"/>
        <v>25-34</v>
      </c>
      <c r="AQ202" t="str">
        <f t="shared" si="50"/>
        <v>Lower-Mid</v>
      </c>
      <c r="AR202" t="str">
        <f t="shared" si="51"/>
        <v>0-2 Years</v>
      </c>
    </row>
    <row r="203" spans="1:44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46</v>
      </c>
      <c r="L203">
        <v>92</v>
      </c>
      <c r="M203">
        <v>3</v>
      </c>
      <c r="N203">
        <v>2</v>
      </c>
      <c r="O203" t="s">
        <v>53</v>
      </c>
      <c r="P203">
        <v>4</v>
      </c>
      <c r="Q203" t="s">
        <v>52</v>
      </c>
      <c r="R203">
        <v>6804</v>
      </c>
      <c r="S203">
        <v>1</v>
      </c>
      <c r="T203" t="s">
        <v>35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  <c r="AF203">
        <f t="shared" si="39"/>
        <v>0</v>
      </c>
      <c r="AG203">
        <f t="shared" si="40"/>
        <v>1</v>
      </c>
      <c r="AH203" t="str">
        <f t="shared" si="41"/>
        <v>Master</v>
      </c>
      <c r="AI203" t="str">
        <f t="shared" si="42"/>
        <v>Very High</v>
      </c>
      <c r="AJ203" t="str">
        <f t="shared" si="43"/>
        <v>High</v>
      </c>
      <c r="AK203" t="str">
        <f t="shared" si="44"/>
        <v>Junior</v>
      </c>
      <c r="AL203" t="str">
        <f t="shared" si="45"/>
        <v>Very High</v>
      </c>
      <c r="AM203" t="str">
        <f t="shared" si="46"/>
        <v>Low</v>
      </c>
      <c r="AN203" t="str">
        <f t="shared" si="47"/>
        <v>Medium</v>
      </c>
      <c r="AO203" t="str">
        <f t="shared" si="48"/>
        <v>Better</v>
      </c>
      <c r="AP203" t="str">
        <f t="shared" si="49"/>
        <v>45-54</v>
      </c>
      <c r="AQ203" t="str">
        <f t="shared" si="50"/>
        <v>Lower-Mid</v>
      </c>
      <c r="AR203" t="str">
        <f t="shared" si="51"/>
        <v>6-10 Years</v>
      </c>
    </row>
    <row r="204" spans="1:44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46</v>
      </c>
      <c r="L204">
        <v>43</v>
      </c>
      <c r="M204">
        <v>3</v>
      </c>
      <c r="N204">
        <v>1</v>
      </c>
      <c r="O204" t="s">
        <v>47</v>
      </c>
      <c r="P204">
        <v>3</v>
      </c>
      <c r="Q204" t="s">
        <v>52</v>
      </c>
      <c r="R204">
        <v>3815</v>
      </c>
      <c r="S204">
        <v>1</v>
      </c>
      <c r="T204" t="s">
        <v>35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  <c r="AF204">
        <f t="shared" si="39"/>
        <v>0</v>
      </c>
      <c r="AG204">
        <f t="shared" si="40"/>
        <v>1</v>
      </c>
      <c r="AH204" t="str">
        <f t="shared" si="41"/>
        <v>Master</v>
      </c>
      <c r="AI204" t="str">
        <f t="shared" si="42"/>
        <v>Very High</v>
      </c>
      <c r="AJ204" t="str">
        <f t="shared" si="43"/>
        <v>High</v>
      </c>
      <c r="AK204" t="str">
        <f t="shared" si="44"/>
        <v>Entry</v>
      </c>
      <c r="AL204" t="str">
        <f t="shared" si="45"/>
        <v>High</v>
      </c>
      <c r="AM204" t="str">
        <f t="shared" si="46"/>
        <v>Very High</v>
      </c>
      <c r="AN204" t="str">
        <f t="shared" si="47"/>
        <v>Low</v>
      </c>
      <c r="AO204" t="str">
        <f t="shared" si="48"/>
        <v>Best</v>
      </c>
      <c r="AP204" t="str">
        <f t="shared" si="49"/>
        <v>25-34</v>
      </c>
      <c r="AQ204" t="str">
        <f t="shared" si="50"/>
        <v>Lower-Mid</v>
      </c>
      <c r="AR204" t="str">
        <f t="shared" si="51"/>
        <v>3-5 Years</v>
      </c>
    </row>
    <row r="205" spans="1:44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46</v>
      </c>
      <c r="L205">
        <v>99</v>
      </c>
      <c r="M205">
        <v>3</v>
      </c>
      <c r="N205">
        <v>2</v>
      </c>
      <c r="O205" t="s">
        <v>50</v>
      </c>
      <c r="P205">
        <v>4</v>
      </c>
      <c r="Q205" t="s">
        <v>48</v>
      </c>
      <c r="R205">
        <v>2741</v>
      </c>
      <c r="S205">
        <v>8</v>
      </c>
      <c r="T205" t="s">
        <v>35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  <c r="AF205">
        <f t="shared" si="39"/>
        <v>0</v>
      </c>
      <c r="AG205">
        <f t="shared" si="40"/>
        <v>1</v>
      </c>
      <c r="AH205" t="str">
        <f t="shared" si="41"/>
        <v>College</v>
      </c>
      <c r="AI205" t="str">
        <f t="shared" si="42"/>
        <v>High</v>
      </c>
      <c r="AJ205" t="str">
        <f t="shared" si="43"/>
        <v>High</v>
      </c>
      <c r="AK205" t="str">
        <f t="shared" si="44"/>
        <v>Junior</v>
      </c>
      <c r="AL205" t="str">
        <f t="shared" si="45"/>
        <v>Very High</v>
      </c>
      <c r="AM205" t="str">
        <f t="shared" si="46"/>
        <v>High</v>
      </c>
      <c r="AN205" t="str">
        <f t="shared" si="47"/>
        <v>Low</v>
      </c>
      <c r="AO205" t="str">
        <f t="shared" si="48"/>
        <v>Best</v>
      </c>
      <c r="AP205" t="str">
        <f t="shared" si="49"/>
        <v>35-44</v>
      </c>
      <c r="AQ205" t="str">
        <f t="shared" si="50"/>
        <v>Low</v>
      </c>
      <c r="AR205" t="str">
        <f t="shared" si="51"/>
        <v>6-10 Years</v>
      </c>
    </row>
    <row r="206" spans="1:44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46</v>
      </c>
      <c r="L206">
        <v>70</v>
      </c>
      <c r="M206">
        <v>3</v>
      </c>
      <c r="N206">
        <v>2</v>
      </c>
      <c r="O206" t="s">
        <v>54</v>
      </c>
      <c r="P206">
        <v>1</v>
      </c>
      <c r="Q206" t="s">
        <v>48</v>
      </c>
      <c r="R206">
        <v>6673</v>
      </c>
      <c r="S206">
        <v>7</v>
      </c>
      <c r="T206" t="s">
        <v>35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  <c r="AF206">
        <f t="shared" si="39"/>
        <v>1</v>
      </c>
      <c r="AG206">
        <f t="shared" si="40"/>
        <v>1</v>
      </c>
      <c r="AH206" t="str">
        <f t="shared" si="41"/>
        <v>Below College</v>
      </c>
      <c r="AI206" t="str">
        <f t="shared" si="42"/>
        <v>Medium</v>
      </c>
      <c r="AJ206" t="str">
        <f t="shared" si="43"/>
        <v>High</v>
      </c>
      <c r="AK206" t="str">
        <f t="shared" si="44"/>
        <v>Junior</v>
      </c>
      <c r="AL206" t="str">
        <f t="shared" si="45"/>
        <v>Low</v>
      </c>
      <c r="AM206" t="str">
        <f t="shared" si="46"/>
        <v>Medium</v>
      </c>
      <c r="AN206" t="str">
        <f t="shared" si="47"/>
        <v>No Options</v>
      </c>
      <c r="AO206" t="str">
        <f t="shared" si="48"/>
        <v>Better</v>
      </c>
      <c r="AP206" t="str">
        <f t="shared" si="49"/>
        <v>35-44</v>
      </c>
      <c r="AQ206" t="str">
        <f t="shared" si="50"/>
        <v>Lower-Mid</v>
      </c>
      <c r="AR206" t="str">
        <f t="shared" si="51"/>
        <v>0-2 Years</v>
      </c>
    </row>
    <row r="207" spans="1:44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t="s">
        <v>39</v>
      </c>
      <c r="L207">
        <v>35</v>
      </c>
      <c r="M207">
        <v>3</v>
      </c>
      <c r="N207">
        <v>3</v>
      </c>
      <c r="O207" t="s">
        <v>40</v>
      </c>
      <c r="P207">
        <v>4</v>
      </c>
      <c r="Q207" t="s">
        <v>48</v>
      </c>
      <c r="R207">
        <v>7639</v>
      </c>
      <c r="S207">
        <v>1</v>
      </c>
      <c r="T207" t="s">
        <v>43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  <c r="AF207">
        <f t="shared" si="39"/>
        <v>1</v>
      </c>
      <c r="AG207">
        <f t="shared" si="40"/>
        <v>0</v>
      </c>
      <c r="AH207" t="str">
        <f t="shared" si="41"/>
        <v>Bachelor</v>
      </c>
      <c r="AI207" t="str">
        <f t="shared" si="42"/>
        <v>Medium</v>
      </c>
      <c r="AJ207" t="str">
        <f t="shared" si="43"/>
        <v>High</v>
      </c>
      <c r="AK207" t="str">
        <f t="shared" si="44"/>
        <v>Mid-Level</v>
      </c>
      <c r="AL207" t="str">
        <f t="shared" si="45"/>
        <v>Very High</v>
      </c>
      <c r="AM207" t="str">
        <f t="shared" si="46"/>
        <v>Very High</v>
      </c>
      <c r="AN207" t="str">
        <f t="shared" si="47"/>
        <v>High</v>
      </c>
      <c r="AO207" t="str">
        <f t="shared" si="48"/>
        <v>Good</v>
      </c>
      <c r="AP207" t="str">
        <f t="shared" si="49"/>
        <v>25-34</v>
      </c>
      <c r="AQ207" t="str">
        <f t="shared" si="50"/>
        <v>Upper-Mid</v>
      </c>
      <c r="AR207" t="str">
        <f t="shared" si="51"/>
        <v>6-10 Years</v>
      </c>
    </row>
    <row r="208" spans="1:44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46</v>
      </c>
      <c r="L208">
        <v>60</v>
      </c>
      <c r="M208">
        <v>4</v>
      </c>
      <c r="N208">
        <v>1</v>
      </c>
      <c r="O208" t="s">
        <v>47</v>
      </c>
      <c r="P208">
        <v>2</v>
      </c>
      <c r="Q208" t="s">
        <v>52</v>
      </c>
      <c r="R208">
        <v>2328</v>
      </c>
      <c r="S208">
        <v>1</v>
      </c>
      <c r="T208" t="s">
        <v>35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  <c r="AF208">
        <f t="shared" si="39"/>
        <v>0</v>
      </c>
      <c r="AG208">
        <f t="shared" si="40"/>
        <v>1</v>
      </c>
      <c r="AH208" t="str">
        <f t="shared" si="41"/>
        <v>Bachelor</v>
      </c>
      <c r="AI208" t="str">
        <f t="shared" si="42"/>
        <v>Very High</v>
      </c>
      <c r="AJ208" t="str">
        <f t="shared" si="43"/>
        <v>Very High</v>
      </c>
      <c r="AK208" t="str">
        <f t="shared" si="44"/>
        <v>Entry</v>
      </c>
      <c r="AL208" t="str">
        <f t="shared" si="45"/>
        <v>Medium</v>
      </c>
      <c r="AM208" t="str">
        <f t="shared" si="46"/>
        <v>Low</v>
      </c>
      <c r="AN208" t="str">
        <f t="shared" si="47"/>
        <v>Low</v>
      </c>
      <c r="AO208" t="str">
        <f t="shared" si="48"/>
        <v>Good</v>
      </c>
      <c r="AP208" t="str">
        <f t="shared" si="49"/>
        <v>Under 25</v>
      </c>
      <c r="AQ208" t="str">
        <f t="shared" si="50"/>
        <v>Low</v>
      </c>
      <c r="AR208" t="str">
        <f t="shared" si="51"/>
        <v>3-5 Years</v>
      </c>
    </row>
    <row r="209" spans="1:44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39</v>
      </c>
      <c r="L209">
        <v>73</v>
      </c>
      <c r="M209">
        <v>3</v>
      </c>
      <c r="N209">
        <v>1</v>
      </c>
      <c r="O209" t="s">
        <v>50</v>
      </c>
      <c r="P209">
        <v>4</v>
      </c>
      <c r="Q209" t="s">
        <v>41</v>
      </c>
      <c r="R209">
        <v>2153</v>
      </c>
      <c r="S209">
        <v>1</v>
      </c>
      <c r="T209" t="s">
        <v>43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  <c r="AF209">
        <f t="shared" si="39"/>
        <v>0</v>
      </c>
      <c r="AG209">
        <f t="shared" si="40"/>
        <v>0</v>
      </c>
      <c r="AH209" t="str">
        <f t="shared" si="41"/>
        <v>Below College</v>
      </c>
      <c r="AI209" t="str">
        <f t="shared" si="42"/>
        <v>Medium</v>
      </c>
      <c r="AJ209" t="str">
        <f t="shared" si="43"/>
        <v>High</v>
      </c>
      <c r="AK209" t="str">
        <f t="shared" si="44"/>
        <v>Entry</v>
      </c>
      <c r="AL209" t="str">
        <f t="shared" si="45"/>
        <v>Very High</v>
      </c>
      <c r="AM209" t="str">
        <f t="shared" si="46"/>
        <v>Low</v>
      </c>
      <c r="AN209" t="str">
        <f t="shared" si="47"/>
        <v>No Options</v>
      </c>
      <c r="AO209" t="str">
        <f t="shared" si="48"/>
        <v>Better</v>
      </c>
      <c r="AP209" t="str">
        <f t="shared" si="49"/>
        <v>35-44</v>
      </c>
      <c r="AQ209" t="str">
        <f t="shared" si="50"/>
        <v>Low</v>
      </c>
      <c r="AR209" t="str">
        <f t="shared" si="51"/>
        <v>6-10 Years</v>
      </c>
    </row>
    <row r="210" spans="1:44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46</v>
      </c>
      <c r="L210">
        <v>63</v>
      </c>
      <c r="M210">
        <v>2</v>
      </c>
      <c r="N210">
        <v>2</v>
      </c>
      <c r="O210" t="s">
        <v>54</v>
      </c>
      <c r="P210">
        <v>4</v>
      </c>
      <c r="Q210" t="s">
        <v>48</v>
      </c>
      <c r="R210">
        <v>4876</v>
      </c>
      <c r="S210">
        <v>9</v>
      </c>
      <c r="T210" t="s">
        <v>43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  <c r="AF210">
        <f t="shared" si="39"/>
        <v>0</v>
      </c>
      <c r="AG210">
        <f t="shared" si="40"/>
        <v>0</v>
      </c>
      <c r="AH210" t="str">
        <f t="shared" si="41"/>
        <v>Doctor</v>
      </c>
      <c r="AI210" t="str">
        <f t="shared" si="42"/>
        <v>Very High</v>
      </c>
      <c r="AJ210" t="str">
        <f t="shared" si="43"/>
        <v>Medium</v>
      </c>
      <c r="AK210" t="str">
        <f t="shared" si="44"/>
        <v>Junior</v>
      </c>
      <c r="AL210" t="str">
        <f t="shared" si="45"/>
        <v>Very High</v>
      </c>
      <c r="AM210" t="str">
        <f t="shared" si="46"/>
        <v>Very High</v>
      </c>
      <c r="AN210" t="str">
        <f t="shared" si="47"/>
        <v>Low</v>
      </c>
      <c r="AO210" t="str">
        <f t="shared" si="48"/>
        <v>Bad</v>
      </c>
      <c r="AP210" t="str">
        <f t="shared" si="49"/>
        <v>35-44</v>
      </c>
      <c r="AQ210" t="str">
        <f t="shared" si="50"/>
        <v>Lower-Mid</v>
      </c>
      <c r="AR210" t="str">
        <f t="shared" si="51"/>
        <v>3-5 Years</v>
      </c>
    </row>
    <row r="211" spans="1:44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46</v>
      </c>
      <c r="L211">
        <v>97</v>
      </c>
      <c r="M211">
        <v>3</v>
      </c>
      <c r="N211">
        <v>3</v>
      </c>
      <c r="O211" t="s">
        <v>54</v>
      </c>
      <c r="P211">
        <v>1</v>
      </c>
      <c r="Q211" t="s">
        <v>52</v>
      </c>
      <c r="R211">
        <v>9396</v>
      </c>
      <c r="S211">
        <v>7</v>
      </c>
      <c r="T211" t="s">
        <v>43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  <c r="AF211">
        <f t="shared" si="39"/>
        <v>0</v>
      </c>
      <c r="AG211">
        <f t="shared" si="40"/>
        <v>0</v>
      </c>
      <c r="AH211" t="str">
        <f t="shared" si="41"/>
        <v>Master</v>
      </c>
      <c r="AI211" t="str">
        <f t="shared" si="42"/>
        <v>Very High</v>
      </c>
      <c r="AJ211" t="str">
        <f t="shared" si="43"/>
        <v>High</v>
      </c>
      <c r="AK211" t="str">
        <f t="shared" si="44"/>
        <v>Mid-Level</v>
      </c>
      <c r="AL211" t="str">
        <f t="shared" si="45"/>
        <v>Low</v>
      </c>
      <c r="AM211" t="str">
        <f t="shared" si="46"/>
        <v>High</v>
      </c>
      <c r="AN211" t="str">
        <f t="shared" si="47"/>
        <v>Low</v>
      </c>
      <c r="AO211" t="str">
        <f t="shared" si="48"/>
        <v>Better</v>
      </c>
      <c r="AP211" t="str">
        <f t="shared" si="49"/>
        <v>45-54</v>
      </c>
      <c r="AQ211" t="str">
        <f t="shared" si="50"/>
        <v>Upper-Mid</v>
      </c>
      <c r="AR211" t="str">
        <f t="shared" si="51"/>
        <v>3-5 Years</v>
      </c>
    </row>
    <row r="212" spans="1:44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46</v>
      </c>
      <c r="L212">
        <v>32</v>
      </c>
      <c r="M212">
        <v>1</v>
      </c>
      <c r="N212">
        <v>3</v>
      </c>
      <c r="O212" t="s">
        <v>40</v>
      </c>
      <c r="P212">
        <v>4</v>
      </c>
      <c r="Q212" t="s">
        <v>48</v>
      </c>
      <c r="R212">
        <v>10400</v>
      </c>
      <c r="S212">
        <v>1</v>
      </c>
      <c r="T212" t="s">
        <v>43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  <c r="AF212">
        <f t="shared" si="39"/>
        <v>1</v>
      </c>
      <c r="AG212">
        <f t="shared" si="40"/>
        <v>0</v>
      </c>
      <c r="AH212" t="str">
        <f t="shared" si="41"/>
        <v>Master</v>
      </c>
      <c r="AI212" t="str">
        <f t="shared" si="42"/>
        <v>Very High</v>
      </c>
      <c r="AJ212" t="str">
        <f t="shared" si="43"/>
        <v>Low</v>
      </c>
      <c r="AK212" t="str">
        <f t="shared" si="44"/>
        <v>Mid-Level</v>
      </c>
      <c r="AL212" t="str">
        <f t="shared" si="45"/>
        <v>Very High</v>
      </c>
      <c r="AM212" t="str">
        <f t="shared" si="46"/>
        <v>High</v>
      </c>
      <c r="AN212" t="str">
        <f t="shared" si="47"/>
        <v>No Options</v>
      </c>
      <c r="AO212" t="str">
        <f t="shared" si="48"/>
        <v>Good</v>
      </c>
      <c r="AP212" t="str">
        <f t="shared" si="49"/>
        <v>25-34</v>
      </c>
      <c r="AQ212" t="str">
        <f t="shared" si="50"/>
        <v>Upper-Mid</v>
      </c>
      <c r="AR212" t="str">
        <f t="shared" si="51"/>
        <v>11-20 Years</v>
      </c>
    </row>
    <row r="213" spans="1:44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46</v>
      </c>
      <c r="L213">
        <v>88</v>
      </c>
      <c r="M213">
        <v>2</v>
      </c>
      <c r="N213">
        <v>3</v>
      </c>
      <c r="O213" t="s">
        <v>53</v>
      </c>
      <c r="P213">
        <v>3</v>
      </c>
      <c r="Q213" t="s">
        <v>41</v>
      </c>
      <c r="R213">
        <v>8474</v>
      </c>
      <c r="S213">
        <v>1</v>
      </c>
      <c r="T213" t="s">
        <v>43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  <c r="AF213">
        <f t="shared" si="39"/>
        <v>0</v>
      </c>
      <c r="AG213">
        <f t="shared" si="40"/>
        <v>0</v>
      </c>
      <c r="AH213" t="str">
        <f t="shared" si="41"/>
        <v>Below College</v>
      </c>
      <c r="AI213" t="str">
        <f t="shared" si="42"/>
        <v>High</v>
      </c>
      <c r="AJ213" t="str">
        <f t="shared" si="43"/>
        <v>Medium</v>
      </c>
      <c r="AK213" t="str">
        <f t="shared" si="44"/>
        <v>Mid-Level</v>
      </c>
      <c r="AL213" t="str">
        <f t="shared" si="45"/>
        <v>High</v>
      </c>
      <c r="AM213" t="str">
        <f t="shared" si="46"/>
        <v>High</v>
      </c>
      <c r="AN213" t="str">
        <f t="shared" si="47"/>
        <v>No Options</v>
      </c>
      <c r="AO213" t="str">
        <f t="shared" si="48"/>
        <v>Better</v>
      </c>
      <c r="AP213" t="str">
        <f t="shared" si="49"/>
        <v>25-34</v>
      </c>
      <c r="AQ213" t="str">
        <f t="shared" si="50"/>
        <v>Upper-Mid</v>
      </c>
      <c r="AR213" t="str">
        <f t="shared" si="51"/>
        <v>11-20 Years</v>
      </c>
    </row>
    <row r="214" spans="1:44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90</v>
      </c>
      <c r="M214">
        <v>3</v>
      </c>
      <c r="N214">
        <v>2</v>
      </c>
      <c r="O214" t="s">
        <v>40</v>
      </c>
      <c r="P214">
        <v>3</v>
      </c>
      <c r="Q214" t="s">
        <v>41</v>
      </c>
      <c r="R214">
        <v>9981</v>
      </c>
      <c r="S214">
        <v>1</v>
      </c>
      <c r="T214" t="s">
        <v>43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  <c r="AF214">
        <f t="shared" si="39"/>
        <v>0</v>
      </c>
      <c r="AG214">
        <f t="shared" si="40"/>
        <v>0</v>
      </c>
      <c r="AH214" t="str">
        <f t="shared" si="41"/>
        <v>Bachelor</v>
      </c>
      <c r="AI214" t="str">
        <f t="shared" si="42"/>
        <v>Very High</v>
      </c>
      <c r="AJ214" t="str">
        <f t="shared" si="43"/>
        <v>High</v>
      </c>
      <c r="AK214" t="str">
        <f t="shared" si="44"/>
        <v>Junior</v>
      </c>
      <c r="AL214" t="str">
        <f t="shared" si="45"/>
        <v>High</v>
      </c>
      <c r="AM214" t="str">
        <f t="shared" si="46"/>
        <v>Very High</v>
      </c>
      <c r="AN214" t="str">
        <f t="shared" si="47"/>
        <v>No Options</v>
      </c>
      <c r="AO214" t="str">
        <f t="shared" si="48"/>
        <v>Better</v>
      </c>
      <c r="AP214" t="str">
        <f t="shared" si="49"/>
        <v>25-34</v>
      </c>
      <c r="AQ214" t="str">
        <f t="shared" si="50"/>
        <v>Upper-Mid</v>
      </c>
      <c r="AR214" t="str">
        <f t="shared" si="51"/>
        <v>6-10 Years</v>
      </c>
    </row>
    <row r="215" spans="1:44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46</v>
      </c>
      <c r="L215">
        <v>81</v>
      </c>
      <c r="M215">
        <v>2</v>
      </c>
      <c r="N215">
        <v>3</v>
      </c>
      <c r="O215" t="s">
        <v>58</v>
      </c>
      <c r="P215">
        <v>2</v>
      </c>
      <c r="Q215" t="s">
        <v>48</v>
      </c>
      <c r="R215">
        <v>12490</v>
      </c>
      <c r="S215">
        <v>5</v>
      </c>
      <c r="T215" t="s">
        <v>43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  <c r="AF215">
        <f t="shared" si="39"/>
        <v>0</v>
      </c>
      <c r="AG215">
        <f t="shared" si="40"/>
        <v>0</v>
      </c>
      <c r="AH215" t="str">
        <f t="shared" si="41"/>
        <v>Master</v>
      </c>
      <c r="AI215" t="str">
        <f t="shared" si="42"/>
        <v>Medium</v>
      </c>
      <c r="AJ215" t="str">
        <f t="shared" si="43"/>
        <v>Medium</v>
      </c>
      <c r="AK215" t="str">
        <f t="shared" si="44"/>
        <v>Mid-Level</v>
      </c>
      <c r="AL215" t="str">
        <f t="shared" si="45"/>
        <v>Medium</v>
      </c>
      <c r="AM215" t="str">
        <f t="shared" si="46"/>
        <v>Very High</v>
      </c>
      <c r="AN215" t="str">
        <f t="shared" si="47"/>
        <v>Medium</v>
      </c>
      <c r="AO215" t="str">
        <f t="shared" si="48"/>
        <v>Bad</v>
      </c>
      <c r="AP215" t="str">
        <f t="shared" si="49"/>
        <v>45-54</v>
      </c>
      <c r="AQ215" t="str">
        <f t="shared" si="50"/>
        <v>Upper-Mid</v>
      </c>
      <c r="AR215" t="str">
        <f t="shared" si="51"/>
        <v>6-10 Years</v>
      </c>
    </row>
    <row r="216" spans="1:44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t="s">
        <v>39</v>
      </c>
      <c r="L216">
        <v>88</v>
      </c>
      <c r="M216">
        <v>3</v>
      </c>
      <c r="N216">
        <v>1</v>
      </c>
      <c r="O216" t="s">
        <v>47</v>
      </c>
      <c r="P216">
        <v>1</v>
      </c>
      <c r="Q216" t="s">
        <v>41</v>
      </c>
      <c r="R216">
        <v>2657</v>
      </c>
      <c r="S216">
        <v>5</v>
      </c>
      <c r="T216" t="s">
        <v>35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  <c r="AF216">
        <f t="shared" si="39"/>
        <v>1</v>
      </c>
      <c r="AG216">
        <f t="shared" si="40"/>
        <v>1</v>
      </c>
      <c r="AH216" t="str">
        <f t="shared" si="41"/>
        <v>Bachelor</v>
      </c>
      <c r="AI216" t="str">
        <f t="shared" si="42"/>
        <v>Very High</v>
      </c>
      <c r="AJ216" t="str">
        <f t="shared" si="43"/>
        <v>High</v>
      </c>
      <c r="AK216" t="str">
        <f t="shared" si="44"/>
        <v>Entry</v>
      </c>
      <c r="AL216" t="str">
        <f t="shared" si="45"/>
        <v>Low</v>
      </c>
      <c r="AM216" t="str">
        <f t="shared" si="46"/>
        <v>High</v>
      </c>
      <c r="AN216" t="str">
        <f t="shared" si="47"/>
        <v>No Options</v>
      </c>
      <c r="AO216" t="str">
        <f t="shared" si="48"/>
        <v>Better</v>
      </c>
      <c r="AP216" t="str">
        <f t="shared" si="49"/>
        <v>25-34</v>
      </c>
      <c r="AQ216" t="str">
        <f t="shared" si="50"/>
        <v>Low</v>
      </c>
      <c r="AR216" t="str">
        <f t="shared" si="51"/>
        <v>3-5 Years</v>
      </c>
    </row>
    <row r="217" spans="1:44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75</v>
      </c>
      <c r="M217">
        <v>3</v>
      </c>
      <c r="N217">
        <v>3</v>
      </c>
      <c r="O217" t="s">
        <v>56</v>
      </c>
      <c r="P217">
        <v>4</v>
      </c>
      <c r="Q217" t="s">
        <v>41</v>
      </c>
      <c r="R217">
        <v>13591</v>
      </c>
      <c r="S217">
        <v>3</v>
      </c>
      <c r="T217" t="s">
        <v>35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  <c r="AF217">
        <f t="shared" si="39"/>
        <v>0</v>
      </c>
      <c r="AG217">
        <f t="shared" si="40"/>
        <v>1</v>
      </c>
      <c r="AH217" t="str">
        <f t="shared" si="41"/>
        <v>Bachelor</v>
      </c>
      <c r="AI217" t="str">
        <f t="shared" si="42"/>
        <v>Very High</v>
      </c>
      <c r="AJ217" t="str">
        <f t="shared" si="43"/>
        <v>High</v>
      </c>
      <c r="AK217" t="str">
        <f t="shared" si="44"/>
        <v>Mid-Level</v>
      </c>
      <c r="AL217" t="str">
        <f t="shared" si="45"/>
        <v>Very High</v>
      </c>
      <c r="AM217" t="str">
        <f t="shared" si="46"/>
        <v>High</v>
      </c>
      <c r="AN217" t="str">
        <f t="shared" si="47"/>
        <v>No Options</v>
      </c>
      <c r="AO217" t="str">
        <f t="shared" si="48"/>
        <v>Better</v>
      </c>
      <c r="AP217" t="str">
        <f t="shared" si="49"/>
        <v>35-44</v>
      </c>
      <c r="AQ217" t="str">
        <f t="shared" si="50"/>
        <v>High</v>
      </c>
      <c r="AR217" t="str">
        <f t="shared" si="51"/>
        <v>0-2 Years</v>
      </c>
    </row>
    <row r="218" spans="1:44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t="s">
        <v>39</v>
      </c>
      <c r="L218">
        <v>52</v>
      </c>
      <c r="M218">
        <v>2</v>
      </c>
      <c r="N218">
        <v>2</v>
      </c>
      <c r="O218" t="s">
        <v>40</v>
      </c>
      <c r="P218">
        <v>1</v>
      </c>
      <c r="Q218" t="s">
        <v>41</v>
      </c>
      <c r="R218">
        <v>6696</v>
      </c>
      <c r="S218">
        <v>5</v>
      </c>
      <c r="T218" t="s">
        <v>43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  <c r="AF218">
        <f t="shared" si="39"/>
        <v>1</v>
      </c>
      <c r="AG218">
        <f t="shared" si="40"/>
        <v>0</v>
      </c>
      <c r="AH218" t="str">
        <f t="shared" si="41"/>
        <v>Master</v>
      </c>
      <c r="AI218" t="str">
        <f t="shared" si="42"/>
        <v>High</v>
      </c>
      <c r="AJ218" t="str">
        <f t="shared" si="43"/>
        <v>Medium</v>
      </c>
      <c r="AK218" t="str">
        <f t="shared" si="44"/>
        <v>Junior</v>
      </c>
      <c r="AL218" t="str">
        <f t="shared" si="45"/>
        <v>Low</v>
      </c>
      <c r="AM218" t="str">
        <f t="shared" si="46"/>
        <v>High</v>
      </c>
      <c r="AN218" t="str">
        <f t="shared" si="47"/>
        <v>No Options</v>
      </c>
      <c r="AO218" t="str">
        <f t="shared" si="48"/>
        <v>Good</v>
      </c>
      <c r="AP218" t="str">
        <f t="shared" si="49"/>
        <v>25-34</v>
      </c>
      <c r="AQ218" t="str">
        <f t="shared" si="50"/>
        <v>Lower-Mid</v>
      </c>
      <c r="AR218" t="str">
        <f t="shared" si="51"/>
        <v>6-10 Years</v>
      </c>
    </row>
    <row r="219" spans="1:44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t="s">
        <v>46</v>
      </c>
      <c r="L219">
        <v>85</v>
      </c>
      <c r="M219">
        <v>3</v>
      </c>
      <c r="N219">
        <v>1</v>
      </c>
      <c r="O219" t="s">
        <v>47</v>
      </c>
      <c r="P219">
        <v>3</v>
      </c>
      <c r="Q219" t="s">
        <v>41</v>
      </c>
      <c r="R219">
        <v>2058</v>
      </c>
      <c r="S219">
        <v>0</v>
      </c>
      <c r="T219" t="s">
        <v>43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  <c r="AF219">
        <f t="shared" si="39"/>
        <v>1</v>
      </c>
      <c r="AG219">
        <f t="shared" si="40"/>
        <v>0</v>
      </c>
      <c r="AH219" t="str">
        <f t="shared" si="41"/>
        <v>Bachelor</v>
      </c>
      <c r="AI219" t="str">
        <f t="shared" si="42"/>
        <v>High</v>
      </c>
      <c r="AJ219" t="str">
        <f t="shared" si="43"/>
        <v>High</v>
      </c>
      <c r="AK219" t="str">
        <f t="shared" si="44"/>
        <v>Entry</v>
      </c>
      <c r="AL219" t="str">
        <f t="shared" si="45"/>
        <v>High</v>
      </c>
      <c r="AM219" t="str">
        <f t="shared" si="46"/>
        <v>Very High</v>
      </c>
      <c r="AN219" t="str">
        <f t="shared" si="47"/>
        <v>No Options</v>
      </c>
      <c r="AO219" t="str">
        <f t="shared" si="48"/>
        <v>Good</v>
      </c>
      <c r="AP219" t="str">
        <f t="shared" si="49"/>
        <v>25-34</v>
      </c>
      <c r="AQ219" t="str">
        <f t="shared" si="50"/>
        <v>Low</v>
      </c>
      <c r="AR219" t="str">
        <f t="shared" si="51"/>
        <v>6-10 Years</v>
      </c>
    </row>
    <row r="220" spans="1:44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39</v>
      </c>
      <c r="L220">
        <v>57</v>
      </c>
      <c r="M220">
        <v>2</v>
      </c>
      <c r="N220">
        <v>3</v>
      </c>
      <c r="O220" t="s">
        <v>40</v>
      </c>
      <c r="P220">
        <v>4</v>
      </c>
      <c r="Q220" t="s">
        <v>41</v>
      </c>
      <c r="R220">
        <v>8865</v>
      </c>
      <c r="S220">
        <v>6</v>
      </c>
      <c r="T220" t="s">
        <v>43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  <c r="AF220">
        <f t="shared" si="39"/>
        <v>0</v>
      </c>
      <c r="AG220">
        <f t="shared" si="40"/>
        <v>0</v>
      </c>
      <c r="AH220" t="str">
        <f t="shared" si="41"/>
        <v>Bachelor</v>
      </c>
      <c r="AI220" t="str">
        <f t="shared" si="42"/>
        <v>Very High</v>
      </c>
      <c r="AJ220" t="str">
        <f t="shared" si="43"/>
        <v>Medium</v>
      </c>
      <c r="AK220" t="str">
        <f t="shared" si="44"/>
        <v>Mid-Level</v>
      </c>
      <c r="AL220" t="str">
        <f t="shared" si="45"/>
        <v>Very High</v>
      </c>
      <c r="AM220" t="str">
        <f t="shared" si="46"/>
        <v>Very High</v>
      </c>
      <c r="AN220" t="str">
        <f t="shared" si="47"/>
        <v>No Options</v>
      </c>
      <c r="AO220" t="str">
        <f t="shared" si="48"/>
        <v>Better</v>
      </c>
      <c r="AP220" t="str">
        <f t="shared" si="49"/>
        <v>45-54</v>
      </c>
      <c r="AQ220" t="str">
        <f t="shared" si="50"/>
        <v>Upper-Mid</v>
      </c>
      <c r="AR220" t="str">
        <f t="shared" si="51"/>
        <v>11-20 Years</v>
      </c>
    </row>
    <row r="221" spans="1:44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t="s">
        <v>39</v>
      </c>
      <c r="L221">
        <v>52</v>
      </c>
      <c r="M221">
        <v>3</v>
      </c>
      <c r="N221">
        <v>2</v>
      </c>
      <c r="O221" t="s">
        <v>40</v>
      </c>
      <c r="P221">
        <v>1</v>
      </c>
      <c r="Q221" t="s">
        <v>48</v>
      </c>
      <c r="R221">
        <v>5940</v>
      </c>
      <c r="S221">
        <v>2</v>
      </c>
      <c r="T221" t="s">
        <v>43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  <c r="AF221">
        <f t="shared" si="39"/>
        <v>0</v>
      </c>
      <c r="AG221">
        <f t="shared" si="40"/>
        <v>0</v>
      </c>
      <c r="AH221" t="str">
        <f t="shared" si="41"/>
        <v>Bachelor</v>
      </c>
      <c r="AI221" t="str">
        <f t="shared" si="42"/>
        <v>Very High</v>
      </c>
      <c r="AJ221" t="str">
        <f t="shared" si="43"/>
        <v>High</v>
      </c>
      <c r="AK221" t="str">
        <f t="shared" si="44"/>
        <v>Junior</v>
      </c>
      <c r="AL221" t="str">
        <f t="shared" si="45"/>
        <v>Low</v>
      </c>
      <c r="AM221" t="str">
        <f t="shared" si="46"/>
        <v>Very High</v>
      </c>
      <c r="AN221" t="str">
        <f t="shared" si="47"/>
        <v>Low</v>
      </c>
      <c r="AO221" t="str">
        <f t="shared" si="48"/>
        <v>Better</v>
      </c>
      <c r="AP221" t="str">
        <f t="shared" si="49"/>
        <v>45-54</v>
      </c>
      <c r="AQ221" t="str">
        <f t="shared" si="50"/>
        <v>Lower-Mid</v>
      </c>
      <c r="AR221" t="str">
        <f t="shared" si="51"/>
        <v>6-10 Years</v>
      </c>
    </row>
    <row r="222" spans="1:44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46</v>
      </c>
      <c r="L222">
        <v>62</v>
      </c>
      <c r="M222">
        <v>3</v>
      </c>
      <c r="N222">
        <v>2</v>
      </c>
      <c r="O222" t="s">
        <v>50</v>
      </c>
      <c r="P222">
        <v>2</v>
      </c>
      <c r="Q222" t="s">
        <v>41</v>
      </c>
      <c r="R222">
        <v>5914</v>
      </c>
      <c r="S222">
        <v>8</v>
      </c>
      <c r="T222" t="s">
        <v>43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  <c r="AF222">
        <f t="shared" si="39"/>
        <v>0</v>
      </c>
      <c r="AG222">
        <f t="shared" si="40"/>
        <v>0</v>
      </c>
      <c r="AH222" t="str">
        <f t="shared" si="41"/>
        <v>College</v>
      </c>
      <c r="AI222" t="str">
        <f t="shared" si="42"/>
        <v>Very High</v>
      </c>
      <c r="AJ222" t="str">
        <f t="shared" si="43"/>
        <v>High</v>
      </c>
      <c r="AK222" t="str">
        <f t="shared" si="44"/>
        <v>Junior</v>
      </c>
      <c r="AL222" t="str">
        <f t="shared" si="45"/>
        <v>Medium</v>
      </c>
      <c r="AM222" t="str">
        <f t="shared" si="46"/>
        <v>Very High</v>
      </c>
      <c r="AN222" t="str">
        <f t="shared" si="47"/>
        <v>No Options</v>
      </c>
      <c r="AO222" t="str">
        <f t="shared" si="48"/>
        <v>Best</v>
      </c>
      <c r="AP222" t="str">
        <f t="shared" si="49"/>
        <v>35-44</v>
      </c>
      <c r="AQ222" t="str">
        <f t="shared" si="50"/>
        <v>Lower-Mid</v>
      </c>
      <c r="AR222" t="str">
        <f t="shared" si="51"/>
        <v>11-20 Years</v>
      </c>
    </row>
    <row r="223" spans="1:44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39</v>
      </c>
      <c r="L223">
        <v>47</v>
      </c>
      <c r="M223">
        <v>2</v>
      </c>
      <c r="N223">
        <v>1</v>
      </c>
      <c r="O223" t="s">
        <v>47</v>
      </c>
      <c r="P223">
        <v>2</v>
      </c>
      <c r="Q223" t="s">
        <v>48</v>
      </c>
      <c r="R223">
        <v>2622</v>
      </c>
      <c r="S223">
        <v>6</v>
      </c>
      <c r="T223" t="s">
        <v>43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  <c r="AF223">
        <f t="shared" si="39"/>
        <v>0</v>
      </c>
      <c r="AG223">
        <f t="shared" si="40"/>
        <v>0</v>
      </c>
      <c r="AH223" t="str">
        <f t="shared" si="41"/>
        <v>Master</v>
      </c>
      <c r="AI223" t="str">
        <f t="shared" si="42"/>
        <v>High</v>
      </c>
      <c r="AJ223" t="str">
        <f t="shared" si="43"/>
        <v>Medium</v>
      </c>
      <c r="AK223" t="str">
        <f t="shared" si="44"/>
        <v>Entry</v>
      </c>
      <c r="AL223" t="str">
        <f t="shared" si="45"/>
        <v>Medium</v>
      </c>
      <c r="AM223" t="str">
        <f t="shared" si="46"/>
        <v>Very High</v>
      </c>
      <c r="AN223" t="str">
        <f t="shared" si="47"/>
        <v>No Options</v>
      </c>
      <c r="AO223" t="str">
        <f t="shared" si="48"/>
        <v>Better</v>
      </c>
      <c r="AP223" t="str">
        <f t="shared" si="49"/>
        <v>25-34</v>
      </c>
      <c r="AQ223" t="str">
        <f t="shared" si="50"/>
        <v>Low</v>
      </c>
      <c r="AR223" t="str">
        <f t="shared" si="51"/>
        <v>3-5 Years</v>
      </c>
    </row>
    <row r="224" spans="1:44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47</v>
      </c>
      <c r="M224">
        <v>3</v>
      </c>
      <c r="N224">
        <v>3</v>
      </c>
      <c r="O224" t="s">
        <v>58</v>
      </c>
      <c r="P224">
        <v>4</v>
      </c>
      <c r="Q224" t="s">
        <v>52</v>
      </c>
      <c r="R224">
        <v>12185</v>
      </c>
      <c r="S224">
        <v>1</v>
      </c>
      <c r="T224" t="s">
        <v>35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  <c r="AF224">
        <f t="shared" si="39"/>
        <v>0</v>
      </c>
      <c r="AG224">
        <f t="shared" si="40"/>
        <v>1</v>
      </c>
      <c r="AH224" t="str">
        <f t="shared" si="41"/>
        <v>Bachelor</v>
      </c>
      <c r="AI224" t="str">
        <f t="shared" si="42"/>
        <v>Medium</v>
      </c>
      <c r="AJ224" t="str">
        <f t="shared" si="43"/>
        <v>High</v>
      </c>
      <c r="AK224" t="str">
        <f t="shared" si="44"/>
        <v>Mid-Level</v>
      </c>
      <c r="AL224" t="str">
        <f t="shared" si="45"/>
        <v>Very High</v>
      </c>
      <c r="AM224" t="str">
        <f t="shared" si="46"/>
        <v>High</v>
      </c>
      <c r="AN224" t="str">
        <f t="shared" si="47"/>
        <v>High</v>
      </c>
      <c r="AO224" t="str">
        <f t="shared" si="48"/>
        <v>Better</v>
      </c>
      <c r="AP224" t="str">
        <f t="shared" si="49"/>
        <v>35-44</v>
      </c>
      <c r="AQ224" t="str">
        <f t="shared" si="50"/>
        <v>Upper-Mid</v>
      </c>
      <c r="AR224" t="str">
        <f t="shared" si="51"/>
        <v>6-10 Years</v>
      </c>
    </row>
    <row r="225" spans="1:44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46</v>
      </c>
      <c r="L225">
        <v>76</v>
      </c>
      <c r="M225">
        <v>3</v>
      </c>
      <c r="N225">
        <v>3</v>
      </c>
      <c r="O225" t="s">
        <v>40</v>
      </c>
      <c r="P225">
        <v>3</v>
      </c>
      <c r="Q225" t="s">
        <v>52</v>
      </c>
      <c r="R225">
        <v>10609</v>
      </c>
      <c r="S225">
        <v>0</v>
      </c>
      <c r="T225" t="s">
        <v>43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  <c r="AF225">
        <f t="shared" si="39"/>
        <v>0</v>
      </c>
      <c r="AG225">
        <f t="shared" si="40"/>
        <v>0</v>
      </c>
      <c r="AH225" t="str">
        <f t="shared" si="41"/>
        <v>Bachelor</v>
      </c>
      <c r="AI225" t="str">
        <f t="shared" si="42"/>
        <v>Low</v>
      </c>
      <c r="AJ225" t="str">
        <f t="shared" si="43"/>
        <v>High</v>
      </c>
      <c r="AK225" t="str">
        <f t="shared" si="44"/>
        <v>Mid-Level</v>
      </c>
      <c r="AL225" t="str">
        <f t="shared" si="45"/>
        <v>High</v>
      </c>
      <c r="AM225" t="str">
        <f t="shared" si="46"/>
        <v>High</v>
      </c>
      <c r="AN225" t="str">
        <f t="shared" si="47"/>
        <v>Medium</v>
      </c>
      <c r="AO225" t="str">
        <f t="shared" si="48"/>
        <v>Good</v>
      </c>
      <c r="AP225" t="str">
        <f t="shared" si="49"/>
        <v>35-44</v>
      </c>
      <c r="AQ225" t="str">
        <f t="shared" si="50"/>
        <v>Upper-Mid</v>
      </c>
      <c r="AR225" t="str">
        <f t="shared" si="51"/>
        <v>11-20 Years</v>
      </c>
    </row>
    <row r="226" spans="1:44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46</v>
      </c>
      <c r="L226">
        <v>90</v>
      </c>
      <c r="M226">
        <v>1</v>
      </c>
      <c r="N226">
        <v>2</v>
      </c>
      <c r="O226" t="s">
        <v>53</v>
      </c>
      <c r="P226">
        <v>3</v>
      </c>
      <c r="Q226" t="s">
        <v>48</v>
      </c>
      <c r="R226">
        <v>4345</v>
      </c>
      <c r="S226">
        <v>0</v>
      </c>
      <c r="T226" t="s">
        <v>43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  <c r="AF226">
        <f t="shared" si="39"/>
        <v>0</v>
      </c>
      <c r="AG226">
        <f t="shared" si="40"/>
        <v>0</v>
      </c>
      <c r="AH226" t="str">
        <f t="shared" si="41"/>
        <v>Master</v>
      </c>
      <c r="AI226" t="str">
        <f t="shared" si="42"/>
        <v>High</v>
      </c>
      <c r="AJ226" t="str">
        <f t="shared" si="43"/>
        <v>Low</v>
      </c>
      <c r="AK226" t="str">
        <f t="shared" si="44"/>
        <v>Junior</v>
      </c>
      <c r="AL226" t="str">
        <f t="shared" si="45"/>
        <v>High</v>
      </c>
      <c r="AM226" t="str">
        <f t="shared" si="46"/>
        <v>Very High</v>
      </c>
      <c r="AN226" t="str">
        <f t="shared" si="47"/>
        <v>Low</v>
      </c>
      <c r="AO226" t="str">
        <f t="shared" si="48"/>
        <v>Better</v>
      </c>
      <c r="AP226" t="str">
        <f t="shared" si="49"/>
        <v>25-34</v>
      </c>
      <c r="AQ226" t="str">
        <f t="shared" si="50"/>
        <v>Lower-Mid</v>
      </c>
      <c r="AR226" t="str">
        <f t="shared" si="51"/>
        <v>3-5 Years</v>
      </c>
    </row>
    <row r="227" spans="1:44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46</v>
      </c>
      <c r="L227">
        <v>70</v>
      </c>
      <c r="M227">
        <v>2</v>
      </c>
      <c r="N227">
        <v>1</v>
      </c>
      <c r="O227" t="s">
        <v>47</v>
      </c>
      <c r="P227">
        <v>4</v>
      </c>
      <c r="Q227" t="s">
        <v>48</v>
      </c>
      <c r="R227">
        <v>2177</v>
      </c>
      <c r="S227">
        <v>3</v>
      </c>
      <c r="T227" t="s">
        <v>43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  <c r="AF227">
        <f t="shared" si="39"/>
        <v>0</v>
      </c>
      <c r="AG227">
        <f t="shared" si="40"/>
        <v>0</v>
      </c>
      <c r="AH227" t="str">
        <f t="shared" si="41"/>
        <v>Bachelor</v>
      </c>
      <c r="AI227" t="str">
        <f t="shared" si="42"/>
        <v>High</v>
      </c>
      <c r="AJ227" t="str">
        <f t="shared" si="43"/>
        <v>Medium</v>
      </c>
      <c r="AK227" t="str">
        <f t="shared" si="44"/>
        <v>Entry</v>
      </c>
      <c r="AL227" t="str">
        <f t="shared" si="45"/>
        <v>Very High</v>
      </c>
      <c r="AM227" t="str">
        <f t="shared" si="46"/>
        <v>Low</v>
      </c>
      <c r="AN227" t="str">
        <f t="shared" si="47"/>
        <v>Low</v>
      </c>
      <c r="AO227" t="str">
        <f t="shared" si="48"/>
        <v>Better</v>
      </c>
      <c r="AP227" t="str">
        <f t="shared" si="49"/>
        <v>55+</v>
      </c>
      <c r="AQ227" t="str">
        <f t="shared" si="50"/>
        <v>Low</v>
      </c>
      <c r="AR227" t="str">
        <f t="shared" si="51"/>
        <v>0-2 Years</v>
      </c>
    </row>
    <row r="228" spans="1:44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t="s">
        <v>46</v>
      </c>
      <c r="L228">
        <v>41</v>
      </c>
      <c r="M228">
        <v>3</v>
      </c>
      <c r="N228">
        <v>1</v>
      </c>
      <c r="O228" t="s">
        <v>57</v>
      </c>
      <c r="P228">
        <v>4</v>
      </c>
      <c r="Q228" t="s">
        <v>52</v>
      </c>
      <c r="R228">
        <v>2793</v>
      </c>
      <c r="S228">
        <v>4</v>
      </c>
      <c r="T228" t="s">
        <v>43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  <c r="AF228">
        <f t="shared" si="39"/>
        <v>0</v>
      </c>
      <c r="AG228">
        <f t="shared" si="40"/>
        <v>0</v>
      </c>
      <c r="AH228" t="str">
        <f t="shared" si="41"/>
        <v>Master</v>
      </c>
      <c r="AI228" t="str">
        <f t="shared" si="42"/>
        <v>Low</v>
      </c>
      <c r="AJ228" t="str">
        <f t="shared" si="43"/>
        <v>High</v>
      </c>
      <c r="AK228" t="str">
        <f t="shared" si="44"/>
        <v>Entry</v>
      </c>
      <c r="AL228" t="str">
        <f t="shared" si="45"/>
        <v>Very High</v>
      </c>
      <c r="AM228" t="str">
        <f t="shared" si="46"/>
        <v>High</v>
      </c>
      <c r="AN228" t="str">
        <f t="shared" si="47"/>
        <v>Low</v>
      </c>
      <c r="AO228" t="str">
        <f t="shared" si="48"/>
        <v>Better</v>
      </c>
      <c r="AP228" t="str">
        <f t="shared" si="49"/>
        <v>35-44</v>
      </c>
      <c r="AQ228" t="str">
        <f t="shared" si="50"/>
        <v>Low</v>
      </c>
      <c r="AR228" t="str">
        <f t="shared" si="51"/>
        <v>6-10 Years</v>
      </c>
    </row>
    <row r="229" spans="1:44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39</v>
      </c>
      <c r="L229">
        <v>42</v>
      </c>
      <c r="M229">
        <v>3</v>
      </c>
      <c r="N229">
        <v>3</v>
      </c>
      <c r="O229" t="s">
        <v>40</v>
      </c>
      <c r="P229">
        <v>4</v>
      </c>
      <c r="Q229" t="s">
        <v>48</v>
      </c>
      <c r="R229">
        <v>7918</v>
      </c>
      <c r="S229">
        <v>1</v>
      </c>
      <c r="T229" t="s">
        <v>43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  <c r="AF229">
        <f t="shared" si="39"/>
        <v>0</v>
      </c>
      <c r="AG229">
        <f t="shared" si="40"/>
        <v>0</v>
      </c>
      <c r="AH229" t="str">
        <f t="shared" si="41"/>
        <v>Below College</v>
      </c>
      <c r="AI229" t="str">
        <f t="shared" si="42"/>
        <v>Medium</v>
      </c>
      <c r="AJ229" t="str">
        <f t="shared" si="43"/>
        <v>High</v>
      </c>
      <c r="AK229" t="str">
        <f t="shared" si="44"/>
        <v>Mid-Level</v>
      </c>
      <c r="AL229" t="str">
        <f t="shared" si="45"/>
        <v>Very High</v>
      </c>
      <c r="AM229" t="str">
        <f t="shared" si="46"/>
        <v>Very High</v>
      </c>
      <c r="AN229" t="str">
        <f t="shared" si="47"/>
        <v>Low</v>
      </c>
      <c r="AO229" t="str">
        <f t="shared" si="48"/>
        <v>Better</v>
      </c>
      <c r="AP229" t="str">
        <f t="shared" si="49"/>
        <v>25-34</v>
      </c>
      <c r="AQ229" t="str">
        <f t="shared" si="50"/>
        <v>Upper-Mid</v>
      </c>
      <c r="AR229" t="str">
        <f t="shared" si="51"/>
        <v>11-20 Years</v>
      </c>
    </row>
    <row r="230" spans="1:44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t="s">
        <v>39</v>
      </c>
      <c r="L230">
        <v>92</v>
      </c>
      <c r="M230">
        <v>3</v>
      </c>
      <c r="N230">
        <v>3</v>
      </c>
      <c r="O230" t="s">
        <v>40</v>
      </c>
      <c r="P230">
        <v>3</v>
      </c>
      <c r="Q230" t="s">
        <v>41</v>
      </c>
      <c r="R230">
        <v>8789</v>
      </c>
      <c r="S230">
        <v>1</v>
      </c>
      <c r="T230" t="s">
        <v>43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  <c r="AF230">
        <f t="shared" si="39"/>
        <v>0</v>
      </c>
      <c r="AG230">
        <f t="shared" si="40"/>
        <v>0</v>
      </c>
      <c r="AH230" t="str">
        <f t="shared" si="41"/>
        <v>Bachelor</v>
      </c>
      <c r="AI230" t="str">
        <f t="shared" si="42"/>
        <v>High</v>
      </c>
      <c r="AJ230" t="str">
        <f t="shared" si="43"/>
        <v>High</v>
      </c>
      <c r="AK230" t="str">
        <f t="shared" si="44"/>
        <v>Mid-Level</v>
      </c>
      <c r="AL230" t="str">
        <f t="shared" si="45"/>
        <v>High</v>
      </c>
      <c r="AM230" t="str">
        <f t="shared" si="46"/>
        <v>Low</v>
      </c>
      <c r="AN230" t="str">
        <f t="shared" si="47"/>
        <v>No Options</v>
      </c>
      <c r="AO230" t="str">
        <f t="shared" si="48"/>
        <v>Best</v>
      </c>
      <c r="AP230" t="str">
        <f t="shared" si="49"/>
        <v>35-44</v>
      </c>
      <c r="AQ230" t="str">
        <f t="shared" si="50"/>
        <v>Upper-Mid</v>
      </c>
      <c r="AR230" t="str">
        <f t="shared" si="51"/>
        <v>6-10 Years</v>
      </c>
    </row>
    <row r="231" spans="1:44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46</v>
      </c>
      <c r="L231">
        <v>86</v>
      </c>
      <c r="M231">
        <v>2</v>
      </c>
      <c r="N231">
        <v>1</v>
      </c>
      <c r="O231" t="s">
        <v>47</v>
      </c>
      <c r="P231">
        <v>4</v>
      </c>
      <c r="Q231" t="s">
        <v>41</v>
      </c>
      <c r="R231">
        <v>2389</v>
      </c>
      <c r="S231">
        <v>1</v>
      </c>
      <c r="T231" t="s">
        <v>35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  <c r="AF231">
        <f t="shared" si="39"/>
        <v>1</v>
      </c>
      <c r="AG231">
        <f t="shared" si="40"/>
        <v>1</v>
      </c>
      <c r="AH231" t="str">
        <f t="shared" si="41"/>
        <v>Below College</v>
      </c>
      <c r="AI231" t="str">
        <f t="shared" si="42"/>
        <v>High</v>
      </c>
      <c r="AJ231" t="str">
        <f t="shared" si="43"/>
        <v>Medium</v>
      </c>
      <c r="AK231" t="str">
        <f t="shared" si="44"/>
        <v>Entry</v>
      </c>
      <c r="AL231" t="str">
        <f t="shared" si="45"/>
        <v>Very High</v>
      </c>
      <c r="AM231" t="str">
        <f t="shared" si="46"/>
        <v>High</v>
      </c>
      <c r="AN231" t="str">
        <f t="shared" si="47"/>
        <v>No Options</v>
      </c>
      <c r="AO231" t="str">
        <f t="shared" si="48"/>
        <v>Good</v>
      </c>
      <c r="AP231" t="str">
        <f t="shared" si="49"/>
        <v>25-34</v>
      </c>
      <c r="AQ231" t="str">
        <f t="shared" si="50"/>
        <v>Low</v>
      </c>
      <c r="AR231" t="str">
        <f t="shared" si="51"/>
        <v>3-5 Years</v>
      </c>
    </row>
    <row r="232" spans="1:44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89</v>
      </c>
      <c r="M232">
        <v>2</v>
      </c>
      <c r="N232">
        <v>1</v>
      </c>
      <c r="O232" t="s">
        <v>50</v>
      </c>
      <c r="P232">
        <v>4</v>
      </c>
      <c r="Q232" t="s">
        <v>41</v>
      </c>
      <c r="R232">
        <v>3212</v>
      </c>
      <c r="S232">
        <v>7</v>
      </c>
      <c r="T232" t="s">
        <v>43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f t="shared" si="39"/>
        <v>0</v>
      </c>
      <c r="AG232">
        <f t="shared" si="40"/>
        <v>0</v>
      </c>
      <c r="AH232" t="str">
        <f t="shared" si="41"/>
        <v>Bachelor</v>
      </c>
      <c r="AI232" t="str">
        <f t="shared" si="42"/>
        <v>High</v>
      </c>
      <c r="AJ232" t="str">
        <f t="shared" si="43"/>
        <v>Medium</v>
      </c>
      <c r="AK232" t="str">
        <f t="shared" si="44"/>
        <v>Entry</v>
      </c>
      <c r="AL232" t="str">
        <f t="shared" si="45"/>
        <v>Very High</v>
      </c>
      <c r="AM232" t="str">
        <f t="shared" si="46"/>
        <v>Medium</v>
      </c>
      <c r="AN232" t="str">
        <f t="shared" si="47"/>
        <v>No Options</v>
      </c>
      <c r="AO232" t="str">
        <f t="shared" si="48"/>
        <v>Good</v>
      </c>
      <c r="AP232" t="str">
        <f t="shared" si="49"/>
        <v>45-54</v>
      </c>
      <c r="AQ232" t="str">
        <f t="shared" si="50"/>
        <v>Lower-Mid</v>
      </c>
      <c r="AR232" t="str">
        <f t="shared" si="51"/>
        <v>0-2 Years</v>
      </c>
    </row>
    <row r="233" spans="1:44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t="s">
        <v>46</v>
      </c>
      <c r="L233">
        <v>58</v>
      </c>
      <c r="M233">
        <v>3</v>
      </c>
      <c r="N233">
        <v>5</v>
      </c>
      <c r="O233" t="s">
        <v>56</v>
      </c>
      <c r="P233">
        <v>4</v>
      </c>
      <c r="Q233" t="s">
        <v>48</v>
      </c>
      <c r="R233">
        <v>19232</v>
      </c>
      <c r="S233">
        <v>1</v>
      </c>
      <c r="T233" t="s">
        <v>43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  <c r="AF233">
        <f t="shared" si="39"/>
        <v>0</v>
      </c>
      <c r="AG233">
        <f t="shared" si="40"/>
        <v>0</v>
      </c>
      <c r="AH233" t="str">
        <f t="shared" si="41"/>
        <v>College</v>
      </c>
      <c r="AI233" t="str">
        <f t="shared" si="42"/>
        <v>High</v>
      </c>
      <c r="AJ233" t="str">
        <f t="shared" si="43"/>
        <v>High</v>
      </c>
      <c r="AK233" t="str">
        <f t="shared" si="44"/>
        <v>Executive</v>
      </c>
      <c r="AL233" t="str">
        <f t="shared" si="45"/>
        <v>Very High</v>
      </c>
      <c r="AM233" t="str">
        <f t="shared" si="46"/>
        <v>Very High</v>
      </c>
      <c r="AN233" t="str">
        <f t="shared" si="47"/>
        <v>No Options</v>
      </c>
      <c r="AO233" t="str">
        <f t="shared" si="48"/>
        <v>Better</v>
      </c>
      <c r="AP233" t="str">
        <f t="shared" si="49"/>
        <v>35-44</v>
      </c>
      <c r="AQ233" t="str">
        <f t="shared" si="50"/>
        <v>High</v>
      </c>
      <c r="AR233" t="str">
        <f t="shared" si="51"/>
        <v>20+ Years</v>
      </c>
    </row>
    <row r="234" spans="1:44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46</v>
      </c>
      <c r="L234">
        <v>52</v>
      </c>
      <c r="M234">
        <v>3</v>
      </c>
      <c r="N234">
        <v>1</v>
      </c>
      <c r="O234" t="s">
        <v>61</v>
      </c>
      <c r="P234">
        <v>3</v>
      </c>
      <c r="Q234" t="s">
        <v>48</v>
      </c>
      <c r="R234">
        <v>2267</v>
      </c>
      <c r="S234">
        <v>8</v>
      </c>
      <c r="T234" t="s">
        <v>43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f t="shared" si="39"/>
        <v>0</v>
      </c>
      <c r="AG234">
        <f t="shared" si="40"/>
        <v>0</v>
      </c>
      <c r="AH234" t="str">
        <f t="shared" si="41"/>
        <v>College</v>
      </c>
      <c r="AI234" t="str">
        <f t="shared" si="42"/>
        <v>Medium</v>
      </c>
      <c r="AJ234" t="str">
        <f t="shared" si="43"/>
        <v>High</v>
      </c>
      <c r="AK234" t="str">
        <f t="shared" si="44"/>
        <v>Entry</v>
      </c>
      <c r="AL234" t="str">
        <f t="shared" si="45"/>
        <v>High</v>
      </c>
      <c r="AM234" t="str">
        <f t="shared" si="46"/>
        <v>Very High</v>
      </c>
      <c r="AN234" t="str">
        <f t="shared" si="47"/>
        <v>No Options</v>
      </c>
      <c r="AO234" t="str">
        <f t="shared" si="48"/>
        <v>Good</v>
      </c>
      <c r="AP234" t="str">
        <f t="shared" si="49"/>
        <v>55+</v>
      </c>
      <c r="AQ234" t="str">
        <f t="shared" si="50"/>
        <v>Low</v>
      </c>
      <c r="AR234" t="str">
        <f t="shared" si="51"/>
        <v>0-2 Years</v>
      </c>
    </row>
    <row r="235" spans="1:44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39</v>
      </c>
      <c r="L235">
        <v>68</v>
      </c>
      <c r="M235">
        <v>3</v>
      </c>
      <c r="N235">
        <v>5</v>
      </c>
      <c r="O235" t="s">
        <v>56</v>
      </c>
      <c r="P235">
        <v>4</v>
      </c>
      <c r="Q235" t="s">
        <v>52</v>
      </c>
      <c r="R235">
        <v>19517</v>
      </c>
      <c r="S235">
        <v>3</v>
      </c>
      <c r="T235" t="s">
        <v>43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  <c r="AF235">
        <f t="shared" si="39"/>
        <v>0</v>
      </c>
      <c r="AG235">
        <f t="shared" si="40"/>
        <v>0</v>
      </c>
      <c r="AH235" t="str">
        <f t="shared" si="41"/>
        <v>Master</v>
      </c>
      <c r="AI235" t="str">
        <f t="shared" si="42"/>
        <v>Very High</v>
      </c>
      <c r="AJ235" t="str">
        <f t="shared" si="43"/>
        <v>High</v>
      </c>
      <c r="AK235" t="str">
        <f t="shared" si="44"/>
        <v>Executive</v>
      </c>
      <c r="AL235" t="str">
        <f t="shared" si="45"/>
        <v>Very High</v>
      </c>
      <c r="AM235" t="str">
        <f t="shared" si="46"/>
        <v>High</v>
      </c>
      <c r="AN235" t="str">
        <f t="shared" si="47"/>
        <v>Low</v>
      </c>
      <c r="AO235" t="str">
        <f t="shared" si="48"/>
        <v>Good</v>
      </c>
      <c r="AP235" t="str">
        <f t="shared" si="49"/>
        <v>45-54</v>
      </c>
      <c r="AQ235" t="str">
        <f t="shared" si="50"/>
        <v>High</v>
      </c>
      <c r="AR235" t="str">
        <f t="shared" si="51"/>
        <v>6-10 Years</v>
      </c>
    </row>
    <row r="236" spans="1:44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46</v>
      </c>
      <c r="L236">
        <v>58</v>
      </c>
      <c r="M236">
        <v>3</v>
      </c>
      <c r="N236">
        <v>1</v>
      </c>
      <c r="O236" t="s">
        <v>50</v>
      </c>
      <c r="P236">
        <v>4</v>
      </c>
      <c r="Q236" t="s">
        <v>48</v>
      </c>
      <c r="R236">
        <v>2436</v>
      </c>
      <c r="S236">
        <v>5</v>
      </c>
      <c r="T236" t="s">
        <v>35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  <c r="AF236">
        <f t="shared" si="39"/>
        <v>1</v>
      </c>
      <c r="AG236">
        <f t="shared" si="40"/>
        <v>1</v>
      </c>
      <c r="AH236" t="str">
        <f t="shared" si="41"/>
        <v>Bachelor</v>
      </c>
      <c r="AI236" t="str">
        <f t="shared" si="42"/>
        <v>High</v>
      </c>
      <c r="AJ236" t="str">
        <f t="shared" si="43"/>
        <v>High</v>
      </c>
      <c r="AK236" t="str">
        <f t="shared" si="44"/>
        <v>Entry</v>
      </c>
      <c r="AL236" t="str">
        <f t="shared" si="45"/>
        <v>Very High</v>
      </c>
      <c r="AM236" t="str">
        <f t="shared" si="46"/>
        <v>High</v>
      </c>
      <c r="AN236" t="str">
        <f t="shared" si="47"/>
        <v>Low</v>
      </c>
      <c r="AO236" t="str">
        <f t="shared" si="48"/>
        <v>Bad</v>
      </c>
      <c r="AP236" t="str">
        <f t="shared" si="49"/>
        <v>25-34</v>
      </c>
      <c r="AQ236" t="str">
        <f t="shared" si="50"/>
        <v>Low</v>
      </c>
      <c r="AR236" t="str">
        <f t="shared" si="51"/>
        <v>3-5 Years</v>
      </c>
    </row>
    <row r="237" spans="1:44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t="s">
        <v>39</v>
      </c>
      <c r="L237">
        <v>80</v>
      </c>
      <c r="M237">
        <v>3</v>
      </c>
      <c r="N237">
        <v>4</v>
      </c>
      <c r="O237" t="s">
        <v>56</v>
      </c>
      <c r="P237">
        <v>4</v>
      </c>
      <c r="Q237" t="s">
        <v>48</v>
      </c>
      <c r="R237">
        <v>16064</v>
      </c>
      <c r="S237">
        <v>5</v>
      </c>
      <c r="T237" t="s">
        <v>35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  <c r="AF237">
        <f t="shared" si="39"/>
        <v>0</v>
      </c>
      <c r="AG237">
        <f t="shared" si="40"/>
        <v>1</v>
      </c>
      <c r="AH237" t="str">
        <f t="shared" si="41"/>
        <v>Bachelor</v>
      </c>
      <c r="AI237" t="str">
        <f t="shared" si="42"/>
        <v>Very High</v>
      </c>
      <c r="AJ237" t="str">
        <f t="shared" si="43"/>
        <v>High</v>
      </c>
      <c r="AK237" t="str">
        <f t="shared" si="44"/>
        <v>Senior</v>
      </c>
      <c r="AL237" t="str">
        <f t="shared" si="45"/>
        <v>Very High</v>
      </c>
      <c r="AM237" t="str">
        <f t="shared" si="46"/>
        <v>High</v>
      </c>
      <c r="AN237" t="str">
        <f t="shared" si="47"/>
        <v>Low</v>
      </c>
      <c r="AO237" t="str">
        <f t="shared" si="48"/>
        <v>Better</v>
      </c>
      <c r="AP237" t="str">
        <f t="shared" si="49"/>
        <v>35-44</v>
      </c>
      <c r="AQ237" t="str">
        <f t="shared" si="50"/>
        <v>High</v>
      </c>
      <c r="AR237" t="str">
        <f t="shared" si="51"/>
        <v>11-20 Years</v>
      </c>
    </row>
    <row r="238" spans="1:44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39</v>
      </c>
      <c r="M238">
        <v>3</v>
      </c>
      <c r="N238">
        <v>1</v>
      </c>
      <c r="O238" t="s">
        <v>50</v>
      </c>
      <c r="P238">
        <v>1</v>
      </c>
      <c r="Q238" t="s">
        <v>48</v>
      </c>
      <c r="R238">
        <v>2707</v>
      </c>
      <c r="S238">
        <v>7</v>
      </c>
      <c r="T238" t="s">
        <v>43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  <c r="AF238">
        <f t="shared" si="39"/>
        <v>1</v>
      </c>
      <c r="AG238">
        <f t="shared" si="40"/>
        <v>0</v>
      </c>
      <c r="AH238" t="str">
        <f t="shared" si="41"/>
        <v>College</v>
      </c>
      <c r="AI238" t="str">
        <f t="shared" si="42"/>
        <v>Low</v>
      </c>
      <c r="AJ238" t="str">
        <f t="shared" si="43"/>
        <v>High</v>
      </c>
      <c r="AK238" t="str">
        <f t="shared" si="44"/>
        <v>Entry</v>
      </c>
      <c r="AL238" t="str">
        <f t="shared" si="45"/>
        <v>Low</v>
      </c>
      <c r="AM238" t="str">
        <f t="shared" si="46"/>
        <v>Low</v>
      </c>
      <c r="AN238" t="str">
        <f t="shared" si="47"/>
        <v>No Options</v>
      </c>
      <c r="AO238" t="str">
        <f t="shared" si="48"/>
        <v>Best</v>
      </c>
      <c r="AP238" t="str">
        <f t="shared" si="49"/>
        <v>25-34</v>
      </c>
      <c r="AQ238" t="str">
        <f t="shared" si="50"/>
        <v>Low</v>
      </c>
      <c r="AR238" t="str">
        <f t="shared" si="51"/>
        <v>6-10 Years</v>
      </c>
    </row>
    <row r="239" spans="1:44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46</v>
      </c>
      <c r="L239">
        <v>79</v>
      </c>
      <c r="M239">
        <v>2</v>
      </c>
      <c r="N239">
        <v>5</v>
      </c>
      <c r="O239" t="s">
        <v>56</v>
      </c>
      <c r="P239">
        <v>3</v>
      </c>
      <c r="Q239" t="s">
        <v>41</v>
      </c>
      <c r="R239">
        <v>19068</v>
      </c>
      <c r="S239">
        <v>1</v>
      </c>
      <c r="T239" t="s">
        <v>35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  <c r="AF239">
        <f t="shared" si="39"/>
        <v>0</v>
      </c>
      <c r="AG239">
        <f t="shared" si="40"/>
        <v>1</v>
      </c>
      <c r="AH239" t="str">
        <f t="shared" si="41"/>
        <v>Master</v>
      </c>
      <c r="AI239" t="str">
        <f t="shared" si="42"/>
        <v>Low</v>
      </c>
      <c r="AJ239" t="str">
        <f t="shared" si="43"/>
        <v>Medium</v>
      </c>
      <c r="AK239" t="str">
        <f t="shared" si="44"/>
        <v>Executive</v>
      </c>
      <c r="AL239" t="str">
        <f t="shared" si="45"/>
        <v>High</v>
      </c>
      <c r="AM239" t="str">
        <f t="shared" si="46"/>
        <v>Very High</v>
      </c>
      <c r="AN239" t="str">
        <f t="shared" si="47"/>
        <v>No Options</v>
      </c>
      <c r="AO239" t="str">
        <f t="shared" si="48"/>
        <v>Best</v>
      </c>
      <c r="AP239" t="str">
        <f t="shared" si="49"/>
        <v>45-54</v>
      </c>
      <c r="AQ239" t="str">
        <f t="shared" si="50"/>
        <v>High</v>
      </c>
      <c r="AR239" t="str">
        <f t="shared" si="51"/>
        <v>20+ Years</v>
      </c>
    </row>
    <row r="240" spans="1:44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56</v>
      </c>
      <c r="M240">
        <v>3</v>
      </c>
      <c r="N240">
        <v>1</v>
      </c>
      <c r="O240" t="s">
        <v>57</v>
      </c>
      <c r="P240">
        <v>2</v>
      </c>
      <c r="Q240" t="s">
        <v>48</v>
      </c>
      <c r="R240">
        <v>3931</v>
      </c>
      <c r="S240">
        <v>2</v>
      </c>
      <c r="T240" t="s">
        <v>43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  <c r="AF240">
        <f t="shared" si="39"/>
        <v>0</v>
      </c>
      <c r="AG240">
        <f t="shared" si="40"/>
        <v>0</v>
      </c>
      <c r="AH240" t="str">
        <f t="shared" si="41"/>
        <v>College</v>
      </c>
      <c r="AI240" t="str">
        <f t="shared" si="42"/>
        <v>High</v>
      </c>
      <c r="AJ240" t="str">
        <f t="shared" si="43"/>
        <v>High</v>
      </c>
      <c r="AK240" t="str">
        <f t="shared" si="44"/>
        <v>Entry</v>
      </c>
      <c r="AL240" t="str">
        <f t="shared" si="45"/>
        <v>Medium</v>
      </c>
      <c r="AM240" t="str">
        <f t="shared" si="46"/>
        <v>Low</v>
      </c>
      <c r="AN240" t="str">
        <f t="shared" si="47"/>
        <v>Low</v>
      </c>
      <c r="AO240" t="str">
        <f t="shared" si="48"/>
        <v>Better</v>
      </c>
      <c r="AP240" t="str">
        <f t="shared" si="49"/>
        <v>25-34</v>
      </c>
      <c r="AQ240" t="str">
        <f t="shared" si="50"/>
        <v>Lower-Mid</v>
      </c>
      <c r="AR240" t="str">
        <f t="shared" si="51"/>
        <v>3-5 Years</v>
      </c>
    </row>
    <row r="241" spans="1:44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46</v>
      </c>
      <c r="L241">
        <v>62</v>
      </c>
      <c r="M241">
        <v>2</v>
      </c>
      <c r="N241">
        <v>1</v>
      </c>
      <c r="O241" t="s">
        <v>50</v>
      </c>
      <c r="P241">
        <v>3</v>
      </c>
      <c r="Q241" t="s">
        <v>41</v>
      </c>
      <c r="R241">
        <v>3730</v>
      </c>
      <c r="S241">
        <v>0</v>
      </c>
      <c r="T241" t="s">
        <v>35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  <c r="AF241">
        <f t="shared" si="39"/>
        <v>1</v>
      </c>
      <c r="AG241">
        <f t="shared" si="40"/>
        <v>1</v>
      </c>
      <c r="AH241" t="str">
        <f t="shared" si="41"/>
        <v>Bachelor</v>
      </c>
      <c r="AI241" t="str">
        <f t="shared" si="42"/>
        <v>Very High</v>
      </c>
      <c r="AJ241" t="str">
        <f t="shared" si="43"/>
        <v>Medium</v>
      </c>
      <c r="AK241" t="str">
        <f t="shared" si="44"/>
        <v>Entry</v>
      </c>
      <c r="AL241" t="str">
        <f t="shared" si="45"/>
        <v>High</v>
      </c>
      <c r="AM241" t="str">
        <f t="shared" si="46"/>
        <v>Very High</v>
      </c>
      <c r="AN241" t="str">
        <f t="shared" si="47"/>
        <v>No Options</v>
      </c>
      <c r="AO241" t="str">
        <f t="shared" si="48"/>
        <v>Bad</v>
      </c>
      <c r="AP241" t="str">
        <f t="shared" si="49"/>
        <v>25-34</v>
      </c>
      <c r="AQ241" t="str">
        <f t="shared" si="50"/>
        <v>Lower-Mid</v>
      </c>
      <c r="AR241" t="str">
        <f t="shared" si="51"/>
        <v>3-5 Years</v>
      </c>
    </row>
    <row r="242" spans="1:44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39</v>
      </c>
      <c r="L242">
        <v>96</v>
      </c>
      <c r="M242">
        <v>3</v>
      </c>
      <c r="N242">
        <v>1</v>
      </c>
      <c r="O242" t="s">
        <v>50</v>
      </c>
      <c r="P242">
        <v>3</v>
      </c>
      <c r="Q242" t="s">
        <v>52</v>
      </c>
      <c r="R242">
        <v>2232</v>
      </c>
      <c r="S242">
        <v>7</v>
      </c>
      <c r="T242" t="s">
        <v>43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  <c r="AF242">
        <f t="shared" si="39"/>
        <v>0</v>
      </c>
      <c r="AG242">
        <f t="shared" si="40"/>
        <v>0</v>
      </c>
      <c r="AH242" t="str">
        <f t="shared" si="41"/>
        <v>Master</v>
      </c>
      <c r="AI242" t="str">
        <f t="shared" si="42"/>
        <v>High</v>
      </c>
      <c r="AJ242" t="str">
        <f t="shared" si="43"/>
        <v>High</v>
      </c>
      <c r="AK242" t="str">
        <f t="shared" si="44"/>
        <v>Entry</v>
      </c>
      <c r="AL242" t="str">
        <f t="shared" si="45"/>
        <v>High</v>
      </c>
      <c r="AM242" t="str">
        <f t="shared" si="46"/>
        <v>High</v>
      </c>
      <c r="AN242" t="str">
        <f t="shared" si="47"/>
        <v>High</v>
      </c>
      <c r="AO242" t="str">
        <f t="shared" si="48"/>
        <v>Better</v>
      </c>
      <c r="AP242" t="str">
        <f t="shared" si="49"/>
        <v>35-44</v>
      </c>
      <c r="AQ242" t="str">
        <f t="shared" si="50"/>
        <v>Low</v>
      </c>
      <c r="AR242" t="str">
        <f t="shared" si="51"/>
        <v>3-5 Years</v>
      </c>
    </row>
    <row r="243" spans="1:44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t="s">
        <v>46</v>
      </c>
      <c r="L243">
        <v>100</v>
      </c>
      <c r="M243">
        <v>3</v>
      </c>
      <c r="N243">
        <v>2</v>
      </c>
      <c r="O243" t="s">
        <v>40</v>
      </c>
      <c r="P243">
        <v>4</v>
      </c>
      <c r="Q243" t="s">
        <v>48</v>
      </c>
      <c r="R243">
        <v>4465</v>
      </c>
      <c r="S243">
        <v>0</v>
      </c>
      <c r="T243" t="s">
        <v>43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  <c r="AF243">
        <f t="shared" si="39"/>
        <v>0</v>
      </c>
      <c r="AG243">
        <f t="shared" si="40"/>
        <v>0</v>
      </c>
      <c r="AH243" t="str">
        <f t="shared" si="41"/>
        <v>Master</v>
      </c>
      <c r="AI243" t="str">
        <f t="shared" si="42"/>
        <v>High</v>
      </c>
      <c r="AJ243" t="str">
        <f t="shared" si="43"/>
        <v>High</v>
      </c>
      <c r="AK243" t="str">
        <f t="shared" si="44"/>
        <v>Junior</v>
      </c>
      <c r="AL243" t="str">
        <f t="shared" si="45"/>
        <v>Very High</v>
      </c>
      <c r="AM243" t="str">
        <f t="shared" si="46"/>
        <v>Low</v>
      </c>
      <c r="AN243" t="str">
        <f t="shared" si="47"/>
        <v>No Options</v>
      </c>
      <c r="AO243" t="str">
        <f t="shared" si="48"/>
        <v>Better</v>
      </c>
      <c r="AP243" t="str">
        <f t="shared" si="49"/>
        <v>25-34</v>
      </c>
      <c r="AQ243" t="str">
        <f t="shared" si="50"/>
        <v>Lower-Mid</v>
      </c>
      <c r="AR243" t="str">
        <f t="shared" si="51"/>
        <v>3-5 Years</v>
      </c>
    </row>
    <row r="244" spans="1:44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46</v>
      </c>
      <c r="L244">
        <v>36</v>
      </c>
      <c r="M244">
        <v>3</v>
      </c>
      <c r="N244">
        <v>2</v>
      </c>
      <c r="O244" t="s">
        <v>47</v>
      </c>
      <c r="P244">
        <v>1</v>
      </c>
      <c r="Q244" t="s">
        <v>52</v>
      </c>
      <c r="R244">
        <v>3072</v>
      </c>
      <c r="S244">
        <v>2</v>
      </c>
      <c r="T244" t="s">
        <v>43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  <c r="AF244">
        <f t="shared" si="39"/>
        <v>0</v>
      </c>
      <c r="AG244">
        <f t="shared" si="40"/>
        <v>0</v>
      </c>
      <c r="AH244" t="str">
        <f t="shared" si="41"/>
        <v>College</v>
      </c>
      <c r="AI244" t="str">
        <f t="shared" si="42"/>
        <v>High</v>
      </c>
      <c r="AJ244" t="str">
        <f t="shared" si="43"/>
        <v>High</v>
      </c>
      <c r="AK244" t="str">
        <f t="shared" si="44"/>
        <v>Junior</v>
      </c>
      <c r="AL244" t="str">
        <f t="shared" si="45"/>
        <v>Low</v>
      </c>
      <c r="AM244" t="str">
        <f t="shared" si="46"/>
        <v>Low</v>
      </c>
      <c r="AN244" t="str">
        <f t="shared" si="47"/>
        <v>Medium</v>
      </c>
      <c r="AO244" t="str">
        <f t="shared" si="48"/>
        <v>Good</v>
      </c>
      <c r="AP244" t="str">
        <f t="shared" si="49"/>
        <v>35-44</v>
      </c>
      <c r="AQ244" t="str">
        <f t="shared" si="50"/>
        <v>Lower-Mid</v>
      </c>
      <c r="AR244" t="str">
        <f t="shared" si="51"/>
        <v>0-2 Years</v>
      </c>
    </row>
    <row r="245" spans="1:44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t="s">
        <v>46</v>
      </c>
      <c r="L245">
        <v>62</v>
      </c>
      <c r="M245">
        <v>3</v>
      </c>
      <c r="N245">
        <v>2</v>
      </c>
      <c r="O245" t="s">
        <v>47</v>
      </c>
      <c r="P245">
        <v>4</v>
      </c>
      <c r="Q245" t="s">
        <v>52</v>
      </c>
      <c r="R245">
        <v>3319</v>
      </c>
      <c r="S245">
        <v>1</v>
      </c>
      <c r="T245" t="s">
        <v>43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  <c r="AF245">
        <f t="shared" si="39"/>
        <v>0</v>
      </c>
      <c r="AG245">
        <f t="shared" si="40"/>
        <v>0</v>
      </c>
      <c r="AH245" t="str">
        <f t="shared" si="41"/>
        <v>College</v>
      </c>
      <c r="AI245" t="str">
        <f t="shared" si="42"/>
        <v>Low</v>
      </c>
      <c r="AJ245" t="str">
        <f t="shared" si="43"/>
        <v>High</v>
      </c>
      <c r="AK245" t="str">
        <f t="shared" si="44"/>
        <v>Junior</v>
      </c>
      <c r="AL245" t="str">
        <f t="shared" si="45"/>
        <v>Very High</v>
      </c>
      <c r="AM245" t="str">
        <f t="shared" si="46"/>
        <v>Low</v>
      </c>
      <c r="AN245" t="str">
        <f t="shared" si="47"/>
        <v>Medium</v>
      </c>
      <c r="AO245" t="str">
        <f t="shared" si="48"/>
        <v>Better</v>
      </c>
      <c r="AP245" t="str">
        <f t="shared" si="49"/>
        <v>35-44</v>
      </c>
      <c r="AQ245" t="str">
        <f t="shared" si="50"/>
        <v>Lower-Mid</v>
      </c>
      <c r="AR245" t="str">
        <f t="shared" si="51"/>
        <v>6-10 Years</v>
      </c>
    </row>
    <row r="246" spans="1:44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70</v>
      </c>
      <c r="M246">
        <v>4</v>
      </c>
      <c r="N246">
        <v>5</v>
      </c>
      <c r="O246" t="s">
        <v>56</v>
      </c>
      <c r="P246">
        <v>4</v>
      </c>
      <c r="Q246" t="s">
        <v>48</v>
      </c>
      <c r="R246">
        <v>19202</v>
      </c>
      <c r="S246">
        <v>0</v>
      </c>
      <c r="T246" t="s">
        <v>43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  <c r="AF246">
        <f t="shared" si="39"/>
        <v>0</v>
      </c>
      <c r="AG246">
        <f t="shared" si="40"/>
        <v>0</v>
      </c>
      <c r="AH246" t="str">
        <f t="shared" si="41"/>
        <v>Bachelor</v>
      </c>
      <c r="AI246" t="str">
        <f t="shared" si="42"/>
        <v>High</v>
      </c>
      <c r="AJ246" t="str">
        <f t="shared" si="43"/>
        <v>Very High</v>
      </c>
      <c r="AK246" t="str">
        <f t="shared" si="44"/>
        <v>Executive</v>
      </c>
      <c r="AL246" t="str">
        <f t="shared" si="45"/>
        <v>Very High</v>
      </c>
      <c r="AM246" t="str">
        <f t="shared" si="46"/>
        <v>High</v>
      </c>
      <c r="AN246" t="str">
        <f t="shared" si="47"/>
        <v>Low</v>
      </c>
      <c r="AO246" t="str">
        <f t="shared" si="48"/>
        <v>Better</v>
      </c>
      <c r="AP246" t="str">
        <f t="shared" si="49"/>
        <v>45-54</v>
      </c>
      <c r="AQ246" t="str">
        <f t="shared" si="50"/>
        <v>High</v>
      </c>
      <c r="AR246" t="str">
        <f t="shared" si="51"/>
        <v>20+ Years</v>
      </c>
    </row>
    <row r="247" spans="1:44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46</v>
      </c>
      <c r="L247">
        <v>73</v>
      </c>
      <c r="M247">
        <v>3</v>
      </c>
      <c r="N247">
        <v>3</v>
      </c>
      <c r="O247" t="s">
        <v>58</v>
      </c>
      <c r="P247">
        <v>3</v>
      </c>
      <c r="Q247" t="s">
        <v>52</v>
      </c>
      <c r="R247">
        <v>13675</v>
      </c>
      <c r="S247">
        <v>9</v>
      </c>
      <c r="T247" t="s">
        <v>43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  <c r="AF247">
        <f t="shared" si="39"/>
        <v>0</v>
      </c>
      <c r="AG247">
        <f t="shared" si="40"/>
        <v>0</v>
      </c>
      <c r="AH247" t="str">
        <f t="shared" si="41"/>
        <v>Master</v>
      </c>
      <c r="AI247" t="str">
        <f t="shared" si="42"/>
        <v>Medium</v>
      </c>
      <c r="AJ247" t="str">
        <f t="shared" si="43"/>
        <v>High</v>
      </c>
      <c r="AK247" t="str">
        <f t="shared" si="44"/>
        <v>Mid-Level</v>
      </c>
      <c r="AL247" t="str">
        <f t="shared" si="45"/>
        <v>High</v>
      </c>
      <c r="AM247" t="str">
        <f t="shared" si="46"/>
        <v>Low</v>
      </c>
      <c r="AN247" t="str">
        <f t="shared" si="47"/>
        <v>Low</v>
      </c>
      <c r="AO247" t="str">
        <f t="shared" si="48"/>
        <v>Better</v>
      </c>
      <c r="AP247" t="str">
        <f t="shared" si="49"/>
        <v>25-34</v>
      </c>
      <c r="AQ247" t="str">
        <f t="shared" si="50"/>
        <v>High</v>
      </c>
      <c r="AR247" t="str">
        <f t="shared" si="51"/>
        <v>0-2 Years</v>
      </c>
    </row>
    <row r="248" spans="1:44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63</v>
      </c>
      <c r="M248">
        <v>2</v>
      </c>
      <c r="N248">
        <v>1</v>
      </c>
      <c r="O248" t="s">
        <v>47</v>
      </c>
      <c r="P248">
        <v>4</v>
      </c>
      <c r="Q248" t="s">
        <v>48</v>
      </c>
      <c r="R248">
        <v>2911</v>
      </c>
      <c r="S248">
        <v>1</v>
      </c>
      <c r="T248" t="s">
        <v>43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  <c r="AF248">
        <f t="shared" si="39"/>
        <v>0</v>
      </c>
      <c r="AG248">
        <f t="shared" si="40"/>
        <v>0</v>
      </c>
      <c r="AH248" t="str">
        <f t="shared" si="41"/>
        <v>Master</v>
      </c>
      <c r="AI248" t="str">
        <f t="shared" si="42"/>
        <v>High</v>
      </c>
      <c r="AJ248" t="str">
        <f t="shared" si="43"/>
        <v>Medium</v>
      </c>
      <c r="AK248" t="str">
        <f t="shared" si="44"/>
        <v>Entry</v>
      </c>
      <c r="AL248" t="str">
        <f t="shared" si="45"/>
        <v>Very High</v>
      </c>
      <c r="AM248" t="str">
        <f t="shared" si="46"/>
        <v>High</v>
      </c>
      <c r="AN248" t="str">
        <f t="shared" si="47"/>
        <v>Low</v>
      </c>
      <c r="AO248" t="str">
        <f t="shared" si="48"/>
        <v>Good</v>
      </c>
      <c r="AP248" t="str">
        <f t="shared" si="49"/>
        <v>25-34</v>
      </c>
      <c r="AQ248" t="str">
        <f t="shared" si="50"/>
        <v>Low</v>
      </c>
      <c r="AR248" t="str">
        <f t="shared" si="51"/>
        <v>0-2 Years</v>
      </c>
    </row>
    <row r="249" spans="1:44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46</v>
      </c>
      <c r="L249">
        <v>84</v>
      </c>
      <c r="M249">
        <v>2</v>
      </c>
      <c r="N249">
        <v>2</v>
      </c>
      <c r="O249" t="s">
        <v>53</v>
      </c>
      <c r="P249">
        <v>1</v>
      </c>
      <c r="Q249" t="s">
        <v>48</v>
      </c>
      <c r="R249">
        <v>5957</v>
      </c>
      <c r="S249">
        <v>6</v>
      </c>
      <c r="T249" t="s">
        <v>43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  <c r="AF249">
        <f t="shared" si="39"/>
        <v>0</v>
      </c>
      <c r="AG249">
        <f t="shared" si="40"/>
        <v>0</v>
      </c>
      <c r="AH249" t="str">
        <f t="shared" si="41"/>
        <v>Master</v>
      </c>
      <c r="AI249" t="str">
        <f t="shared" si="42"/>
        <v>Very High</v>
      </c>
      <c r="AJ249" t="str">
        <f t="shared" si="43"/>
        <v>Medium</v>
      </c>
      <c r="AK249" t="str">
        <f t="shared" si="44"/>
        <v>Junior</v>
      </c>
      <c r="AL249" t="str">
        <f t="shared" si="45"/>
        <v>Low</v>
      </c>
      <c r="AM249" t="str">
        <f t="shared" si="46"/>
        <v>Medium</v>
      </c>
      <c r="AN249" t="str">
        <f t="shared" si="47"/>
        <v>Low</v>
      </c>
      <c r="AO249" t="str">
        <f t="shared" si="48"/>
        <v>Better</v>
      </c>
      <c r="AP249" t="str">
        <f t="shared" si="49"/>
        <v>25-34</v>
      </c>
      <c r="AQ249" t="str">
        <f t="shared" si="50"/>
        <v>Lower-Mid</v>
      </c>
      <c r="AR249" t="str">
        <f t="shared" si="51"/>
        <v>11-20 Years</v>
      </c>
    </row>
    <row r="250" spans="1:44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39</v>
      </c>
      <c r="L250">
        <v>83</v>
      </c>
      <c r="M250">
        <v>2</v>
      </c>
      <c r="N250">
        <v>1</v>
      </c>
      <c r="O250" t="s">
        <v>47</v>
      </c>
      <c r="P250">
        <v>1</v>
      </c>
      <c r="Q250" t="s">
        <v>48</v>
      </c>
      <c r="R250">
        <v>3920</v>
      </c>
      <c r="S250">
        <v>2</v>
      </c>
      <c r="T250" t="s">
        <v>43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  <c r="AF250">
        <f t="shared" si="39"/>
        <v>0</v>
      </c>
      <c r="AG250">
        <f t="shared" si="40"/>
        <v>0</v>
      </c>
      <c r="AH250" t="str">
        <f t="shared" si="41"/>
        <v>College</v>
      </c>
      <c r="AI250" t="str">
        <f t="shared" si="42"/>
        <v>High</v>
      </c>
      <c r="AJ250" t="str">
        <f t="shared" si="43"/>
        <v>Medium</v>
      </c>
      <c r="AK250" t="str">
        <f t="shared" si="44"/>
        <v>Entry</v>
      </c>
      <c r="AL250" t="str">
        <f t="shared" si="45"/>
        <v>Low</v>
      </c>
      <c r="AM250" t="str">
        <f t="shared" si="46"/>
        <v>Low</v>
      </c>
      <c r="AN250" t="str">
        <f t="shared" si="47"/>
        <v>Low</v>
      </c>
      <c r="AO250" t="str">
        <f t="shared" si="48"/>
        <v>Good</v>
      </c>
      <c r="AP250" t="str">
        <f t="shared" si="49"/>
        <v>35-44</v>
      </c>
      <c r="AQ250" t="str">
        <f t="shared" si="50"/>
        <v>Lower-Mid</v>
      </c>
      <c r="AR250" t="str">
        <f t="shared" si="51"/>
        <v>3-5 Years</v>
      </c>
    </row>
    <row r="251" spans="1:44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46</v>
      </c>
      <c r="L251">
        <v>77</v>
      </c>
      <c r="M251">
        <v>4</v>
      </c>
      <c r="N251">
        <v>2</v>
      </c>
      <c r="O251" t="s">
        <v>53</v>
      </c>
      <c r="P251">
        <v>3</v>
      </c>
      <c r="Q251" t="s">
        <v>48</v>
      </c>
      <c r="R251">
        <v>6434</v>
      </c>
      <c r="S251">
        <v>4</v>
      </c>
      <c r="T251" t="s">
        <v>43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  <c r="AF251">
        <f t="shared" si="39"/>
        <v>0</v>
      </c>
      <c r="AG251">
        <f t="shared" si="40"/>
        <v>0</v>
      </c>
      <c r="AH251" t="str">
        <f t="shared" si="41"/>
        <v>Master</v>
      </c>
      <c r="AI251" t="str">
        <f t="shared" si="42"/>
        <v>Low</v>
      </c>
      <c r="AJ251" t="str">
        <f t="shared" si="43"/>
        <v>Very High</v>
      </c>
      <c r="AK251" t="str">
        <f t="shared" si="44"/>
        <v>Junior</v>
      </c>
      <c r="AL251" t="str">
        <f t="shared" si="45"/>
        <v>High</v>
      </c>
      <c r="AM251" t="str">
        <f t="shared" si="46"/>
        <v>Very High</v>
      </c>
      <c r="AN251" t="str">
        <f t="shared" si="47"/>
        <v>Low</v>
      </c>
      <c r="AO251" t="str">
        <f t="shared" si="48"/>
        <v>Better</v>
      </c>
      <c r="AP251" t="str">
        <f t="shared" si="49"/>
        <v>45-54</v>
      </c>
      <c r="AQ251" t="str">
        <f t="shared" si="50"/>
        <v>Lower-Mid</v>
      </c>
      <c r="AR251" t="str">
        <f t="shared" si="51"/>
        <v>3-5 Years</v>
      </c>
    </row>
    <row r="252" spans="1:44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46</v>
      </c>
      <c r="L252">
        <v>61</v>
      </c>
      <c r="M252">
        <v>3</v>
      </c>
      <c r="N252">
        <v>3</v>
      </c>
      <c r="O252" t="s">
        <v>53</v>
      </c>
      <c r="P252">
        <v>3</v>
      </c>
      <c r="Q252" t="s">
        <v>52</v>
      </c>
      <c r="R252">
        <v>10048</v>
      </c>
      <c r="S252">
        <v>6</v>
      </c>
      <c r="T252" t="s">
        <v>43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  <c r="AF252">
        <f t="shared" si="39"/>
        <v>1</v>
      </c>
      <c r="AG252">
        <f t="shared" si="40"/>
        <v>0</v>
      </c>
      <c r="AH252" t="str">
        <f t="shared" si="41"/>
        <v>Bachelor</v>
      </c>
      <c r="AI252" t="str">
        <f t="shared" si="42"/>
        <v>Low</v>
      </c>
      <c r="AJ252" t="str">
        <f t="shared" si="43"/>
        <v>High</v>
      </c>
      <c r="AK252" t="str">
        <f t="shared" si="44"/>
        <v>Mid-Level</v>
      </c>
      <c r="AL252" t="str">
        <f t="shared" si="45"/>
        <v>High</v>
      </c>
      <c r="AM252" t="str">
        <f t="shared" si="46"/>
        <v>Medium</v>
      </c>
      <c r="AN252" t="str">
        <f t="shared" si="47"/>
        <v>Medium</v>
      </c>
      <c r="AO252" t="str">
        <f t="shared" si="48"/>
        <v>Better</v>
      </c>
      <c r="AP252" t="str">
        <f t="shared" si="49"/>
        <v>35-44</v>
      </c>
      <c r="AQ252" t="str">
        <f t="shared" si="50"/>
        <v>Upper-Mid</v>
      </c>
      <c r="AR252" t="str">
        <f t="shared" si="51"/>
        <v>0-2 Years</v>
      </c>
    </row>
    <row r="253" spans="1:44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t="s">
        <v>39</v>
      </c>
      <c r="L253">
        <v>64</v>
      </c>
      <c r="M253">
        <v>3</v>
      </c>
      <c r="N253">
        <v>3</v>
      </c>
      <c r="O253" t="s">
        <v>54</v>
      </c>
      <c r="P253">
        <v>3</v>
      </c>
      <c r="Q253" t="s">
        <v>41</v>
      </c>
      <c r="R253">
        <v>10938</v>
      </c>
      <c r="S253">
        <v>0</v>
      </c>
      <c r="T253" t="s">
        <v>43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  <c r="AF253">
        <f t="shared" si="39"/>
        <v>0</v>
      </c>
      <c r="AG253">
        <f t="shared" si="40"/>
        <v>0</v>
      </c>
      <c r="AH253" t="str">
        <f t="shared" si="41"/>
        <v>Master</v>
      </c>
      <c r="AI253" t="str">
        <f t="shared" si="42"/>
        <v>High</v>
      </c>
      <c r="AJ253" t="str">
        <f t="shared" si="43"/>
        <v>High</v>
      </c>
      <c r="AK253" t="str">
        <f t="shared" si="44"/>
        <v>Mid-Level</v>
      </c>
      <c r="AL253" t="str">
        <f t="shared" si="45"/>
        <v>High</v>
      </c>
      <c r="AM253" t="str">
        <f t="shared" si="46"/>
        <v>Very High</v>
      </c>
      <c r="AN253" t="str">
        <f t="shared" si="47"/>
        <v>No Options</v>
      </c>
      <c r="AO253" t="str">
        <f t="shared" si="48"/>
        <v>Better</v>
      </c>
      <c r="AP253" t="str">
        <f t="shared" si="49"/>
        <v>35-44</v>
      </c>
      <c r="AQ253" t="str">
        <f t="shared" si="50"/>
        <v>Upper-Mid</v>
      </c>
      <c r="AR253" t="str">
        <f t="shared" si="51"/>
        <v>11-20 Years</v>
      </c>
    </row>
    <row r="254" spans="1:44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46</v>
      </c>
      <c r="L254">
        <v>60</v>
      </c>
      <c r="M254">
        <v>3</v>
      </c>
      <c r="N254">
        <v>1</v>
      </c>
      <c r="O254" t="s">
        <v>47</v>
      </c>
      <c r="P254">
        <v>4</v>
      </c>
      <c r="Q254" t="s">
        <v>41</v>
      </c>
      <c r="R254">
        <v>2340</v>
      </c>
      <c r="S254">
        <v>1</v>
      </c>
      <c r="T254" t="s">
        <v>43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  <c r="AF254">
        <f t="shared" si="39"/>
        <v>0</v>
      </c>
      <c r="AG254">
        <f t="shared" si="40"/>
        <v>0</v>
      </c>
      <c r="AH254" t="str">
        <f t="shared" si="41"/>
        <v>Bachelor</v>
      </c>
      <c r="AI254" t="str">
        <f t="shared" si="42"/>
        <v>High</v>
      </c>
      <c r="AJ254" t="str">
        <f t="shared" si="43"/>
        <v>High</v>
      </c>
      <c r="AK254" t="str">
        <f t="shared" si="44"/>
        <v>Entry</v>
      </c>
      <c r="AL254" t="str">
        <f t="shared" si="45"/>
        <v>Very High</v>
      </c>
      <c r="AM254" t="str">
        <f t="shared" si="46"/>
        <v>Low</v>
      </c>
      <c r="AN254" t="str">
        <f t="shared" si="47"/>
        <v>No Options</v>
      </c>
      <c r="AO254" t="str">
        <f t="shared" si="48"/>
        <v>Better</v>
      </c>
      <c r="AP254" t="str">
        <f t="shared" si="49"/>
        <v>25-34</v>
      </c>
      <c r="AQ254" t="str">
        <f t="shared" si="50"/>
        <v>Low</v>
      </c>
      <c r="AR254" t="str">
        <f t="shared" si="51"/>
        <v>6-10 Years</v>
      </c>
    </row>
    <row r="255" spans="1:44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82</v>
      </c>
      <c r="M255">
        <v>4</v>
      </c>
      <c r="N255">
        <v>2</v>
      </c>
      <c r="O255" t="s">
        <v>47</v>
      </c>
      <c r="P255">
        <v>1</v>
      </c>
      <c r="Q255" t="s">
        <v>41</v>
      </c>
      <c r="R255">
        <v>6545</v>
      </c>
      <c r="S255">
        <v>3</v>
      </c>
      <c r="T255" t="s">
        <v>35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  <c r="AF255">
        <f t="shared" si="39"/>
        <v>0</v>
      </c>
      <c r="AG255">
        <f t="shared" si="40"/>
        <v>1</v>
      </c>
      <c r="AH255" t="str">
        <f t="shared" si="41"/>
        <v>College</v>
      </c>
      <c r="AI255" t="str">
        <f t="shared" si="42"/>
        <v>Very High</v>
      </c>
      <c r="AJ255" t="str">
        <f t="shared" si="43"/>
        <v>Very High</v>
      </c>
      <c r="AK255" t="str">
        <f t="shared" si="44"/>
        <v>Junior</v>
      </c>
      <c r="AL255" t="str">
        <f t="shared" si="45"/>
        <v>Low</v>
      </c>
      <c r="AM255" t="str">
        <f t="shared" si="46"/>
        <v>High</v>
      </c>
      <c r="AN255" t="str">
        <f t="shared" si="47"/>
        <v>No Options</v>
      </c>
      <c r="AO255" t="str">
        <f t="shared" si="48"/>
        <v>Better</v>
      </c>
      <c r="AP255" t="str">
        <f t="shared" si="49"/>
        <v>35-44</v>
      </c>
      <c r="AQ255" t="str">
        <f t="shared" si="50"/>
        <v>Lower-Mid</v>
      </c>
      <c r="AR255" t="str">
        <f t="shared" si="51"/>
        <v>3-5 Years</v>
      </c>
    </row>
    <row r="256" spans="1:44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t="s">
        <v>46</v>
      </c>
      <c r="L256">
        <v>45</v>
      </c>
      <c r="M256">
        <v>3</v>
      </c>
      <c r="N256">
        <v>2</v>
      </c>
      <c r="O256" t="s">
        <v>40</v>
      </c>
      <c r="P256">
        <v>4</v>
      </c>
      <c r="Q256" t="s">
        <v>52</v>
      </c>
      <c r="R256">
        <v>6931</v>
      </c>
      <c r="S256">
        <v>2</v>
      </c>
      <c r="T256" t="s">
        <v>43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  <c r="AF256">
        <f t="shared" si="39"/>
        <v>0</v>
      </c>
      <c r="AG256">
        <f t="shared" si="40"/>
        <v>0</v>
      </c>
      <c r="AH256" t="str">
        <f t="shared" si="41"/>
        <v>College</v>
      </c>
      <c r="AI256" t="str">
        <f t="shared" si="42"/>
        <v>Very High</v>
      </c>
      <c r="AJ256" t="str">
        <f t="shared" si="43"/>
        <v>High</v>
      </c>
      <c r="AK256" t="str">
        <f t="shared" si="44"/>
        <v>Junior</v>
      </c>
      <c r="AL256" t="str">
        <f t="shared" si="45"/>
        <v>Very High</v>
      </c>
      <c r="AM256" t="str">
        <f t="shared" si="46"/>
        <v>Very High</v>
      </c>
      <c r="AN256" t="str">
        <f t="shared" si="47"/>
        <v>Low</v>
      </c>
      <c r="AO256" t="str">
        <f t="shared" si="48"/>
        <v>Better</v>
      </c>
      <c r="AP256" t="str">
        <f t="shared" si="49"/>
        <v>25-34</v>
      </c>
      <c r="AQ256" t="str">
        <f t="shared" si="50"/>
        <v>Lower-Mid</v>
      </c>
      <c r="AR256" t="str">
        <f t="shared" si="51"/>
        <v>3-5 Years</v>
      </c>
    </row>
    <row r="257" spans="1:44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62</v>
      </c>
      <c r="M257">
        <v>3</v>
      </c>
      <c r="N257">
        <v>2</v>
      </c>
      <c r="O257" t="s">
        <v>53</v>
      </c>
      <c r="P257">
        <v>3</v>
      </c>
      <c r="Q257" t="s">
        <v>48</v>
      </c>
      <c r="R257">
        <v>4898</v>
      </c>
      <c r="S257">
        <v>0</v>
      </c>
      <c r="T257" t="s">
        <v>43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  <c r="AF257">
        <f t="shared" si="39"/>
        <v>0</v>
      </c>
      <c r="AG257">
        <f t="shared" si="40"/>
        <v>0</v>
      </c>
      <c r="AH257" t="str">
        <f t="shared" si="41"/>
        <v>Bachelor</v>
      </c>
      <c r="AI257" t="str">
        <f t="shared" si="42"/>
        <v>Low</v>
      </c>
      <c r="AJ257" t="str">
        <f t="shared" si="43"/>
        <v>High</v>
      </c>
      <c r="AK257" t="str">
        <f t="shared" si="44"/>
        <v>Junior</v>
      </c>
      <c r="AL257" t="str">
        <f t="shared" si="45"/>
        <v>High</v>
      </c>
      <c r="AM257" t="str">
        <f t="shared" si="46"/>
        <v>Very High</v>
      </c>
      <c r="AN257" t="str">
        <f t="shared" si="47"/>
        <v>Medium</v>
      </c>
      <c r="AO257" t="str">
        <f t="shared" si="48"/>
        <v>Better</v>
      </c>
      <c r="AP257" t="str">
        <f t="shared" si="49"/>
        <v>25-34</v>
      </c>
      <c r="AQ257" t="str">
        <f t="shared" si="50"/>
        <v>Lower-Mid</v>
      </c>
      <c r="AR257" t="str">
        <f t="shared" si="51"/>
        <v>3-5 Years</v>
      </c>
    </row>
    <row r="258" spans="1:44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39</v>
      </c>
      <c r="L258">
        <v>56</v>
      </c>
      <c r="M258">
        <v>2</v>
      </c>
      <c r="N258">
        <v>1</v>
      </c>
      <c r="O258" t="s">
        <v>50</v>
      </c>
      <c r="P258">
        <v>1</v>
      </c>
      <c r="Q258" t="s">
        <v>52</v>
      </c>
      <c r="R258">
        <v>2593</v>
      </c>
      <c r="S258">
        <v>0</v>
      </c>
      <c r="T258" t="s">
        <v>35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  <c r="AF258">
        <f t="shared" si="39"/>
        <v>0</v>
      </c>
      <c r="AG258">
        <f t="shared" si="40"/>
        <v>1</v>
      </c>
      <c r="AH258" t="str">
        <f t="shared" si="41"/>
        <v>Bachelor</v>
      </c>
      <c r="AI258" t="str">
        <f t="shared" si="42"/>
        <v>Very High</v>
      </c>
      <c r="AJ258" t="str">
        <f t="shared" si="43"/>
        <v>Medium</v>
      </c>
      <c r="AK258" t="str">
        <f t="shared" si="44"/>
        <v>Entry</v>
      </c>
      <c r="AL258" t="str">
        <f t="shared" si="45"/>
        <v>Low</v>
      </c>
      <c r="AM258" t="str">
        <f t="shared" si="46"/>
        <v>High</v>
      </c>
      <c r="AN258" t="str">
        <f t="shared" si="47"/>
        <v>Low</v>
      </c>
      <c r="AO258" t="str">
        <f t="shared" si="48"/>
        <v>Better</v>
      </c>
      <c r="AP258" t="str">
        <f t="shared" si="49"/>
        <v>35-44</v>
      </c>
      <c r="AQ258" t="str">
        <f t="shared" si="50"/>
        <v>Low</v>
      </c>
      <c r="AR258" t="str">
        <f t="shared" si="51"/>
        <v>6-10 Years</v>
      </c>
    </row>
    <row r="259" spans="1:44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46</v>
      </c>
      <c r="L259">
        <v>49</v>
      </c>
      <c r="M259">
        <v>3</v>
      </c>
      <c r="N259">
        <v>5</v>
      </c>
      <c r="O259" t="s">
        <v>58</v>
      </c>
      <c r="P259">
        <v>3</v>
      </c>
      <c r="Q259" t="s">
        <v>52</v>
      </c>
      <c r="R259">
        <v>19436</v>
      </c>
      <c r="S259">
        <v>0</v>
      </c>
      <c r="T259" t="s">
        <v>43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  <c r="AF259">
        <f t="shared" ref="AF259:AF322" si="52">IF(B259="Yes",1,0)</f>
        <v>0</v>
      </c>
      <c r="AG259">
        <f t="shared" ref="AG259:AG322" si="53">IF(T259="Yes",1,0)</f>
        <v>0</v>
      </c>
      <c r="AH259" t="str">
        <f t="shared" ref="AH259:AH322" si="54">CHOOSE(G259,"Below College","College","Bachelor","Master","Doctor")</f>
        <v>College</v>
      </c>
      <c r="AI259" t="str">
        <f t="shared" ref="AI259:AI322" si="55">CHOOSE(J259,"Low","Medium","High","Very High")</f>
        <v>Low</v>
      </c>
      <c r="AJ259" t="str">
        <f t="shared" ref="AJ259:AJ322" si="56">CHOOSE(M259,"Low","Medium","High","Very High")</f>
        <v>High</v>
      </c>
      <c r="AK259" t="str">
        <f t="shared" ref="AK259:AK322" si="57">CHOOSE(N259,"Entry","Junior","Mid-Level","Senior","Executive")</f>
        <v>Executive</v>
      </c>
      <c r="AL259" t="str">
        <f t="shared" ref="AL259:AL322" si="58">CHOOSE(P259,"Low","Medium","High","Very High")</f>
        <v>High</v>
      </c>
      <c r="AM259" t="str">
        <f t="shared" ref="AM259:AM322" si="59">CHOOSE(W259,"Low","Medium","High","Very High")</f>
        <v>Very High</v>
      </c>
      <c r="AN259" t="str">
        <f t="shared" ref="AN259:AN322" si="60">CHOOSE(X259+1,"No Options","Low","Medium","High")</f>
        <v>Low</v>
      </c>
      <c r="AO259" t="str">
        <f t="shared" ref="AO259:AO322" si="61">CHOOSE(AA259,"Bad","Good","Better","Best")</f>
        <v>Better</v>
      </c>
      <c r="AP259" t="str">
        <f t="shared" ref="AP259:AP322" si="62">IF(A259&lt;=24,"Under 25",IF(A259&lt;=34,"25-34",IF(A259&lt;=44,"35-44",IF(A259&lt;=54,"45-54","55+"))))</f>
        <v>35-44</v>
      </c>
      <c r="AQ259" t="str">
        <f t="shared" ref="AQ259:AQ322" si="63">IF(R259&lt;3000,"Low",IF(R259&lt;7000,"Lower-Mid",IF(R259&lt;13000,"Upper-Mid","High")))</f>
        <v>High</v>
      </c>
      <c r="AR259" t="str">
        <f t="shared" ref="AR259:AR322" si="64">IF(AB259&lt;=2,"0-2 Years",IF(AB259&lt;=5,"3-5 Years",IF(AB259&lt;=10,"6-10 Years",IF(AB259&lt;=20,"11-20 Years","20+ Years"))))</f>
        <v>20+ Years</v>
      </c>
    </row>
    <row r="260" spans="1:44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46</v>
      </c>
      <c r="L260">
        <v>96</v>
      </c>
      <c r="M260">
        <v>3</v>
      </c>
      <c r="N260">
        <v>1</v>
      </c>
      <c r="O260" t="s">
        <v>47</v>
      </c>
      <c r="P260">
        <v>4</v>
      </c>
      <c r="Q260" t="s">
        <v>48</v>
      </c>
      <c r="R260">
        <v>2723</v>
      </c>
      <c r="S260">
        <v>1</v>
      </c>
      <c r="T260" t="s">
        <v>43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  <c r="AF260">
        <f t="shared" si="52"/>
        <v>0</v>
      </c>
      <c r="AG260">
        <f t="shared" si="53"/>
        <v>0</v>
      </c>
      <c r="AH260" t="str">
        <f t="shared" si="54"/>
        <v>Bachelor</v>
      </c>
      <c r="AI260" t="str">
        <f t="shared" si="55"/>
        <v>High</v>
      </c>
      <c r="AJ260" t="str">
        <f t="shared" si="56"/>
        <v>High</v>
      </c>
      <c r="AK260" t="str">
        <f t="shared" si="57"/>
        <v>Entry</v>
      </c>
      <c r="AL260" t="str">
        <f t="shared" si="58"/>
        <v>Very High</v>
      </c>
      <c r="AM260" t="str">
        <f t="shared" si="59"/>
        <v>Medium</v>
      </c>
      <c r="AN260" t="str">
        <f t="shared" si="60"/>
        <v>No Options</v>
      </c>
      <c r="AO260" t="str">
        <f t="shared" si="61"/>
        <v>Good</v>
      </c>
      <c r="AP260" t="str">
        <f t="shared" si="62"/>
        <v>45-54</v>
      </c>
      <c r="AQ260" t="str">
        <f t="shared" si="63"/>
        <v>Low</v>
      </c>
      <c r="AR260" t="str">
        <f t="shared" si="64"/>
        <v>0-2 Years</v>
      </c>
    </row>
    <row r="261" spans="1:44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46</v>
      </c>
      <c r="L261">
        <v>71</v>
      </c>
      <c r="M261">
        <v>2</v>
      </c>
      <c r="N261">
        <v>1</v>
      </c>
      <c r="O261" t="s">
        <v>50</v>
      </c>
      <c r="P261">
        <v>2</v>
      </c>
      <c r="Q261" t="s">
        <v>41</v>
      </c>
      <c r="R261">
        <v>3479</v>
      </c>
      <c r="S261">
        <v>0</v>
      </c>
      <c r="T261" t="s">
        <v>43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  <c r="AF261">
        <f t="shared" si="52"/>
        <v>1</v>
      </c>
      <c r="AG261">
        <f t="shared" si="53"/>
        <v>0</v>
      </c>
      <c r="AH261" t="str">
        <f t="shared" si="54"/>
        <v>College</v>
      </c>
      <c r="AI261" t="str">
        <f t="shared" si="55"/>
        <v>High</v>
      </c>
      <c r="AJ261" t="str">
        <f t="shared" si="56"/>
        <v>Medium</v>
      </c>
      <c r="AK261" t="str">
        <f t="shared" si="57"/>
        <v>Entry</v>
      </c>
      <c r="AL261" t="str">
        <f t="shared" si="58"/>
        <v>Medium</v>
      </c>
      <c r="AM261" t="str">
        <f t="shared" si="59"/>
        <v>Medium</v>
      </c>
      <c r="AN261" t="str">
        <f t="shared" si="60"/>
        <v>No Options</v>
      </c>
      <c r="AO261" t="str">
        <f t="shared" si="61"/>
        <v>Best</v>
      </c>
      <c r="AP261" t="str">
        <f t="shared" si="62"/>
        <v>25-34</v>
      </c>
      <c r="AQ261" t="str">
        <f t="shared" si="63"/>
        <v>Lower-Mid</v>
      </c>
      <c r="AR261" t="str">
        <f t="shared" si="64"/>
        <v>3-5 Years</v>
      </c>
    </row>
    <row r="262" spans="1:44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46</v>
      </c>
      <c r="L262">
        <v>100</v>
      </c>
      <c r="M262">
        <v>4</v>
      </c>
      <c r="N262">
        <v>1</v>
      </c>
      <c r="O262" t="s">
        <v>50</v>
      </c>
      <c r="P262">
        <v>2</v>
      </c>
      <c r="Q262" t="s">
        <v>48</v>
      </c>
      <c r="R262">
        <v>2794</v>
      </c>
      <c r="S262">
        <v>1</v>
      </c>
      <c r="T262" t="s">
        <v>43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  <c r="AF262">
        <f t="shared" si="52"/>
        <v>0</v>
      </c>
      <c r="AG262">
        <f t="shared" si="53"/>
        <v>0</v>
      </c>
      <c r="AH262" t="str">
        <f t="shared" si="54"/>
        <v>Bachelor</v>
      </c>
      <c r="AI262" t="str">
        <f t="shared" si="55"/>
        <v>Medium</v>
      </c>
      <c r="AJ262" t="str">
        <f t="shared" si="56"/>
        <v>Very High</v>
      </c>
      <c r="AK262" t="str">
        <f t="shared" si="57"/>
        <v>Entry</v>
      </c>
      <c r="AL262" t="str">
        <f t="shared" si="58"/>
        <v>Medium</v>
      </c>
      <c r="AM262" t="str">
        <f t="shared" si="59"/>
        <v>High</v>
      </c>
      <c r="AN262" t="str">
        <f t="shared" si="60"/>
        <v>No Options</v>
      </c>
      <c r="AO262" t="str">
        <f t="shared" si="61"/>
        <v>Bad</v>
      </c>
      <c r="AP262" t="str">
        <f t="shared" si="62"/>
        <v>25-34</v>
      </c>
      <c r="AQ262" t="str">
        <f t="shared" si="63"/>
        <v>Low</v>
      </c>
      <c r="AR262" t="str">
        <f t="shared" si="64"/>
        <v>3-5 Years</v>
      </c>
    </row>
    <row r="263" spans="1:44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46</v>
      </c>
      <c r="L263">
        <v>39</v>
      </c>
      <c r="M263">
        <v>2</v>
      </c>
      <c r="N263">
        <v>2</v>
      </c>
      <c r="O263" t="s">
        <v>40</v>
      </c>
      <c r="P263">
        <v>4</v>
      </c>
      <c r="Q263" t="s">
        <v>48</v>
      </c>
      <c r="R263">
        <v>5249</v>
      </c>
      <c r="S263">
        <v>3</v>
      </c>
      <c r="T263" t="s">
        <v>43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  <c r="AF263">
        <f t="shared" si="52"/>
        <v>0</v>
      </c>
      <c r="AG263">
        <f t="shared" si="53"/>
        <v>0</v>
      </c>
      <c r="AH263" t="str">
        <f t="shared" si="54"/>
        <v>College</v>
      </c>
      <c r="AI263" t="str">
        <f t="shared" si="55"/>
        <v>Very High</v>
      </c>
      <c r="AJ263" t="str">
        <f t="shared" si="56"/>
        <v>Medium</v>
      </c>
      <c r="AK263" t="str">
        <f t="shared" si="57"/>
        <v>Junior</v>
      </c>
      <c r="AL263" t="str">
        <f t="shared" si="58"/>
        <v>Very High</v>
      </c>
      <c r="AM263" t="str">
        <f t="shared" si="59"/>
        <v>Very High</v>
      </c>
      <c r="AN263" t="str">
        <f t="shared" si="60"/>
        <v>Low</v>
      </c>
      <c r="AO263" t="str">
        <f t="shared" si="61"/>
        <v>Better</v>
      </c>
      <c r="AP263" t="str">
        <f t="shared" si="62"/>
        <v>35-44</v>
      </c>
      <c r="AQ263" t="str">
        <f t="shared" si="63"/>
        <v>Lower-Mid</v>
      </c>
      <c r="AR263" t="str">
        <f t="shared" si="64"/>
        <v>6-10 Years</v>
      </c>
    </row>
    <row r="264" spans="1:44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t="s">
        <v>46</v>
      </c>
      <c r="L264">
        <v>84</v>
      </c>
      <c r="M264">
        <v>2</v>
      </c>
      <c r="N264">
        <v>2</v>
      </c>
      <c r="O264" t="s">
        <v>50</v>
      </c>
      <c r="P264">
        <v>1</v>
      </c>
      <c r="Q264" t="s">
        <v>41</v>
      </c>
      <c r="R264">
        <v>2176</v>
      </c>
      <c r="S264">
        <v>4</v>
      </c>
      <c r="T264" t="s">
        <v>43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  <c r="AF264">
        <f t="shared" si="52"/>
        <v>0</v>
      </c>
      <c r="AG264">
        <f t="shared" si="53"/>
        <v>0</v>
      </c>
      <c r="AH264" t="str">
        <f t="shared" si="54"/>
        <v>Below College</v>
      </c>
      <c r="AI264" t="str">
        <f t="shared" si="55"/>
        <v>Very High</v>
      </c>
      <c r="AJ264" t="str">
        <f t="shared" si="56"/>
        <v>Medium</v>
      </c>
      <c r="AK264" t="str">
        <f t="shared" si="57"/>
        <v>Junior</v>
      </c>
      <c r="AL264" t="str">
        <f t="shared" si="58"/>
        <v>Low</v>
      </c>
      <c r="AM264" t="str">
        <f t="shared" si="59"/>
        <v>Very High</v>
      </c>
      <c r="AN264" t="str">
        <f t="shared" si="60"/>
        <v>No Options</v>
      </c>
      <c r="AO264" t="str">
        <f t="shared" si="61"/>
        <v>Better</v>
      </c>
      <c r="AP264" t="str">
        <f t="shared" si="62"/>
        <v>25-34</v>
      </c>
      <c r="AQ264" t="str">
        <f t="shared" si="63"/>
        <v>Low</v>
      </c>
      <c r="AR264" t="str">
        <f t="shared" si="64"/>
        <v>6-10 Years</v>
      </c>
    </row>
    <row r="265" spans="1:44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t="s">
        <v>39</v>
      </c>
      <c r="L265">
        <v>75</v>
      </c>
      <c r="M265">
        <v>1</v>
      </c>
      <c r="N265">
        <v>4</v>
      </c>
      <c r="O265" t="s">
        <v>56</v>
      </c>
      <c r="P265">
        <v>2</v>
      </c>
      <c r="Q265" t="s">
        <v>48</v>
      </c>
      <c r="R265">
        <v>16872</v>
      </c>
      <c r="S265">
        <v>3</v>
      </c>
      <c r="T265" t="s">
        <v>35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  <c r="AF265">
        <f t="shared" si="52"/>
        <v>0</v>
      </c>
      <c r="AG265">
        <f t="shared" si="53"/>
        <v>1</v>
      </c>
      <c r="AH265" t="str">
        <f t="shared" si="54"/>
        <v>Bachelor</v>
      </c>
      <c r="AI265" t="str">
        <f t="shared" si="55"/>
        <v>High</v>
      </c>
      <c r="AJ265" t="str">
        <f t="shared" si="56"/>
        <v>Low</v>
      </c>
      <c r="AK265" t="str">
        <f t="shared" si="57"/>
        <v>Senior</v>
      </c>
      <c r="AL265" t="str">
        <f t="shared" si="58"/>
        <v>Medium</v>
      </c>
      <c r="AM265" t="str">
        <f t="shared" si="59"/>
        <v>Medium</v>
      </c>
      <c r="AN265" t="str">
        <f t="shared" si="60"/>
        <v>Low</v>
      </c>
      <c r="AO265" t="str">
        <f t="shared" si="61"/>
        <v>Good</v>
      </c>
      <c r="AP265" t="str">
        <f t="shared" si="62"/>
        <v>45-54</v>
      </c>
      <c r="AQ265" t="str">
        <f t="shared" si="63"/>
        <v>High</v>
      </c>
      <c r="AR265" t="str">
        <f t="shared" si="64"/>
        <v>6-10 Years</v>
      </c>
    </row>
    <row r="266" spans="1:44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46</v>
      </c>
      <c r="L266">
        <v>79</v>
      </c>
      <c r="M266">
        <v>3</v>
      </c>
      <c r="N266">
        <v>1</v>
      </c>
      <c r="O266" t="s">
        <v>50</v>
      </c>
      <c r="P266">
        <v>3</v>
      </c>
      <c r="Q266" t="s">
        <v>41</v>
      </c>
      <c r="R266">
        <v>3485</v>
      </c>
      <c r="S266">
        <v>2</v>
      </c>
      <c r="T266" t="s">
        <v>43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f t="shared" si="52"/>
        <v>1</v>
      </c>
      <c r="AG266">
        <f t="shared" si="53"/>
        <v>0</v>
      </c>
      <c r="AH266" t="str">
        <f t="shared" si="54"/>
        <v>Master</v>
      </c>
      <c r="AI266" t="str">
        <f t="shared" si="55"/>
        <v>Low</v>
      </c>
      <c r="AJ266" t="str">
        <f t="shared" si="56"/>
        <v>High</v>
      </c>
      <c r="AK266" t="str">
        <f t="shared" si="57"/>
        <v>Entry</v>
      </c>
      <c r="AL266" t="str">
        <f t="shared" si="58"/>
        <v>High</v>
      </c>
      <c r="AM266" t="str">
        <f t="shared" si="59"/>
        <v>High</v>
      </c>
      <c r="AN266" t="str">
        <f t="shared" si="60"/>
        <v>No Options</v>
      </c>
      <c r="AO266" t="str">
        <f t="shared" si="61"/>
        <v>Bad</v>
      </c>
      <c r="AP266" t="str">
        <f t="shared" si="62"/>
        <v>25-34</v>
      </c>
      <c r="AQ266" t="str">
        <f t="shared" si="63"/>
        <v>Lower-Mid</v>
      </c>
      <c r="AR266" t="str">
        <f t="shared" si="64"/>
        <v>0-2 Years</v>
      </c>
    </row>
    <row r="267" spans="1:44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46</v>
      </c>
      <c r="L267">
        <v>78</v>
      </c>
      <c r="M267">
        <v>2</v>
      </c>
      <c r="N267">
        <v>2</v>
      </c>
      <c r="O267" t="s">
        <v>40</v>
      </c>
      <c r="P267">
        <v>2</v>
      </c>
      <c r="Q267" t="s">
        <v>48</v>
      </c>
      <c r="R267">
        <v>6644</v>
      </c>
      <c r="S267">
        <v>2</v>
      </c>
      <c r="T267" t="s">
        <v>43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  <c r="AF267">
        <f t="shared" si="52"/>
        <v>0</v>
      </c>
      <c r="AG267">
        <f t="shared" si="53"/>
        <v>0</v>
      </c>
      <c r="AH267" t="str">
        <f t="shared" si="54"/>
        <v>Bachelor</v>
      </c>
      <c r="AI267" t="str">
        <f t="shared" si="55"/>
        <v>Low</v>
      </c>
      <c r="AJ267" t="str">
        <f t="shared" si="56"/>
        <v>Medium</v>
      </c>
      <c r="AK267" t="str">
        <f t="shared" si="57"/>
        <v>Junior</v>
      </c>
      <c r="AL267" t="str">
        <f t="shared" si="58"/>
        <v>Medium</v>
      </c>
      <c r="AM267" t="str">
        <f t="shared" si="59"/>
        <v>Medium</v>
      </c>
      <c r="AN267" t="str">
        <f t="shared" si="60"/>
        <v>Medium</v>
      </c>
      <c r="AO267" t="str">
        <f t="shared" si="61"/>
        <v>Better</v>
      </c>
      <c r="AP267" t="str">
        <f t="shared" si="62"/>
        <v>25-34</v>
      </c>
      <c r="AQ267" t="str">
        <f t="shared" si="63"/>
        <v>Lower-Mid</v>
      </c>
      <c r="AR267" t="str">
        <f t="shared" si="64"/>
        <v>0-2 Years</v>
      </c>
    </row>
    <row r="268" spans="1:44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46</v>
      </c>
      <c r="L268">
        <v>64</v>
      </c>
      <c r="M268">
        <v>2</v>
      </c>
      <c r="N268">
        <v>2</v>
      </c>
      <c r="O268" t="s">
        <v>54</v>
      </c>
      <c r="P268">
        <v>4</v>
      </c>
      <c r="Q268" t="s">
        <v>48</v>
      </c>
      <c r="R268">
        <v>5582</v>
      </c>
      <c r="S268">
        <v>0</v>
      </c>
      <c r="T268" t="s">
        <v>43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  <c r="AF268">
        <f t="shared" si="52"/>
        <v>0</v>
      </c>
      <c r="AG268">
        <f t="shared" si="53"/>
        <v>0</v>
      </c>
      <c r="AH268" t="str">
        <f t="shared" si="54"/>
        <v>Bachelor</v>
      </c>
      <c r="AI268" t="str">
        <f t="shared" si="55"/>
        <v>Medium</v>
      </c>
      <c r="AJ268" t="str">
        <f t="shared" si="56"/>
        <v>Medium</v>
      </c>
      <c r="AK268" t="str">
        <f t="shared" si="57"/>
        <v>Junior</v>
      </c>
      <c r="AL268" t="str">
        <f t="shared" si="58"/>
        <v>Very High</v>
      </c>
      <c r="AM268" t="str">
        <f t="shared" si="59"/>
        <v>Medium</v>
      </c>
      <c r="AN268" t="str">
        <f t="shared" si="60"/>
        <v>Low</v>
      </c>
      <c r="AO268" t="str">
        <f t="shared" si="61"/>
        <v>Better</v>
      </c>
      <c r="AP268" t="str">
        <f t="shared" si="62"/>
        <v>25-34</v>
      </c>
      <c r="AQ268" t="str">
        <f t="shared" si="63"/>
        <v>Lower-Mid</v>
      </c>
      <c r="AR268" t="str">
        <f t="shared" si="64"/>
        <v>6-10 Years</v>
      </c>
    </row>
    <row r="269" spans="1:44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46</v>
      </c>
      <c r="L269">
        <v>85</v>
      </c>
      <c r="M269">
        <v>4</v>
      </c>
      <c r="N269">
        <v>2</v>
      </c>
      <c r="O269" t="s">
        <v>54</v>
      </c>
      <c r="P269">
        <v>1</v>
      </c>
      <c r="Q269" t="s">
        <v>52</v>
      </c>
      <c r="R269">
        <v>4000</v>
      </c>
      <c r="S269">
        <v>1</v>
      </c>
      <c r="T269" t="s">
        <v>43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  <c r="AF269">
        <f t="shared" si="52"/>
        <v>0</v>
      </c>
      <c r="AG269">
        <f t="shared" si="53"/>
        <v>0</v>
      </c>
      <c r="AH269" t="str">
        <f t="shared" si="54"/>
        <v>College</v>
      </c>
      <c r="AI269" t="str">
        <f t="shared" si="55"/>
        <v>Medium</v>
      </c>
      <c r="AJ269" t="str">
        <f t="shared" si="56"/>
        <v>Very High</v>
      </c>
      <c r="AK269" t="str">
        <f t="shared" si="57"/>
        <v>Junior</v>
      </c>
      <c r="AL269" t="str">
        <f t="shared" si="58"/>
        <v>Low</v>
      </c>
      <c r="AM269" t="str">
        <f t="shared" si="59"/>
        <v>Very High</v>
      </c>
      <c r="AN269" t="str">
        <f t="shared" si="60"/>
        <v>Medium</v>
      </c>
      <c r="AO269" t="str">
        <f t="shared" si="61"/>
        <v>Better</v>
      </c>
      <c r="AP269" t="str">
        <f t="shared" si="62"/>
        <v>25-34</v>
      </c>
      <c r="AQ269" t="str">
        <f t="shared" si="63"/>
        <v>Lower-Mid</v>
      </c>
      <c r="AR269" t="str">
        <f t="shared" si="64"/>
        <v>6-10 Years</v>
      </c>
    </row>
    <row r="270" spans="1:44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46</v>
      </c>
      <c r="L270">
        <v>79</v>
      </c>
      <c r="M270">
        <v>3</v>
      </c>
      <c r="N270">
        <v>4</v>
      </c>
      <c r="O270" t="s">
        <v>54</v>
      </c>
      <c r="P270">
        <v>4</v>
      </c>
      <c r="Q270" t="s">
        <v>48</v>
      </c>
      <c r="R270">
        <v>13496</v>
      </c>
      <c r="S270">
        <v>0</v>
      </c>
      <c r="T270" t="s">
        <v>35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  <c r="AF270">
        <f t="shared" si="52"/>
        <v>0</v>
      </c>
      <c r="AG270">
        <f t="shared" si="53"/>
        <v>1</v>
      </c>
      <c r="AH270" t="str">
        <f t="shared" si="54"/>
        <v>College</v>
      </c>
      <c r="AI270" t="str">
        <f t="shared" si="55"/>
        <v>High</v>
      </c>
      <c r="AJ270" t="str">
        <f t="shared" si="56"/>
        <v>High</v>
      </c>
      <c r="AK270" t="str">
        <f t="shared" si="57"/>
        <v>Senior</v>
      </c>
      <c r="AL270" t="str">
        <f t="shared" si="58"/>
        <v>Very High</v>
      </c>
      <c r="AM270" t="str">
        <f t="shared" si="59"/>
        <v>Medium</v>
      </c>
      <c r="AN270" t="str">
        <f t="shared" si="60"/>
        <v>No Options</v>
      </c>
      <c r="AO270" t="str">
        <f t="shared" si="61"/>
        <v>Better</v>
      </c>
      <c r="AP270" t="str">
        <f t="shared" si="62"/>
        <v>45-54</v>
      </c>
      <c r="AQ270" t="str">
        <f t="shared" si="63"/>
        <v>High</v>
      </c>
      <c r="AR270" t="str">
        <f t="shared" si="64"/>
        <v>11-20 Years</v>
      </c>
    </row>
    <row r="271" spans="1:44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46</v>
      </c>
      <c r="L271">
        <v>47</v>
      </c>
      <c r="M271">
        <v>3</v>
      </c>
      <c r="N271">
        <v>1</v>
      </c>
      <c r="O271" t="s">
        <v>50</v>
      </c>
      <c r="P271">
        <v>4</v>
      </c>
      <c r="Q271" t="s">
        <v>48</v>
      </c>
      <c r="R271">
        <v>3210</v>
      </c>
      <c r="S271">
        <v>0</v>
      </c>
      <c r="T271" t="s">
        <v>43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  <c r="AF271">
        <f t="shared" si="52"/>
        <v>0</v>
      </c>
      <c r="AG271">
        <f t="shared" si="53"/>
        <v>0</v>
      </c>
      <c r="AH271" t="str">
        <f t="shared" si="54"/>
        <v>Bachelor</v>
      </c>
      <c r="AI271" t="str">
        <f t="shared" si="55"/>
        <v>Very High</v>
      </c>
      <c r="AJ271" t="str">
        <f t="shared" si="56"/>
        <v>High</v>
      </c>
      <c r="AK271" t="str">
        <f t="shared" si="57"/>
        <v>Entry</v>
      </c>
      <c r="AL271" t="str">
        <f t="shared" si="58"/>
        <v>Very High</v>
      </c>
      <c r="AM271" t="str">
        <f t="shared" si="59"/>
        <v>High</v>
      </c>
      <c r="AN271" t="str">
        <f t="shared" si="60"/>
        <v>Low</v>
      </c>
      <c r="AO271" t="str">
        <f t="shared" si="61"/>
        <v>Better</v>
      </c>
      <c r="AP271" t="str">
        <f t="shared" si="62"/>
        <v>35-44</v>
      </c>
      <c r="AQ271" t="str">
        <f t="shared" si="63"/>
        <v>Lower-Mid</v>
      </c>
      <c r="AR271" t="str">
        <f t="shared" si="64"/>
        <v>11-20 Years</v>
      </c>
    </row>
    <row r="272" spans="1:44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46</v>
      </c>
      <c r="L272">
        <v>81</v>
      </c>
      <c r="M272">
        <v>3</v>
      </c>
      <c r="N272">
        <v>5</v>
      </c>
      <c r="O272" t="s">
        <v>56</v>
      </c>
      <c r="P272">
        <v>1</v>
      </c>
      <c r="Q272" t="s">
        <v>41</v>
      </c>
      <c r="R272">
        <v>19045</v>
      </c>
      <c r="S272">
        <v>0</v>
      </c>
      <c r="T272" t="s">
        <v>35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  <c r="AF272">
        <f t="shared" si="52"/>
        <v>0</v>
      </c>
      <c r="AG272">
        <f t="shared" si="53"/>
        <v>1</v>
      </c>
      <c r="AH272" t="str">
        <f t="shared" si="54"/>
        <v>Bachelor</v>
      </c>
      <c r="AI272" t="str">
        <f t="shared" si="55"/>
        <v>Very High</v>
      </c>
      <c r="AJ272" t="str">
        <f t="shared" si="56"/>
        <v>High</v>
      </c>
      <c r="AK272" t="str">
        <f t="shared" si="57"/>
        <v>Executive</v>
      </c>
      <c r="AL272" t="str">
        <f t="shared" si="58"/>
        <v>Low</v>
      </c>
      <c r="AM272" t="str">
        <f t="shared" si="59"/>
        <v>High</v>
      </c>
      <c r="AN272" t="str">
        <f t="shared" si="60"/>
        <v>No Options</v>
      </c>
      <c r="AO272" t="str">
        <f t="shared" si="61"/>
        <v>Better</v>
      </c>
      <c r="AP272" t="str">
        <f t="shared" si="62"/>
        <v>55+</v>
      </c>
      <c r="AQ272" t="str">
        <f t="shared" si="63"/>
        <v>High</v>
      </c>
      <c r="AR272" t="str">
        <f t="shared" si="64"/>
        <v>20+ Years</v>
      </c>
    </row>
    <row r="273" spans="1:44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46</v>
      </c>
      <c r="L273">
        <v>88</v>
      </c>
      <c r="M273">
        <v>3</v>
      </c>
      <c r="N273">
        <v>3</v>
      </c>
      <c r="O273" t="s">
        <v>56</v>
      </c>
      <c r="P273">
        <v>2</v>
      </c>
      <c r="Q273" t="s">
        <v>48</v>
      </c>
      <c r="R273">
        <v>11849</v>
      </c>
      <c r="S273">
        <v>1</v>
      </c>
      <c r="T273" t="s">
        <v>35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  <c r="AF273">
        <f t="shared" si="52"/>
        <v>1</v>
      </c>
      <c r="AG273">
        <f t="shared" si="53"/>
        <v>1</v>
      </c>
      <c r="AH273" t="str">
        <f t="shared" si="54"/>
        <v>Master</v>
      </c>
      <c r="AI273" t="str">
        <f t="shared" si="55"/>
        <v>Low</v>
      </c>
      <c r="AJ273" t="str">
        <f t="shared" si="56"/>
        <v>High</v>
      </c>
      <c r="AK273" t="str">
        <f t="shared" si="57"/>
        <v>Mid-Level</v>
      </c>
      <c r="AL273" t="str">
        <f t="shared" si="58"/>
        <v>Medium</v>
      </c>
      <c r="AM273" t="str">
        <f t="shared" si="59"/>
        <v>Very High</v>
      </c>
      <c r="AN273" t="str">
        <f t="shared" si="60"/>
        <v>Low</v>
      </c>
      <c r="AO273" t="str">
        <f t="shared" si="61"/>
        <v>Good</v>
      </c>
      <c r="AP273" t="str">
        <f t="shared" si="62"/>
        <v>45-54</v>
      </c>
      <c r="AQ273" t="str">
        <f t="shared" si="63"/>
        <v>Upper-Mid</v>
      </c>
      <c r="AR273" t="str">
        <f t="shared" si="64"/>
        <v>6-10 Years</v>
      </c>
    </row>
    <row r="274" spans="1:44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46</v>
      </c>
      <c r="L274">
        <v>94</v>
      </c>
      <c r="M274">
        <v>3</v>
      </c>
      <c r="N274">
        <v>1</v>
      </c>
      <c r="O274" t="s">
        <v>47</v>
      </c>
      <c r="P274">
        <v>4</v>
      </c>
      <c r="Q274" t="s">
        <v>48</v>
      </c>
      <c r="R274">
        <v>2070</v>
      </c>
      <c r="S274">
        <v>1</v>
      </c>
      <c r="T274" t="s">
        <v>43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  <c r="AF274">
        <f t="shared" si="52"/>
        <v>0</v>
      </c>
      <c r="AG274">
        <f t="shared" si="53"/>
        <v>0</v>
      </c>
      <c r="AH274" t="str">
        <f t="shared" si="54"/>
        <v>Bachelor</v>
      </c>
      <c r="AI274" t="str">
        <f t="shared" si="55"/>
        <v>Very High</v>
      </c>
      <c r="AJ274" t="str">
        <f t="shared" si="56"/>
        <v>High</v>
      </c>
      <c r="AK274" t="str">
        <f t="shared" si="57"/>
        <v>Entry</v>
      </c>
      <c r="AL274" t="str">
        <f t="shared" si="58"/>
        <v>Very High</v>
      </c>
      <c r="AM274" t="str">
        <f t="shared" si="59"/>
        <v>Very High</v>
      </c>
      <c r="AN274" t="str">
        <f t="shared" si="60"/>
        <v>Low</v>
      </c>
      <c r="AO274" t="str">
        <f t="shared" si="61"/>
        <v>Good</v>
      </c>
      <c r="AP274" t="str">
        <f t="shared" si="62"/>
        <v>25-34</v>
      </c>
      <c r="AQ274" t="str">
        <f t="shared" si="63"/>
        <v>Low</v>
      </c>
      <c r="AR274" t="str">
        <f t="shared" si="64"/>
        <v>3-5 Years</v>
      </c>
    </row>
    <row r="275" spans="1:44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46</v>
      </c>
      <c r="L275">
        <v>98</v>
      </c>
      <c r="M275">
        <v>3</v>
      </c>
      <c r="N275">
        <v>2</v>
      </c>
      <c r="O275" t="s">
        <v>40</v>
      </c>
      <c r="P275">
        <v>4</v>
      </c>
      <c r="Q275" t="s">
        <v>48</v>
      </c>
      <c r="R275">
        <v>6502</v>
      </c>
      <c r="S275">
        <v>4</v>
      </c>
      <c r="T275" t="s">
        <v>43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  <c r="AF275">
        <f t="shared" si="52"/>
        <v>0</v>
      </c>
      <c r="AG275">
        <f t="shared" si="53"/>
        <v>0</v>
      </c>
      <c r="AH275" t="str">
        <f t="shared" si="54"/>
        <v>Master</v>
      </c>
      <c r="AI275" t="str">
        <f t="shared" si="55"/>
        <v>High</v>
      </c>
      <c r="AJ275" t="str">
        <f t="shared" si="56"/>
        <v>High</v>
      </c>
      <c r="AK275" t="str">
        <f t="shared" si="57"/>
        <v>Junior</v>
      </c>
      <c r="AL275" t="str">
        <f t="shared" si="58"/>
        <v>Very High</v>
      </c>
      <c r="AM275" t="str">
        <f t="shared" si="59"/>
        <v>Medium</v>
      </c>
      <c r="AN275" t="str">
        <f t="shared" si="60"/>
        <v>Low</v>
      </c>
      <c r="AO275" t="str">
        <f t="shared" si="61"/>
        <v>Best</v>
      </c>
      <c r="AP275" t="str">
        <f t="shared" si="62"/>
        <v>35-44</v>
      </c>
      <c r="AQ275" t="str">
        <f t="shared" si="63"/>
        <v>Lower-Mid</v>
      </c>
      <c r="AR275" t="str">
        <f t="shared" si="64"/>
        <v>3-5 Years</v>
      </c>
    </row>
    <row r="276" spans="1:44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46</v>
      </c>
      <c r="L276">
        <v>100</v>
      </c>
      <c r="M276">
        <v>2</v>
      </c>
      <c r="N276">
        <v>1</v>
      </c>
      <c r="O276" t="s">
        <v>47</v>
      </c>
      <c r="P276">
        <v>3</v>
      </c>
      <c r="Q276" t="s">
        <v>41</v>
      </c>
      <c r="R276">
        <v>3230</v>
      </c>
      <c r="S276">
        <v>1</v>
      </c>
      <c r="T276" t="s">
        <v>43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  <c r="AF276">
        <f t="shared" si="52"/>
        <v>0</v>
      </c>
      <c r="AG276">
        <f t="shared" si="53"/>
        <v>0</v>
      </c>
      <c r="AH276" t="str">
        <f t="shared" si="54"/>
        <v>College</v>
      </c>
      <c r="AI276" t="str">
        <f t="shared" si="55"/>
        <v>Very High</v>
      </c>
      <c r="AJ276" t="str">
        <f t="shared" si="56"/>
        <v>Medium</v>
      </c>
      <c r="AK276" t="str">
        <f t="shared" si="57"/>
        <v>Entry</v>
      </c>
      <c r="AL276" t="str">
        <f t="shared" si="58"/>
        <v>High</v>
      </c>
      <c r="AM276" t="str">
        <f t="shared" si="59"/>
        <v>Low</v>
      </c>
      <c r="AN276" t="str">
        <f t="shared" si="60"/>
        <v>No Options</v>
      </c>
      <c r="AO276" t="str">
        <f t="shared" si="61"/>
        <v>Best</v>
      </c>
      <c r="AP276" t="str">
        <f t="shared" si="62"/>
        <v>Under 25</v>
      </c>
      <c r="AQ276" t="str">
        <f t="shared" si="63"/>
        <v>Lower-Mid</v>
      </c>
      <c r="AR276" t="str">
        <f t="shared" si="64"/>
        <v>3-5 Years</v>
      </c>
    </row>
    <row r="277" spans="1:44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39</v>
      </c>
      <c r="L277">
        <v>80</v>
      </c>
      <c r="M277">
        <v>3</v>
      </c>
      <c r="N277">
        <v>3</v>
      </c>
      <c r="O277" t="s">
        <v>58</v>
      </c>
      <c r="P277">
        <v>4</v>
      </c>
      <c r="Q277" t="s">
        <v>52</v>
      </c>
      <c r="R277">
        <v>13603</v>
      </c>
      <c r="S277">
        <v>2</v>
      </c>
      <c r="T277" t="s">
        <v>35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  <c r="AF277">
        <f t="shared" si="52"/>
        <v>0</v>
      </c>
      <c r="AG277">
        <f t="shared" si="53"/>
        <v>1</v>
      </c>
      <c r="AH277" t="str">
        <f t="shared" si="54"/>
        <v>Master</v>
      </c>
      <c r="AI277" t="str">
        <f t="shared" si="55"/>
        <v>Low</v>
      </c>
      <c r="AJ277" t="str">
        <f t="shared" si="56"/>
        <v>High</v>
      </c>
      <c r="AK277" t="str">
        <f t="shared" si="57"/>
        <v>Mid-Level</v>
      </c>
      <c r="AL277" t="str">
        <f t="shared" si="58"/>
        <v>Very High</v>
      </c>
      <c r="AM277" t="str">
        <f t="shared" si="59"/>
        <v>Low</v>
      </c>
      <c r="AN277" t="str">
        <f t="shared" si="60"/>
        <v>Medium</v>
      </c>
      <c r="AO277" t="str">
        <f t="shared" si="61"/>
        <v>Better</v>
      </c>
      <c r="AP277" t="str">
        <f t="shared" si="62"/>
        <v>35-44</v>
      </c>
      <c r="AQ277" t="str">
        <f t="shared" si="63"/>
        <v>High</v>
      </c>
      <c r="AR277" t="str">
        <f t="shared" si="64"/>
        <v>3-5 Years</v>
      </c>
    </row>
    <row r="278" spans="1:44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71</v>
      </c>
      <c r="M278">
        <v>4</v>
      </c>
      <c r="N278">
        <v>3</v>
      </c>
      <c r="O278" t="s">
        <v>56</v>
      </c>
      <c r="P278">
        <v>2</v>
      </c>
      <c r="Q278" t="s">
        <v>52</v>
      </c>
      <c r="R278">
        <v>11996</v>
      </c>
      <c r="S278">
        <v>7</v>
      </c>
      <c r="T278" t="s">
        <v>43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  <c r="AF278">
        <f t="shared" si="52"/>
        <v>0</v>
      </c>
      <c r="AG278">
        <f t="shared" si="53"/>
        <v>0</v>
      </c>
      <c r="AH278" t="str">
        <f t="shared" si="54"/>
        <v>Bachelor</v>
      </c>
      <c r="AI278" t="str">
        <f t="shared" si="55"/>
        <v>Medium</v>
      </c>
      <c r="AJ278" t="str">
        <f t="shared" si="56"/>
        <v>Very High</v>
      </c>
      <c r="AK278" t="str">
        <f t="shared" si="57"/>
        <v>Mid-Level</v>
      </c>
      <c r="AL278" t="str">
        <f t="shared" si="58"/>
        <v>Medium</v>
      </c>
      <c r="AM278" t="str">
        <f t="shared" si="59"/>
        <v>Medium</v>
      </c>
      <c r="AN278" t="str">
        <f t="shared" si="60"/>
        <v>Low</v>
      </c>
      <c r="AO278" t="str">
        <f t="shared" si="61"/>
        <v>Good</v>
      </c>
      <c r="AP278" t="str">
        <f t="shared" si="62"/>
        <v>35-44</v>
      </c>
      <c r="AQ278" t="str">
        <f t="shared" si="63"/>
        <v>Upper-Mid</v>
      </c>
      <c r="AR278" t="str">
        <f t="shared" si="64"/>
        <v>6-10 Years</v>
      </c>
    </row>
    <row r="279" spans="1:44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39</v>
      </c>
      <c r="L279">
        <v>44</v>
      </c>
      <c r="M279">
        <v>4</v>
      </c>
      <c r="N279">
        <v>2</v>
      </c>
      <c r="O279" t="s">
        <v>40</v>
      </c>
      <c r="P279">
        <v>1</v>
      </c>
      <c r="Q279" t="s">
        <v>52</v>
      </c>
      <c r="R279">
        <v>5605</v>
      </c>
      <c r="S279">
        <v>1</v>
      </c>
      <c r="T279" t="s">
        <v>35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  <c r="AF279">
        <f t="shared" si="52"/>
        <v>0</v>
      </c>
      <c r="AG279">
        <f t="shared" si="53"/>
        <v>1</v>
      </c>
      <c r="AH279" t="str">
        <f t="shared" si="54"/>
        <v>College</v>
      </c>
      <c r="AI279" t="str">
        <f t="shared" si="55"/>
        <v>Low</v>
      </c>
      <c r="AJ279" t="str">
        <f t="shared" si="56"/>
        <v>Very High</v>
      </c>
      <c r="AK279" t="str">
        <f t="shared" si="57"/>
        <v>Junior</v>
      </c>
      <c r="AL279" t="str">
        <f t="shared" si="58"/>
        <v>Low</v>
      </c>
      <c r="AM279" t="str">
        <f t="shared" si="59"/>
        <v>High</v>
      </c>
      <c r="AN279" t="str">
        <f t="shared" si="60"/>
        <v>Low</v>
      </c>
      <c r="AO279" t="str">
        <f t="shared" si="61"/>
        <v>Better</v>
      </c>
      <c r="AP279" t="str">
        <f t="shared" si="62"/>
        <v>35-44</v>
      </c>
      <c r="AQ279" t="str">
        <f t="shared" si="63"/>
        <v>Lower-Mid</v>
      </c>
      <c r="AR279" t="str">
        <f t="shared" si="64"/>
        <v>6-10 Years</v>
      </c>
    </row>
    <row r="280" spans="1:44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84</v>
      </c>
      <c r="M280">
        <v>3</v>
      </c>
      <c r="N280">
        <v>2</v>
      </c>
      <c r="O280" t="s">
        <v>53</v>
      </c>
      <c r="P280">
        <v>2</v>
      </c>
      <c r="Q280" t="s">
        <v>52</v>
      </c>
      <c r="R280">
        <v>6397</v>
      </c>
      <c r="S280">
        <v>1</v>
      </c>
      <c r="T280" t="s">
        <v>43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  <c r="AF280">
        <f t="shared" si="52"/>
        <v>0</v>
      </c>
      <c r="AG280">
        <f t="shared" si="53"/>
        <v>0</v>
      </c>
      <c r="AH280" t="str">
        <f t="shared" si="54"/>
        <v>Bachelor</v>
      </c>
      <c r="AI280" t="str">
        <f t="shared" si="55"/>
        <v>High</v>
      </c>
      <c r="AJ280" t="str">
        <f t="shared" si="56"/>
        <v>High</v>
      </c>
      <c r="AK280" t="str">
        <f t="shared" si="57"/>
        <v>Junior</v>
      </c>
      <c r="AL280" t="str">
        <f t="shared" si="58"/>
        <v>Medium</v>
      </c>
      <c r="AM280" t="str">
        <f t="shared" si="59"/>
        <v>Low</v>
      </c>
      <c r="AN280" t="str">
        <f t="shared" si="60"/>
        <v>Low</v>
      </c>
      <c r="AO280" t="str">
        <f t="shared" si="61"/>
        <v>Bad</v>
      </c>
      <c r="AP280" t="str">
        <f t="shared" si="62"/>
        <v>25-34</v>
      </c>
      <c r="AQ280" t="str">
        <f t="shared" si="63"/>
        <v>Lower-Mid</v>
      </c>
      <c r="AR280" t="str">
        <f t="shared" si="64"/>
        <v>6-10 Years</v>
      </c>
    </row>
    <row r="281" spans="1:44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46</v>
      </c>
      <c r="L281">
        <v>96</v>
      </c>
      <c r="M281">
        <v>3</v>
      </c>
      <c r="N281">
        <v>5</v>
      </c>
      <c r="O281" t="s">
        <v>58</v>
      </c>
      <c r="P281">
        <v>2</v>
      </c>
      <c r="Q281" t="s">
        <v>52</v>
      </c>
      <c r="R281">
        <v>19144</v>
      </c>
      <c r="S281">
        <v>3</v>
      </c>
      <c r="T281" t="s">
        <v>43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  <c r="AF281">
        <f t="shared" si="52"/>
        <v>0</v>
      </c>
      <c r="AG281">
        <f t="shared" si="53"/>
        <v>0</v>
      </c>
      <c r="AH281" t="str">
        <f t="shared" si="54"/>
        <v>Below College</v>
      </c>
      <c r="AI281" t="str">
        <f t="shared" si="55"/>
        <v>Low</v>
      </c>
      <c r="AJ281" t="str">
        <f t="shared" si="56"/>
        <v>High</v>
      </c>
      <c r="AK281" t="str">
        <f t="shared" si="57"/>
        <v>Executive</v>
      </c>
      <c r="AL281" t="str">
        <f t="shared" si="58"/>
        <v>Medium</v>
      </c>
      <c r="AM281" t="str">
        <f t="shared" si="59"/>
        <v>Low</v>
      </c>
      <c r="AN281" t="str">
        <f t="shared" si="60"/>
        <v>Medium</v>
      </c>
      <c r="AO281" t="str">
        <f t="shared" si="61"/>
        <v>Good</v>
      </c>
      <c r="AP281" t="str">
        <f t="shared" si="62"/>
        <v>45-54</v>
      </c>
      <c r="AQ281" t="str">
        <f t="shared" si="63"/>
        <v>High</v>
      </c>
      <c r="AR281" t="str">
        <f t="shared" si="64"/>
        <v>6-10 Years</v>
      </c>
    </row>
    <row r="282" spans="1:44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46</v>
      </c>
      <c r="L282">
        <v>45</v>
      </c>
      <c r="M282">
        <v>3</v>
      </c>
      <c r="N282">
        <v>4</v>
      </c>
      <c r="O282" t="s">
        <v>58</v>
      </c>
      <c r="P282">
        <v>3</v>
      </c>
      <c r="Q282" t="s">
        <v>48</v>
      </c>
      <c r="R282">
        <v>17584</v>
      </c>
      <c r="S282">
        <v>3</v>
      </c>
      <c r="T282" t="s">
        <v>35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  <c r="AF282">
        <f t="shared" si="52"/>
        <v>0</v>
      </c>
      <c r="AG282">
        <f t="shared" si="53"/>
        <v>1</v>
      </c>
      <c r="AH282" t="str">
        <f t="shared" si="54"/>
        <v>Master</v>
      </c>
      <c r="AI282" t="str">
        <f t="shared" si="55"/>
        <v>High</v>
      </c>
      <c r="AJ282" t="str">
        <f t="shared" si="56"/>
        <v>High</v>
      </c>
      <c r="AK282" t="str">
        <f t="shared" si="57"/>
        <v>Senior</v>
      </c>
      <c r="AL282" t="str">
        <f t="shared" si="58"/>
        <v>High</v>
      </c>
      <c r="AM282" t="str">
        <f t="shared" si="59"/>
        <v>Very High</v>
      </c>
      <c r="AN282" t="str">
        <f t="shared" si="60"/>
        <v>High</v>
      </c>
      <c r="AO282" t="str">
        <f t="shared" si="61"/>
        <v>Good</v>
      </c>
      <c r="AP282" t="str">
        <f t="shared" si="62"/>
        <v>45-54</v>
      </c>
      <c r="AQ282" t="str">
        <f t="shared" si="63"/>
        <v>High</v>
      </c>
      <c r="AR282" t="str">
        <f t="shared" si="64"/>
        <v>3-5 Years</v>
      </c>
    </row>
    <row r="283" spans="1:44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46</v>
      </c>
      <c r="L283">
        <v>99</v>
      </c>
      <c r="M283">
        <v>3</v>
      </c>
      <c r="N283">
        <v>2</v>
      </c>
      <c r="O283" t="s">
        <v>40</v>
      </c>
      <c r="P283">
        <v>3</v>
      </c>
      <c r="Q283" t="s">
        <v>48</v>
      </c>
      <c r="R283">
        <v>4907</v>
      </c>
      <c r="S283">
        <v>1</v>
      </c>
      <c r="T283" t="s">
        <v>43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  <c r="AF283">
        <f t="shared" si="52"/>
        <v>0</v>
      </c>
      <c r="AG283">
        <f t="shared" si="53"/>
        <v>0</v>
      </c>
      <c r="AH283" t="str">
        <f t="shared" si="54"/>
        <v>Below College</v>
      </c>
      <c r="AI283" t="str">
        <f t="shared" si="55"/>
        <v>Medium</v>
      </c>
      <c r="AJ283" t="str">
        <f t="shared" si="56"/>
        <v>High</v>
      </c>
      <c r="AK283" t="str">
        <f t="shared" si="57"/>
        <v>Junior</v>
      </c>
      <c r="AL283" t="str">
        <f t="shared" si="58"/>
        <v>High</v>
      </c>
      <c r="AM283" t="str">
        <f t="shared" si="59"/>
        <v>High</v>
      </c>
      <c r="AN283" t="str">
        <f t="shared" si="60"/>
        <v>No Options</v>
      </c>
      <c r="AO283" t="str">
        <f t="shared" si="61"/>
        <v>Better</v>
      </c>
      <c r="AP283" t="str">
        <f t="shared" si="62"/>
        <v>35-44</v>
      </c>
      <c r="AQ283" t="str">
        <f t="shared" si="63"/>
        <v>Lower-Mid</v>
      </c>
      <c r="AR283" t="str">
        <f t="shared" si="64"/>
        <v>11-20 Years</v>
      </c>
    </row>
    <row r="284" spans="1:44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46</v>
      </c>
      <c r="L284">
        <v>44</v>
      </c>
      <c r="M284">
        <v>3</v>
      </c>
      <c r="N284">
        <v>2</v>
      </c>
      <c r="O284" t="s">
        <v>40</v>
      </c>
      <c r="P284">
        <v>4</v>
      </c>
      <c r="Q284" t="s">
        <v>41</v>
      </c>
      <c r="R284">
        <v>4554</v>
      </c>
      <c r="S284">
        <v>1</v>
      </c>
      <c r="T284" t="s">
        <v>43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  <c r="AF284">
        <f t="shared" si="52"/>
        <v>0</v>
      </c>
      <c r="AG284">
        <f t="shared" si="53"/>
        <v>0</v>
      </c>
      <c r="AH284" t="str">
        <f t="shared" si="54"/>
        <v>College</v>
      </c>
      <c r="AI284" t="str">
        <f t="shared" si="55"/>
        <v>Medium</v>
      </c>
      <c r="AJ284" t="str">
        <f t="shared" si="56"/>
        <v>High</v>
      </c>
      <c r="AK284" t="str">
        <f t="shared" si="57"/>
        <v>Junior</v>
      </c>
      <c r="AL284" t="str">
        <f t="shared" si="58"/>
        <v>Very High</v>
      </c>
      <c r="AM284" t="str">
        <f t="shared" si="59"/>
        <v>Low</v>
      </c>
      <c r="AN284" t="str">
        <f t="shared" si="60"/>
        <v>No Options</v>
      </c>
      <c r="AO284" t="str">
        <f t="shared" si="61"/>
        <v>Good</v>
      </c>
      <c r="AP284" t="str">
        <f t="shared" si="62"/>
        <v>25-34</v>
      </c>
      <c r="AQ284" t="str">
        <f t="shared" si="63"/>
        <v>Lower-Mid</v>
      </c>
      <c r="AR284" t="str">
        <f t="shared" si="64"/>
        <v>6-10 Years</v>
      </c>
    </row>
    <row r="285" spans="1:44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t="s">
        <v>46</v>
      </c>
      <c r="L285">
        <v>37</v>
      </c>
      <c r="M285">
        <v>3</v>
      </c>
      <c r="N285">
        <v>2</v>
      </c>
      <c r="O285" t="s">
        <v>50</v>
      </c>
      <c r="P285">
        <v>4</v>
      </c>
      <c r="Q285" t="s">
        <v>48</v>
      </c>
      <c r="R285">
        <v>5415</v>
      </c>
      <c r="S285">
        <v>3</v>
      </c>
      <c r="T285" t="s">
        <v>35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  <c r="AF285">
        <f t="shared" si="52"/>
        <v>0</v>
      </c>
      <c r="AG285">
        <f t="shared" si="53"/>
        <v>1</v>
      </c>
      <c r="AH285" t="str">
        <f t="shared" si="54"/>
        <v>College</v>
      </c>
      <c r="AI285" t="str">
        <f t="shared" si="55"/>
        <v>Medium</v>
      </c>
      <c r="AJ285" t="str">
        <f t="shared" si="56"/>
        <v>High</v>
      </c>
      <c r="AK285" t="str">
        <f t="shared" si="57"/>
        <v>Junior</v>
      </c>
      <c r="AL285" t="str">
        <f t="shared" si="58"/>
        <v>Very High</v>
      </c>
      <c r="AM285" t="str">
        <f t="shared" si="59"/>
        <v>Very High</v>
      </c>
      <c r="AN285" t="str">
        <f t="shared" si="60"/>
        <v>Low</v>
      </c>
      <c r="AO285" t="str">
        <f t="shared" si="61"/>
        <v>Better</v>
      </c>
      <c r="AP285" t="str">
        <f t="shared" si="62"/>
        <v>55+</v>
      </c>
      <c r="AQ285" t="str">
        <f t="shared" si="63"/>
        <v>Lower-Mid</v>
      </c>
      <c r="AR285" t="str">
        <f t="shared" si="64"/>
        <v>6-10 Years</v>
      </c>
    </row>
    <row r="286" spans="1:44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46</v>
      </c>
      <c r="L286">
        <v>60</v>
      </c>
      <c r="M286">
        <v>3</v>
      </c>
      <c r="N286">
        <v>2</v>
      </c>
      <c r="O286" t="s">
        <v>54</v>
      </c>
      <c r="P286">
        <v>1</v>
      </c>
      <c r="Q286" t="s">
        <v>48</v>
      </c>
      <c r="R286">
        <v>4741</v>
      </c>
      <c r="S286">
        <v>1</v>
      </c>
      <c r="T286" t="s">
        <v>35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  <c r="AF286">
        <f t="shared" si="52"/>
        <v>0</v>
      </c>
      <c r="AG286">
        <f t="shared" si="53"/>
        <v>1</v>
      </c>
      <c r="AH286" t="str">
        <f t="shared" si="54"/>
        <v>College</v>
      </c>
      <c r="AI286" t="str">
        <f t="shared" si="55"/>
        <v>Low</v>
      </c>
      <c r="AJ286" t="str">
        <f t="shared" si="56"/>
        <v>High</v>
      </c>
      <c r="AK286" t="str">
        <f t="shared" si="57"/>
        <v>Junior</v>
      </c>
      <c r="AL286" t="str">
        <f t="shared" si="58"/>
        <v>Low</v>
      </c>
      <c r="AM286" t="str">
        <f t="shared" si="59"/>
        <v>High</v>
      </c>
      <c r="AN286" t="str">
        <f t="shared" si="60"/>
        <v>Low</v>
      </c>
      <c r="AO286" t="str">
        <f t="shared" si="61"/>
        <v>Better</v>
      </c>
      <c r="AP286" t="str">
        <f t="shared" si="62"/>
        <v>25-34</v>
      </c>
      <c r="AQ286" t="str">
        <f t="shared" si="63"/>
        <v>Lower-Mid</v>
      </c>
      <c r="AR286" t="str">
        <f t="shared" si="64"/>
        <v>3-5 Years</v>
      </c>
    </row>
    <row r="287" spans="1:44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42</v>
      </c>
      <c r="M287">
        <v>3</v>
      </c>
      <c r="N287">
        <v>1</v>
      </c>
      <c r="O287" t="s">
        <v>47</v>
      </c>
      <c r="P287">
        <v>4</v>
      </c>
      <c r="Q287" t="s">
        <v>41</v>
      </c>
      <c r="R287">
        <v>2115</v>
      </c>
      <c r="S287">
        <v>1</v>
      </c>
      <c r="T287" t="s">
        <v>43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  <c r="AF287">
        <f t="shared" si="52"/>
        <v>0</v>
      </c>
      <c r="AG287">
        <f t="shared" si="53"/>
        <v>0</v>
      </c>
      <c r="AH287" t="str">
        <f t="shared" si="54"/>
        <v>Bachelor</v>
      </c>
      <c r="AI287" t="str">
        <f t="shared" si="55"/>
        <v>Very High</v>
      </c>
      <c r="AJ287" t="str">
        <f t="shared" si="56"/>
        <v>High</v>
      </c>
      <c r="AK287" t="str">
        <f t="shared" si="57"/>
        <v>Entry</v>
      </c>
      <c r="AL287" t="str">
        <f t="shared" si="58"/>
        <v>Very High</v>
      </c>
      <c r="AM287" t="str">
        <f t="shared" si="59"/>
        <v>Medium</v>
      </c>
      <c r="AN287" t="str">
        <f t="shared" si="60"/>
        <v>No Options</v>
      </c>
      <c r="AO287" t="str">
        <f t="shared" si="61"/>
        <v>Better</v>
      </c>
      <c r="AP287" t="str">
        <f t="shared" si="62"/>
        <v>35-44</v>
      </c>
      <c r="AQ287" t="str">
        <f t="shared" si="63"/>
        <v>Low</v>
      </c>
      <c r="AR287" t="str">
        <f t="shared" si="64"/>
        <v>11-20 Years</v>
      </c>
    </row>
    <row r="288" spans="1:44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46</v>
      </c>
      <c r="L288">
        <v>43</v>
      </c>
      <c r="M288">
        <v>3</v>
      </c>
      <c r="N288">
        <v>1</v>
      </c>
      <c r="O288" t="s">
        <v>50</v>
      </c>
      <c r="P288">
        <v>3</v>
      </c>
      <c r="Q288" t="s">
        <v>52</v>
      </c>
      <c r="R288">
        <v>3161</v>
      </c>
      <c r="S288">
        <v>3</v>
      </c>
      <c r="T288" t="s">
        <v>35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f t="shared" si="52"/>
        <v>1</v>
      </c>
      <c r="AG288">
        <f t="shared" si="53"/>
        <v>1</v>
      </c>
      <c r="AH288" t="str">
        <f t="shared" si="54"/>
        <v>Bachelor</v>
      </c>
      <c r="AI288" t="str">
        <f t="shared" si="55"/>
        <v>Very High</v>
      </c>
      <c r="AJ288" t="str">
        <f t="shared" si="56"/>
        <v>High</v>
      </c>
      <c r="AK288" t="str">
        <f t="shared" si="57"/>
        <v>Entry</v>
      </c>
      <c r="AL288" t="str">
        <f t="shared" si="58"/>
        <v>High</v>
      </c>
      <c r="AM288" t="str">
        <f t="shared" si="59"/>
        <v>Very High</v>
      </c>
      <c r="AN288" t="str">
        <f t="shared" si="60"/>
        <v>Low</v>
      </c>
      <c r="AO288" t="str">
        <f t="shared" si="61"/>
        <v>Bad</v>
      </c>
      <c r="AP288" t="str">
        <f t="shared" si="62"/>
        <v>35-44</v>
      </c>
      <c r="AQ288" t="str">
        <f t="shared" si="63"/>
        <v>Lower-Mid</v>
      </c>
      <c r="AR288" t="str">
        <f t="shared" si="64"/>
        <v>0-2 Years</v>
      </c>
    </row>
    <row r="289" spans="1:44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46</v>
      </c>
      <c r="L289">
        <v>82</v>
      </c>
      <c r="M289">
        <v>3</v>
      </c>
      <c r="N289">
        <v>2</v>
      </c>
      <c r="O289" t="s">
        <v>54</v>
      </c>
      <c r="P289">
        <v>4</v>
      </c>
      <c r="Q289" t="s">
        <v>52</v>
      </c>
      <c r="R289">
        <v>5745</v>
      </c>
      <c r="S289">
        <v>9</v>
      </c>
      <c r="T289" t="s">
        <v>43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  <c r="AF289">
        <f t="shared" si="52"/>
        <v>0</v>
      </c>
      <c r="AG289">
        <f t="shared" si="53"/>
        <v>0</v>
      </c>
      <c r="AH289" t="str">
        <f t="shared" si="54"/>
        <v>Master</v>
      </c>
      <c r="AI289" t="str">
        <f t="shared" si="55"/>
        <v>Very High</v>
      </c>
      <c r="AJ289" t="str">
        <f t="shared" si="56"/>
        <v>High</v>
      </c>
      <c r="AK289" t="str">
        <f t="shared" si="57"/>
        <v>Junior</v>
      </c>
      <c r="AL289" t="str">
        <f t="shared" si="58"/>
        <v>Very High</v>
      </c>
      <c r="AM289" t="str">
        <f t="shared" si="59"/>
        <v>Medium</v>
      </c>
      <c r="AN289" t="str">
        <f t="shared" si="60"/>
        <v>Low</v>
      </c>
      <c r="AO289" t="str">
        <f t="shared" si="61"/>
        <v>Better</v>
      </c>
      <c r="AP289" t="str">
        <f t="shared" si="62"/>
        <v>35-44</v>
      </c>
      <c r="AQ289" t="str">
        <f t="shared" si="63"/>
        <v>Lower-Mid</v>
      </c>
      <c r="AR289" t="str">
        <f t="shared" si="64"/>
        <v>0-2 Years</v>
      </c>
    </row>
    <row r="290" spans="1:44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46</v>
      </c>
      <c r="L290">
        <v>45</v>
      </c>
      <c r="M290">
        <v>3</v>
      </c>
      <c r="N290">
        <v>1</v>
      </c>
      <c r="O290" t="s">
        <v>50</v>
      </c>
      <c r="P290">
        <v>2</v>
      </c>
      <c r="Q290" t="s">
        <v>52</v>
      </c>
      <c r="R290">
        <v>2373</v>
      </c>
      <c r="S290">
        <v>2</v>
      </c>
      <c r="T290" t="s">
        <v>35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  <c r="AF290">
        <f t="shared" si="52"/>
        <v>1</v>
      </c>
      <c r="AG290">
        <f t="shared" si="53"/>
        <v>1</v>
      </c>
      <c r="AH290" t="str">
        <f t="shared" si="54"/>
        <v>Master</v>
      </c>
      <c r="AI290" t="str">
        <f t="shared" si="55"/>
        <v>Low</v>
      </c>
      <c r="AJ290" t="str">
        <f t="shared" si="56"/>
        <v>High</v>
      </c>
      <c r="AK290" t="str">
        <f t="shared" si="57"/>
        <v>Entry</v>
      </c>
      <c r="AL290" t="str">
        <f t="shared" si="58"/>
        <v>Medium</v>
      </c>
      <c r="AM290" t="str">
        <f t="shared" si="59"/>
        <v>Very High</v>
      </c>
      <c r="AN290" t="str">
        <f t="shared" si="60"/>
        <v>Low</v>
      </c>
      <c r="AO290" t="str">
        <f t="shared" si="61"/>
        <v>Better</v>
      </c>
      <c r="AP290" t="str">
        <f t="shared" si="62"/>
        <v>25-34</v>
      </c>
      <c r="AQ290" t="str">
        <f t="shared" si="63"/>
        <v>Low</v>
      </c>
      <c r="AR290" t="str">
        <f t="shared" si="64"/>
        <v>3-5 Years</v>
      </c>
    </row>
    <row r="291" spans="1:44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66</v>
      </c>
      <c r="M291">
        <v>3</v>
      </c>
      <c r="N291">
        <v>1</v>
      </c>
      <c r="O291" t="s">
        <v>47</v>
      </c>
      <c r="P291">
        <v>4</v>
      </c>
      <c r="Q291" t="s">
        <v>41</v>
      </c>
      <c r="R291">
        <v>3310</v>
      </c>
      <c r="S291">
        <v>1</v>
      </c>
      <c r="T291" t="s">
        <v>43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  <c r="AF291">
        <f t="shared" si="52"/>
        <v>0</v>
      </c>
      <c r="AG291">
        <f t="shared" si="53"/>
        <v>0</v>
      </c>
      <c r="AH291" t="str">
        <f t="shared" si="54"/>
        <v>College</v>
      </c>
      <c r="AI291" t="str">
        <f t="shared" si="55"/>
        <v>Very High</v>
      </c>
      <c r="AJ291" t="str">
        <f t="shared" si="56"/>
        <v>High</v>
      </c>
      <c r="AK291" t="str">
        <f t="shared" si="57"/>
        <v>Entry</v>
      </c>
      <c r="AL291" t="str">
        <f t="shared" si="58"/>
        <v>Very High</v>
      </c>
      <c r="AM291" t="str">
        <f t="shared" si="59"/>
        <v>Very High</v>
      </c>
      <c r="AN291" t="str">
        <f t="shared" si="60"/>
        <v>No Options</v>
      </c>
      <c r="AO291" t="str">
        <f t="shared" si="61"/>
        <v>Better</v>
      </c>
      <c r="AP291" t="str">
        <f t="shared" si="62"/>
        <v>25-34</v>
      </c>
      <c r="AQ291" t="str">
        <f t="shared" si="63"/>
        <v>Lower-Mid</v>
      </c>
      <c r="AR291" t="str">
        <f t="shared" si="64"/>
        <v>3-5 Years</v>
      </c>
    </row>
    <row r="292" spans="1:44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35</v>
      </c>
      <c r="M292">
        <v>3</v>
      </c>
      <c r="N292">
        <v>5</v>
      </c>
      <c r="O292" t="s">
        <v>58</v>
      </c>
      <c r="P292">
        <v>1</v>
      </c>
      <c r="Q292" t="s">
        <v>41</v>
      </c>
      <c r="R292">
        <v>18665</v>
      </c>
      <c r="S292">
        <v>9</v>
      </c>
      <c r="T292" t="s">
        <v>35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  <c r="AF292">
        <f t="shared" si="52"/>
        <v>0</v>
      </c>
      <c r="AG292">
        <f t="shared" si="53"/>
        <v>1</v>
      </c>
      <c r="AH292" t="str">
        <f t="shared" si="54"/>
        <v>Master</v>
      </c>
      <c r="AI292" t="str">
        <f t="shared" si="55"/>
        <v>High</v>
      </c>
      <c r="AJ292" t="str">
        <f t="shared" si="56"/>
        <v>High</v>
      </c>
      <c r="AK292" t="str">
        <f t="shared" si="57"/>
        <v>Executive</v>
      </c>
      <c r="AL292" t="str">
        <f t="shared" si="58"/>
        <v>Low</v>
      </c>
      <c r="AM292" t="str">
        <f t="shared" si="59"/>
        <v>Very High</v>
      </c>
      <c r="AN292" t="str">
        <f t="shared" si="60"/>
        <v>No Options</v>
      </c>
      <c r="AO292" t="str">
        <f t="shared" si="61"/>
        <v>Better</v>
      </c>
      <c r="AP292" t="str">
        <f t="shared" si="62"/>
        <v>45-54</v>
      </c>
      <c r="AQ292" t="str">
        <f t="shared" si="63"/>
        <v>High</v>
      </c>
      <c r="AR292" t="str">
        <f t="shared" si="64"/>
        <v>3-5 Years</v>
      </c>
    </row>
    <row r="293" spans="1:44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t="s">
        <v>46</v>
      </c>
      <c r="L293">
        <v>30</v>
      </c>
      <c r="M293">
        <v>3</v>
      </c>
      <c r="N293">
        <v>2</v>
      </c>
      <c r="O293" t="s">
        <v>47</v>
      </c>
      <c r="P293">
        <v>2</v>
      </c>
      <c r="Q293" t="s">
        <v>41</v>
      </c>
      <c r="R293">
        <v>4485</v>
      </c>
      <c r="S293">
        <v>4</v>
      </c>
      <c r="T293" t="s">
        <v>43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  <c r="AF293">
        <f t="shared" si="52"/>
        <v>0</v>
      </c>
      <c r="AG293">
        <f t="shared" si="53"/>
        <v>0</v>
      </c>
      <c r="AH293" t="str">
        <f t="shared" si="54"/>
        <v>Bachelor</v>
      </c>
      <c r="AI293" t="str">
        <f t="shared" si="55"/>
        <v>High</v>
      </c>
      <c r="AJ293" t="str">
        <f t="shared" si="56"/>
        <v>High</v>
      </c>
      <c r="AK293" t="str">
        <f t="shared" si="57"/>
        <v>Junior</v>
      </c>
      <c r="AL293" t="str">
        <f t="shared" si="58"/>
        <v>Medium</v>
      </c>
      <c r="AM293" t="str">
        <f t="shared" si="59"/>
        <v>Very High</v>
      </c>
      <c r="AN293" t="str">
        <f t="shared" si="60"/>
        <v>No Options</v>
      </c>
      <c r="AO293" t="str">
        <f t="shared" si="61"/>
        <v>Better</v>
      </c>
      <c r="AP293" t="str">
        <f t="shared" si="62"/>
        <v>35-44</v>
      </c>
      <c r="AQ293" t="str">
        <f t="shared" si="63"/>
        <v>Lower-Mid</v>
      </c>
      <c r="AR293" t="str">
        <f t="shared" si="64"/>
        <v>6-10 Years</v>
      </c>
    </row>
    <row r="294" spans="1:44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t="s">
        <v>39</v>
      </c>
      <c r="L294">
        <v>84</v>
      </c>
      <c r="M294">
        <v>3</v>
      </c>
      <c r="N294">
        <v>1</v>
      </c>
      <c r="O294" t="s">
        <v>57</v>
      </c>
      <c r="P294">
        <v>2</v>
      </c>
      <c r="Q294" t="s">
        <v>52</v>
      </c>
      <c r="R294">
        <v>2789</v>
      </c>
      <c r="S294">
        <v>1</v>
      </c>
      <c r="T294" t="s">
        <v>43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  <c r="AF294">
        <f t="shared" si="52"/>
        <v>0</v>
      </c>
      <c r="AG294">
        <f t="shared" si="53"/>
        <v>0</v>
      </c>
      <c r="AH294" t="str">
        <f t="shared" si="54"/>
        <v>Bachelor</v>
      </c>
      <c r="AI294" t="str">
        <f t="shared" si="55"/>
        <v>Very High</v>
      </c>
      <c r="AJ294" t="str">
        <f t="shared" si="56"/>
        <v>High</v>
      </c>
      <c r="AK294" t="str">
        <f t="shared" si="57"/>
        <v>Entry</v>
      </c>
      <c r="AL294" t="str">
        <f t="shared" si="58"/>
        <v>Medium</v>
      </c>
      <c r="AM294" t="str">
        <f t="shared" si="59"/>
        <v>High</v>
      </c>
      <c r="AN294" t="str">
        <f t="shared" si="60"/>
        <v>Low</v>
      </c>
      <c r="AO294" t="str">
        <f t="shared" si="61"/>
        <v>Good</v>
      </c>
      <c r="AP294" t="str">
        <f t="shared" si="62"/>
        <v>25-34</v>
      </c>
      <c r="AQ294" t="str">
        <f t="shared" si="63"/>
        <v>Low</v>
      </c>
      <c r="AR294" t="str">
        <f t="shared" si="64"/>
        <v>0-2 Years</v>
      </c>
    </row>
    <row r="295" spans="1:44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t="s">
        <v>46</v>
      </c>
      <c r="L295">
        <v>48</v>
      </c>
      <c r="M295">
        <v>2</v>
      </c>
      <c r="N295">
        <v>2</v>
      </c>
      <c r="O295" t="s">
        <v>40</v>
      </c>
      <c r="P295">
        <v>4</v>
      </c>
      <c r="Q295" t="s">
        <v>41</v>
      </c>
      <c r="R295">
        <v>5828</v>
      </c>
      <c r="S295">
        <v>1</v>
      </c>
      <c r="T295" t="s">
        <v>35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  <c r="AF295">
        <f t="shared" si="52"/>
        <v>1</v>
      </c>
      <c r="AG295">
        <f t="shared" si="53"/>
        <v>1</v>
      </c>
      <c r="AH295" t="str">
        <f t="shared" si="54"/>
        <v>Master</v>
      </c>
      <c r="AI295" t="str">
        <f t="shared" si="55"/>
        <v>Very High</v>
      </c>
      <c r="AJ295" t="str">
        <f t="shared" si="56"/>
        <v>Medium</v>
      </c>
      <c r="AK295" t="str">
        <f t="shared" si="57"/>
        <v>Junior</v>
      </c>
      <c r="AL295" t="str">
        <f t="shared" si="58"/>
        <v>Very High</v>
      </c>
      <c r="AM295" t="str">
        <f t="shared" si="59"/>
        <v>Medium</v>
      </c>
      <c r="AN295" t="str">
        <f t="shared" si="60"/>
        <v>No Options</v>
      </c>
      <c r="AO295" t="str">
        <f t="shared" si="61"/>
        <v>Better</v>
      </c>
      <c r="AP295" t="str">
        <f t="shared" si="62"/>
        <v>25-34</v>
      </c>
      <c r="AQ295" t="str">
        <f t="shared" si="63"/>
        <v>Lower-Mid</v>
      </c>
      <c r="AR295" t="str">
        <f t="shared" si="64"/>
        <v>6-10 Years</v>
      </c>
    </row>
    <row r="296" spans="1:44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46</v>
      </c>
      <c r="L296">
        <v>53</v>
      </c>
      <c r="M296">
        <v>3</v>
      </c>
      <c r="N296">
        <v>1</v>
      </c>
      <c r="O296" t="s">
        <v>47</v>
      </c>
      <c r="P296">
        <v>4</v>
      </c>
      <c r="Q296" t="s">
        <v>48</v>
      </c>
      <c r="R296">
        <v>2326</v>
      </c>
      <c r="S296">
        <v>1</v>
      </c>
      <c r="T296" t="s">
        <v>35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  <c r="AF296">
        <f t="shared" si="52"/>
        <v>0</v>
      </c>
      <c r="AG296">
        <f t="shared" si="53"/>
        <v>1</v>
      </c>
      <c r="AH296" t="str">
        <f t="shared" si="54"/>
        <v>Bachelor</v>
      </c>
      <c r="AI296" t="str">
        <f t="shared" si="55"/>
        <v>Medium</v>
      </c>
      <c r="AJ296" t="str">
        <f t="shared" si="56"/>
        <v>High</v>
      </c>
      <c r="AK296" t="str">
        <f t="shared" si="57"/>
        <v>Entry</v>
      </c>
      <c r="AL296" t="str">
        <f t="shared" si="58"/>
        <v>Very High</v>
      </c>
      <c r="AM296" t="str">
        <f t="shared" si="59"/>
        <v>High</v>
      </c>
      <c r="AN296" t="str">
        <f t="shared" si="60"/>
        <v>High</v>
      </c>
      <c r="AO296" t="str">
        <f t="shared" si="61"/>
        <v>Good</v>
      </c>
      <c r="AP296" t="str">
        <f t="shared" si="62"/>
        <v>35-44</v>
      </c>
      <c r="AQ296" t="str">
        <f t="shared" si="63"/>
        <v>Low</v>
      </c>
      <c r="AR296" t="str">
        <f t="shared" si="64"/>
        <v>3-5 Years</v>
      </c>
    </row>
    <row r="297" spans="1:44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t="s">
        <v>39</v>
      </c>
      <c r="L297">
        <v>77</v>
      </c>
      <c r="M297">
        <v>3</v>
      </c>
      <c r="N297">
        <v>4</v>
      </c>
      <c r="O297" t="s">
        <v>40</v>
      </c>
      <c r="P297">
        <v>2</v>
      </c>
      <c r="Q297" t="s">
        <v>48</v>
      </c>
      <c r="R297">
        <v>13525</v>
      </c>
      <c r="S297">
        <v>5</v>
      </c>
      <c r="T297" t="s">
        <v>43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  <c r="AF297">
        <f t="shared" si="52"/>
        <v>0</v>
      </c>
      <c r="AG297">
        <f t="shared" si="53"/>
        <v>0</v>
      </c>
      <c r="AH297" t="str">
        <f t="shared" si="54"/>
        <v>Bachelor</v>
      </c>
      <c r="AI297" t="str">
        <f t="shared" si="55"/>
        <v>High</v>
      </c>
      <c r="AJ297" t="str">
        <f t="shared" si="56"/>
        <v>High</v>
      </c>
      <c r="AK297" t="str">
        <f t="shared" si="57"/>
        <v>Senior</v>
      </c>
      <c r="AL297" t="str">
        <f t="shared" si="58"/>
        <v>Medium</v>
      </c>
      <c r="AM297" t="str">
        <f t="shared" si="59"/>
        <v>Very High</v>
      </c>
      <c r="AN297" t="str">
        <f t="shared" si="60"/>
        <v>Low</v>
      </c>
      <c r="AO297" t="str">
        <f t="shared" si="61"/>
        <v>Best</v>
      </c>
      <c r="AP297" t="str">
        <f t="shared" si="62"/>
        <v>35-44</v>
      </c>
      <c r="AQ297" t="str">
        <f t="shared" si="63"/>
        <v>High</v>
      </c>
      <c r="AR297" t="str">
        <f t="shared" si="64"/>
        <v>11-20 Years</v>
      </c>
    </row>
    <row r="298" spans="1:44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46</v>
      </c>
      <c r="L298">
        <v>54</v>
      </c>
      <c r="M298">
        <v>3</v>
      </c>
      <c r="N298">
        <v>1</v>
      </c>
      <c r="O298" t="s">
        <v>50</v>
      </c>
      <c r="P298">
        <v>3</v>
      </c>
      <c r="Q298" t="s">
        <v>41</v>
      </c>
      <c r="R298">
        <v>1420</v>
      </c>
      <c r="S298">
        <v>1</v>
      </c>
      <c r="T298" t="s">
        <v>43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  <c r="AF298">
        <f t="shared" si="52"/>
        <v>1</v>
      </c>
      <c r="AG298">
        <f t="shared" si="53"/>
        <v>0</v>
      </c>
      <c r="AH298" t="str">
        <f t="shared" si="54"/>
        <v>Bachelor</v>
      </c>
      <c r="AI298" t="str">
        <f t="shared" si="55"/>
        <v>High</v>
      </c>
      <c r="AJ298" t="str">
        <f t="shared" si="56"/>
        <v>High</v>
      </c>
      <c r="AK298" t="str">
        <f t="shared" si="57"/>
        <v>Entry</v>
      </c>
      <c r="AL298" t="str">
        <f t="shared" si="58"/>
        <v>High</v>
      </c>
      <c r="AM298" t="str">
        <f t="shared" si="59"/>
        <v>High</v>
      </c>
      <c r="AN298" t="str">
        <f t="shared" si="60"/>
        <v>No Options</v>
      </c>
      <c r="AO298" t="str">
        <f t="shared" si="61"/>
        <v>Better</v>
      </c>
      <c r="AP298" t="str">
        <f t="shared" si="62"/>
        <v>Under 25</v>
      </c>
      <c r="AQ298" t="str">
        <f t="shared" si="63"/>
        <v>Low</v>
      </c>
      <c r="AR298" t="str">
        <f t="shared" si="64"/>
        <v>0-2 Years</v>
      </c>
    </row>
    <row r="299" spans="1:44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t="s">
        <v>46</v>
      </c>
      <c r="L299">
        <v>96</v>
      </c>
      <c r="M299">
        <v>3</v>
      </c>
      <c r="N299">
        <v>3</v>
      </c>
      <c r="O299" t="s">
        <v>40</v>
      </c>
      <c r="P299">
        <v>2</v>
      </c>
      <c r="Q299" t="s">
        <v>48</v>
      </c>
      <c r="R299">
        <v>8020</v>
      </c>
      <c r="S299">
        <v>0</v>
      </c>
      <c r="T299" t="s">
        <v>43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  <c r="AF299">
        <f t="shared" si="52"/>
        <v>0</v>
      </c>
      <c r="AG299">
        <f t="shared" si="53"/>
        <v>0</v>
      </c>
      <c r="AH299" t="str">
        <f t="shared" si="54"/>
        <v>Bachelor</v>
      </c>
      <c r="AI299" t="str">
        <f t="shared" si="55"/>
        <v>High</v>
      </c>
      <c r="AJ299" t="str">
        <f t="shared" si="56"/>
        <v>High</v>
      </c>
      <c r="AK299" t="str">
        <f t="shared" si="57"/>
        <v>Mid-Level</v>
      </c>
      <c r="AL299" t="str">
        <f t="shared" si="58"/>
        <v>Medium</v>
      </c>
      <c r="AM299" t="str">
        <f t="shared" si="59"/>
        <v>High</v>
      </c>
      <c r="AN299" t="str">
        <f t="shared" si="60"/>
        <v>Medium</v>
      </c>
      <c r="AO299" t="str">
        <f t="shared" si="61"/>
        <v>Good</v>
      </c>
      <c r="AP299" t="str">
        <f t="shared" si="62"/>
        <v>35-44</v>
      </c>
      <c r="AQ299" t="str">
        <f t="shared" si="63"/>
        <v>Upper-Mid</v>
      </c>
      <c r="AR299" t="str">
        <f t="shared" si="64"/>
        <v>11-20 Years</v>
      </c>
    </row>
    <row r="300" spans="1:44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46</v>
      </c>
      <c r="L300">
        <v>81</v>
      </c>
      <c r="M300">
        <v>4</v>
      </c>
      <c r="N300">
        <v>1</v>
      </c>
      <c r="O300" t="s">
        <v>50</v>
      </c>
      <c r="P300">
        <v>4</v>
      </c>
      <c r="Q300" t="s">
        <v>48</v>
      </c>
      <c r="R300">
        <v>3688</v>
      </c>
      <c r="S300">
        <v>4</v>
      </c>
      <c r="T300" t="s">
        <v>43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  <c r="AF300">
        <f t="shared" si="52"/>
        <v>0</v>
      </c>
      <c r="AG300">
        <f t="shared" si="53"/>
        <v>0</v>
      </c>
      <c r="AH300" t="str">
        <f t="shared" si="54"/>
        <v>Master</v>
      </c>
      <c r="AI300" t="str">
        <f t="shared" si="55"/>
        <v>High</v>
      </c>
      <c r="AJ300" t="str">
        <f t="shared" si="56"/>
        <v>Very High</v>
      </c>
      <c r="AK300" t="str">
        <f t="shared" si="57"/>
        <v>Entry</v>
      </c>
      <c r="AL300" t="str">
        <f t="shared" si="58"/>
        <v>Very High</v>
      </c>
      <c r="AM300" t="str">
        <f t="shared" si="59"/>
        <v>Very High</v>
      </c>
      <c r="AN300" t="str">
        <f t="shared" si="60"/>
        <v>Medium</v>
      </c>
      <c r="AO300" t="str">
        <f t="shared" si="61"/>
        <v>Better</v>
      </c>
      <c r="AP300" t="str">
        <f t="shared" si="62"/>
        <v>35-44</v>
      </c>
      <c r="AQ300" t="str">
        <f t="shared" si="63"/>
        <v>Lower-Mid</v>
      </c>
      <c r="AR300" t="str">
        <f t="shared" si="64"/>
        <v>0-2 Years</v>
      </c>
    </row>
    <row r="301" spans="1:44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46</v>
      </c>
      <c r="L301">
        <v>84</v>
      </c>
      <c r="M301">
        <v>1</v>
      </c>
      <c r="N301">
        <v>2</v>
      </c>
      <c r="O301" t="s">
        <v>53</v>
      </c>
      <c r="P301">
        <v>2</v>
      </c>
      <c r="Q301" t="s">
        <v>52</v>
      </c>
      <c r="R301">
        <v>5482</v>
      </c>
      <c r="S301">
        <v>5</v>
      </c>
      <c r="T301" t="s">
        <v>43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  <c r="AF301">
        <f t="shared" si="52"/>
        <v>0</v>
      </c>
      <c r="AG301">
        <f t="shared" si="53"/>
        <v>0</v>
      </c>
      <c r="AH301" t="str">
        <f t="shared" si="54"/>
        <v>Bachelor</v>
      </c>
      <c r="AI301" t="str">
        <f t="shared" si="55"/>
        <v>Very High</v>
      </c>
      <c r="AJ301" t="str">
        <f t="shared" si="56"/>
        <v>Low</v>
      </c>
      <c r="AK301" t="str">
        <f t="shared" si="57"/>
        <v>Junior</v>
      </c>
      <c r="AL301" t="str">
        <f t="shared" si="58"/>
        <v>Medium</v>
      </c>
      <c r="AM301" t="str">
        <f t="shared" si="59"/>
        <v>Very High</v>
      </c>
      <c r="AN301" t="str">
        <f t="shared" si="60"/>
        <v>Low</v>
      </c>
      <c r="AO301" t="str">
        <f t="shared" si="61"/>
        <v>Better</v>
      </c>
      <c r="AP301" t="str">
        <f t="shared" si="62"/>
        <v>45-54</v>
      </c>
      <c r="AQ301" t="str">
        <f t="shared" si="63"/>
        <v>Lower-Mid</v>
      </c>
      <c r="AR301" t="str">
        <f t="shared" si="64"/>
        <v>3-5 Years</v>
      </c>
    </row>
    <row r="302" spans="1:44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46</v>
      </c>
      <c r="L302">
        <v>88</v>
      </c>
      <c r="M302">
        <v>3</v>
      </c>
      <c r="N302">
        <v>4</v>
      </c>
      <c r="O302" t="s">
        <v>56</v>
      </c>
      <c r="P302">
        <v>2</v>
      </c>
      <c r="Q302" t="s">
        <v>41</v>
      </c>
      <c r="R302">
        <v>16015</v>
      </c>
      <c r="S302">
        <v>1</v>
      </c>
      <c r="T302" t="s">
        <v>43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  <c r="AF302">
        <f t="shared" si="52"/>
        <v>0</v>
      </c>
      <c r="AG302">
        <f t="shared" si="53"/>
        <v>0</v>
      </c>
      <c r="AH302" t="str">
        <f t="shared" si="54"/>
        <v>Master</v>
      </c>
      <c r="AI302" t="str">
        <f t="shared" si="55"/>
        <v>Very High</v>
      </c>
      <c r="AJ302" t="str">
        <f t="shared" si="56"/>
        <v>High</v>
      </c>
      <c r="AK302" t="str">
        <f t="shared" si="57"/>
        <v>Senior</v>
      </c>
      <c r="AL302" t="str">
        <f t="shared" si="58"/>
        <v>Medium</v>
      </c>
      <c r="AM302" t="str">
        <f t="shared" si="59"/>
        <v>Medium</v>
      </c>
      <c r="AN302" t="str">
        <f t="shared" si="60"/>
        <v>No Options</v>
      </c>
      <c r="AO302" t="str">
        <f t="shared" si="61"/>
        <v>Better</v>
      </c>
      <c r="AP302" t="str">
        <f t="shared" si="62"/>
        <v>35-44</v>
      </c>
      <c r="AQ302" t="str">
        <f t="shared" si="63"/>
        <v>High</v>
      </c>
      <c r="AR302" t="str">
        <f t="shared" si="64"/>
        <v>20+ Years</v>
      </c>
    </row>
    <row r="303" spans="1:44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39</v>
      </c>
      <c r="L303">
        <v>69</v>
      </c>
      <c r="M303">
        <v>2</v>
      </c>
      <c r="N303">
        <v>1</v>
      </c>
      <c r="O303" t="s">
        <v>57</v>
      </c>
      <c r="P303">
        <v>3</v>
      </c>
      <c r="Q303" t="s">
        <v>41</v>
      </c>
      <c r="R303">
        <v>1200</v>
      </c>
      <c r="S303">
        <v>1</v>
      </c>
      <c r="T303" t="s">
        <v>43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  <c r="AF303">
        <f t="shared" si="52"/>
        <v>0</v>
      </c>
      <c r="AG303">
        <f t="shared" si="53"/>
        <v>0</v>
      </c>
      <c r="AH303" t="str">
        <f t="shared" si="54"/>
        <v>Bachelor</v>
      </c>
      <c r="AI303" t="str">
        <f t="shared" si="55"/>
        <v>Very High</v>
      </c>
      <c r="AJ303" t="str">
        <f t="shared" si="56"/>
        <v>Medium</v>
      </c>
      <c r="AK303" t="str">
        <f t="shared" si="57"/>
        <v>Entry</v>
      </c>
      <c r="AL303" t="str">
        <f t="shared" si="58"/>
        <v>High</v>
      </c>
      <c r="AM303" t="str">
        <f t="shared" si="59"/>
        <v>Low</v>
      </c>
      <c r="AN303" t="str">
        <f t="shared" si="60"/>
        <v>No Options</v>
      </c>
      <c r="AO303" t="str">
        <f t="shared" si="61"/>
        <v>Better</v>
      </c>
      <c r="AP303" t="str">
        <f t="shared" si="62"/>
        <v>Under 25</v>
      </c>
      <c r="AQ303" t="str">
        <f t="shared" si="63"/>
        <v>Low</v>
      </c>
      <c r="AR303" t="str">
        <f t="shared" si="64"/>
        <v>0-2 Years</v>
      </c>
    </row>
    <row r="304" spans="1:44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46</v>
      </c>
      <c r="L304">
        <v>68</v>
      </c>
      <c r="M304">
        <v>4</v>
      </c>
      <c r="N304">
        <v>2</v>
      </c>
      <c r="O304" t="s">
        <v>54</v>
      </c>
      <c r="P304">
        <v>1</v>
      </c>
      <c r="Q304" t="s">
        <v>41</v>
      </c>
      <c r="R304">
        <v>5661</v>
      </c>
      <c r="S304">
        <v>0</v>
      </c>
      <c r="T304" t="s">
        <v>43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  <c r="AF304">
        <f t="shared" si="52"/>
        <v>0</v>
      </c>
      <c r="AG304">
        <f t="shared" si="53"/>
        <v>0</v>
      </c>
      <c r="AH304" t="str">
        <f t="shared" si="54"/>
        <v>College</v>
      </c>
      <c r="AI304" t="str">
        <f t="shared" si="55"/>
        <v>Medium</v>
      </c>
      <c r="AJ304" t="str">
        <f t="shared" si="56"/>
        <v>Very High</v>
      </c>
      <c r="AK304" t="str">
        <f t="shared" si="57"/>
        <v>Junior</v>
      </c>
      <c r="AL304" t="str">
        <f t="shared" si="58"/>
        <v>Low</v>
      </c>
      <c r="AM304" t="str">
        <f t="shared" si="59"/>
        <v>High</v>
      </c>
      <c r="AN304" t="str">
        <f t="shared" si="60"/>
        <v>No Options</v>
      </c>
      <c r="AO304" t="str">
        <f t="shared" si="61"/>
        <v>Better</v>
      </c>
      <c r="AP304" t="str">
        <f t="shared" si="62"/>
        <v>25-34</v>
      </c>
      <c r="AQ304" t="str">
        <f t="shared" si="63"/>
        <v>Lower-Mid</v>
      </c>
      <c r="AR304" t="str">
        <f t="shared" si="64"/>
        <v>6-10 Years</v>
      </c>
    </row>
    <row r="305" spans="1:44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t="s">
        <v>46</v>
      </c>
      <c r="L305">
        <v>100</v>
      </c>
      <c r="M305">
        <v>4</v>
      </c>
      <c r="N305">
        <v>2</v>
      </c>
      <c r="O305" t="s">
        <v>40</v>
      </c>
      <c r="P305">
        <v>4</v>
      </c>
      <c r="Q305" t="s">
        <v>48</v>
      </c>
      <c r="R305">
        <v>6929</v>
      </c>
      <c r="S305">
        <v>4</v>
      </c>
      <c r="T305" t="s">
        <v>43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  <c r="AF305">
        <f t="shared" si="52"/>
        <v>0</v>
      </c>
      <c r="AG305">
        <f t="shared" si="53"/>
        <v>0</v>
      </c>
      <c r="AH305" t="str">
        <f t="shared" si="54"/>
        <v>Bachelor</v>
      </c>
      <c r="AI305" t="str">
        <f t="shared" si="55"/>
        <v>Medium</v>
      </c>
      <c r="AJ305" t="str">
        <f t="shared" si="56"/>
        <v>Very High</v>
      </c>
      <c r="AK305" t="str">
        <f t="shared" si="57"/>
        <v>Junior</v>
      </c>
      <c r="AL305" t="str">
        <f t="shared" si="58"/>
        <v>Very High</v>
      </c>
      <c r="AM305" t="str">
        <f t="shared" si="59"/>
        <v>Medium</v>
      </c>
      <c r="AN305" t="str">
        <f t="shared" si="60"/>
        <v>Low</v>
      </c>
      <c r="AO305" t="str">
        <f t="shared" si="61"/>
        <v>Good</v>
      </c>
      <c r="AP305" t="str">
        <f t="shared" si="62"/>
        <v>25-34</v>
      </c>
      <c r="AQ305" t="str">
        <f t="shared" si="63"/>
        <v>Lower-Mid</v>
      </c>
      <c r="AR305" t="str">
        <f t="shared" si="64"/>
        <v>6-10 Years</v>
      </c>
    </row>
    <row r="306" spans="1:44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46</v>
      </c>
      <c r="L306">
        <v>48</v>
      </c>
      <c r="M306">
        <v>4</v>
      </c>
      <c r="N306">
        <v>3</v>
      </c>
      <c r="O306" t="s">
        <v>54</v>
      </c>
      <c r="P306">
        <v>4</v>
      </c>
      <c r="Q306" t="s">
        <v>52</v>
      </c>
      <c r="R306">
        <v>9613</v>
      </c>
      <c r="S306">
        <v>0</v>
      </c>
      <c r="T306" t="s">
        <v>43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  <c r="AF306">
        <f t="shared" si="52"/>
        <v>0</v>
      </c>
      <c r="AG306">
        <f t="shared" si="53"/>
        <v>0</v>
      </c>
      <c r="AH306" t="str">
        <f t="shared" si="54"/>
        <v>Bachelor</v>
      </c>
      <c r="AI306" t="str">
        <f t="shared" si="55"/>
        <v>High</v>
      </c>
      <c r="AJ306" t="str">
        <f t="shared" si="56"/>
        <v>Very High</v>
      </c>
      <c r="AK306" t="str">
        <f t="shared" si="57"/>
        <v>Mid-Level</v>
      </c>
      <c r="AL306" t="str">
        <f t="shared" si="58"/>
        <v>Very High</v>
      </c>
      <c r="AM306" t="str">
        <f t="shared" si="59"/>
        <v>Low</v>
      </c>
      <c r="AN306" t="str">
        <f t="shared" si="60"/>
        <v>High</v>
      </c>
      <c r="AO306" t="str">
        <f t="shared" si="61"/>
        <v>Good</v>
      </c>
      <c r="AP306" t="str">
        <f t="shared" si="62"/>
        <v>35-44</v>
      </c>
      <c r="AQ306" t="str">
        <f t="shared" si="63"/>
        <v>Upper-Mid</v>
      </c>
      <c r="AR306" t="str">
        <f t="shared" si="64"/>
        <v>11-20 Years</v>
      </c>
    </row>
    <row r="307" spans="1:44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47</v>
      </c>
      <c r="M307">
        <v>3</v>
      </c>
      <c r="N307">
        <v>2</v>
      </c>
      <c r="O307" t="s">
        <v>50</v>
      </c>
      <c r="P307">
        <v>2</v>
      </c>
      <c r="Q307" t="s">
        <v>48</v>
      </c>
      <c r="R307">
        <v>5674</v>
      </c>
      <c r="S307">
        <v>7</v>
      </c>
      <c r="T307" t="s">
        <v>43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  <c r="AF307">
        <f t="shared" si="52"/>
        <v>0</v>
      </c>
      <c r="AG307">
        <f t="shared" si="53"/>
        <v>0</v>
      </c>
      <c r="AH307" t="str">
        <f t="shared" si="54"/>
        <v>Master</v>
      </c>
      <c r="AI307" t="str">
        <f t="shared" si="55"/>
        <v>Medium</v>
      </c>
      <c r="AJ307" t="str">
        <f t="shared" si="56"/>
        <v>High</v>
      </c>
      <c r="AK307" t="str">
        <f t="shared" si="57"/>
        <v>Junior</v>
      </c>
      <c r="AL307" t="str">
        <f t="shared" si="58"/>
        <v>Medium</v>
      </c>
      <c r="AM307" t="str">
        <f t="shared" si="59"/>
        <v>High</v>
      </c>
      <c r="AN307" t="str">
        <f t="shared" si="60"/>
        <v>Low</v>
      </c>
      <c r="AO307" t="str">
        <f t="shared" si="61"/>
        <v>Better</v>
      </c>
      <c r="AP307" t="str">
        <f t="shared" si="62"/>
        <v>35-44</v>
      </c>
      <c r="AQ307" t="str">
        <f t="shared" si="63"/>
        <v>Lower-Mid</v>
      </c>
      <c r="AR307" t="str">
        <f t="shared" si="64"/>
        <v>6-10 Years</v>
      </c>
    </row>
    <row r="308" spans="1:44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46</v>
      </c>
      <c r="L308">
        <v>91</v>
      </c>
      <c r="M308">
        <v>2</v>
      </c>
      <c r="N308">
        <v>2</v>
      </c>
      <c r="O308" t="s">
        <v>40</v>
      </c>
      <c r="P308">
        <v>3</v>
      </c>
      <c r="Q308" t="s">
        <v>48</v>
      </c>
      <c r="R308">
        <v>5484</v>
      </c>
      <c r="S308">
        <v>1</v>
      </c>
      <c r="T308" t="s">
        <v>43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  <c r="AF308">
        <f t="shared" si="52"/>
        <v>0</v>
      </c>
      <c r="AG308">
        <f t="shared" si="53"/>
        <v>0</v>
      </c>
      <c r="AH308" t="str">
        <f t="shared" si="54"/>
        <v>Bachelor</v>
      </c>
      <c r="AI308" t="str">
        <f t="shared" si="55"/>
        <v>Very High</v>
      </c>
      <c r="AJ308" t="str">
        <f t="shared" si="56"/>
        <v>Medium</v>
      </c>
      <c r="AK308" t="str">
        <f t="shared" si="57"/>
        <v>Junior</v>
      </c>
      <c r="AL308" t="str">
        <f t="shared" si="58"/>
        <v>High</v>
      </c>
      <c r="AM308" t="str">
        <f t="shared" si="59"/>
        <v>High</v>
      </c>
      <c r="AN308" t="str">
        <f t="shared" si="60"/>
        <v>Low</v>
      </c>
      <c r="AO308" t="str">
        <f t="shared" si="61"/>
        <v>Good</v>
      </c>
      <c r="AP308" t="str">
        <f t="shared" si="62"/>
        <v>25-34</v>
      </c>
      <c r="AQ308" t="str">
        <f t="shared" si="63"/>
        <v>Lower-Mid</v>
      </c>
      <c r="AR308" t="str">
        <f t="shared" si="64"/>
        <v>11-20 Years</v>
      </c>
    </row>
    <row r="309" spans="1:44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81</v>
      </c>
      <c r="M309">
        <v>2</v>
      </c>
      <c r="N309">
        <v>3</v>
      </c>
      <c r="O309" t="s">
        <v>58</v>
      </c>
      <c r="P309">
        <v>2</v>
      </c>
      <c r="Q309" t="s">
        <v>48</v>
      </c>
      <c r="R309">
        <v>12061</v>
      </c>
      <c r="S309">
        <v>3</v>
      </c>
      <c r="T309" t="s">
        <v>43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  <c r="AF309">
        <f t="shared" si="52"/>
        <v>0</v>
      </c>
      <c r="AG309">
        <f t="shared" si="53"/>
        <v>0</v>
      </c>
      <c r="AH309" t="str">
        <f t="shared" si="54"/>
        <v>College</v>
      </c>
      <c r="AI309" t="str">
        <f t="shared" si="55"/>
        <v>Low</v>
      </c>
      <c r="AJ309" t="str">
        <f t="shared" si="56"/>
        <v>Medium</v>
      </c>
      <c r="AK309" t="str">
        <f t="shared" si="57"/>
        <v>Mid-Level</v>
      </c>
      <c r="AL309" t="str">
        <f t="shared" si="58"/>
        <v>Medium</v>
      </c>
      <c r="AM309" t="str">
        <f t="shared" si="59"/>
        <v>High</v>
      </c>
      <c r="AN309" t="str">
        <f t="shared" si="60"/>
        <v>Low</v>
      </c>
      <c r="AO309" t="str">
        <f t="shared" si="61"/>
        <v>Better</v>
      </c>
      <c r="AP309" t="str">
        <f t="shared" si="62"/>
        <v>35-44</v>
      </c>
      <c r="AQ309" t="str">
        <f t="shared" si="63"/>
        <v>Upper-Mid</v>
      </c>
      <c r="AR309" t="str">
        <f t="shared" si="64"/>
        <v>6-10 Years</v>
      </c>
    </row>
    <row r="310" spans="1:44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46</v>
      </c>
      <c r="L310">
        <v>32</v>
      </c>
      <c r="M310">
        <v>1</v>
      </c>
      <c r="N310">
        <v>2</v>
      </c>
      <c r="O310" t="s">
        <v>54</v>
      </c>
      <c r="P310">
        <v>3</v>
      </c>
      <c r="Q310" t="s">
        <v>52</v>
      </c>
      <c r="R310">
        <v>5660</v>
      </c>
      <c r="S310">
        <v>2</v>
      </c>
      <c r="T310" t="s">
        <v>35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  <c r="AF310">
        <f t="shared" si="52"/>
        <v>0</v>
      </c>
      <c r="AG310">
        <f t="shared" si="53"/>
        <v>1</v>
      </c>
      <c r="AH310" t="str">
        <f t="shared" si="54"/>
        <v>Master</v>
      </c>
      <c r="AI310" t="str">
        <f t="shared" si="55"/>
        <v>Very High</v>
      </c>
      <c r="AJ310" t="str">
        <f t="shared" si="56"/>
        <v>Low</v>
      </c>
      <c r="AK310" t="str">
        <f t="shared" si="57"/>
        <v>Junior</v>
      </c>
      <c r="AL310" t="str">
        <f t="shared" si="58"/>
        <v>High</v>
      </c>
      <c r="AM310" t="str">
        <f t="shared" si="59"/>
        <v>Very High</v>
      </c>
      <c r="AN310" t="str">
        <f t="shared" si="60"/>
        <v>Low</v>
      </c>
      <c r="AO310" t="str">
        <f t="shared" si="61"/>
        <v>Better</v>
      </c>
      <c r="AP310" t="str">
        <f t="shared" si="62"/>
        <v>55+</v>
      </c>
      <c r="AQ310" t="str">
        <f t="shared" si="63"/>
        <v>Lower-Mid</v>
      </c>
      <c r="AR310" t="str">
        <f t="shared" si="64"/>
        <v>3-5 Years</v>
      </c>
    </row>
    <row r="311" spans="1:44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t="s">
        <v>46</v>
      </c>
      <c r="L311">
        <v>86</v>
      </c>
      <c r="M311">
        <v>3</v>
      </c>
      <c r="N311">
        <v>1</v>
      </c>
      <c r="O311" t="s">
        <v>47</v>
      </c>
      <c r="P311">
        <v>4</v>
      </c>
      <c r="Q311" t="s">
        <v>48</v>
      </c>
      <c r="R311">
        <v>4821</v>
      </c>
      <c r="S311">
        <v>0</v>
      </c>
      <c r="T311" t="s">
        <v>35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  <c r="AF311">
        <f t="shared" si="52"/>
        <v>0</v>
      </c>
      <c r="AG311">
        <f t="shared" si="53"/>
        <v>1</v>
      </c>
      <c r="AH311" t="str">
        <f t="shared" si="54"/>
        <v>Master</v>
      </c>
      <c r="AI311" t="str">
        <f t="shared" si="55"/>
        <v>High</v>
      </c>
      <c r="AJ311" t="str">
        <f t="shared" si="56"/>
        <v>High</v>
      </c>
      <c r="AK311" t="str">
        <f t="shared" si="57"/>
        <v>Entry</v>
      </c>
      <c r="AL311" t="str">
        <f t="shared" si="58"/>
        <v>Very High</v>
      </c>
      <c r="AM311" t="str">
        <f t="shared" si="59"/>
        <v>High</v>
      </c>
      <c r="AN311" t="str">
        <f t="shared" si="60"/>
        <v>Low</v>
      </c>
      <c r="AO311" t="str">
        <f t="shared" si="61"/>
        <v>Better</v>
      </c>
      <c r="AP311" t="str">
        <f t="shared" si="62"/>
        <v>25-34</v>
      </c>
      <c r="AQ311" t="str">
        <f t="shared" si="63"/>
        <v>Lower-Mid</v>
      </c>
      <c r="AR311" t="str">
        <f t="shared" si="64"/>
        <v>3-5 Years</v>
      </c>
    </row>
    <row r="312" spans="1:44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t="s">
        <v>46</v>
      </c>
      <c r="L312">
        <v>62</v>
      </c>
      <c r="M312">
        <v>2</v>
      </c>
      <c r="N312">
        <v>2</v>
      </c>
      <c r="O312" t="s">
        <v>61</v>
      </c>
      <c r="P312">
        <v>1</v>
      </c>
      <c r="Q312" t="s">
        <v>48</v>
      </c>
      <c r="R312">
        <v>6410</v>
      </c>
      <c r="S312">
        <v>3</v>
      </c>
      <c r="T312" t="s">
        <v>43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  <c r="AF312">
        <f t="shared" si="52"/>
        <v>0</v>
      </c>
      <c r="AG312">
        <f t="shared" si="53"/>
        <v>0</v>
      </c>
      <c r="AH312" t="str">
        <f t="shared" si="54"/>
        <v>Bachelor</v>
      </c>
      <c r="AI312" t="str">
        <f t="shared" si="55"/>
        <v>Low</v>
      </c>
      <c r="AJ312" t="str">
        <f t="shared" si="56"/>
        <v>Medium</v>
      </c>
      <c r="AK312" t="str">
        <f t="shared" si="57"/>
        <v>Junior</v>
      </c>
      <c r="AL312" t="str">
        <f t="shared" si="58"/>
        <v>Low</v>
      </c>
      <c r="AM312" t="str">
        <f t="shared" si="59"/>
        <v>Very High</v>
      </c>
      <c r="AN312" t="str">
        <f t="shared" si="60"/>
        <v>No Options</v>
      </c>
      <c r="AO312" t="str">
        <f t="shared" si="61"/>
        <v>Better</v>
      </c>
      <c r="AP312" t="str">
        <f t="shared" si="62"/>
        <v>25-34</v>
      </c>
      <c r="AQ312" t="str">
        <f t="shared" si="63"/>
        <v>Lower-Mid</v>
      </c>
      <c r="AR312" t="str">
        <f t="shared" si="64"/>
        <v>0-2 Years</v>
      </c>
    </row>
    <row r="313" spans="1:44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46</v>
      </c>
      <c r="L313">
        <v>97</v>
      </c>
      <c r="M313">
        <v>3</v>
      </c>
      <c r="N313">
        <v>3</v>
      </c>
      <c r="O313" t="s">
        <v>50</v>
      </c>
      <c r="P313">
        <v>1</v>
      </c>
      <c r="Q313" t="s">
        <v>52</v>
      </c>
      <c r="R313">
        <v>5210</v>
      </c>
      <c r="S313">
        <v>1</v>
      </c>
      <c r="T313" t="s">
        <v>43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  <c r="AF313">
        <f t="shared" si="52"/>
        <v>0</v>
      </c>
      <c r="AG313">
        <f t="shared" si="53"/>
        <v>0</v>
      </c>
      <c r="AH313" t="str">
        <f t="shared" si="54"/>
        <v>Bachelor</v>
      </c>
      <c r="AI313" t="str">
        <f t="shared" si="55"/>
        <v>Low</v>
      </c>
      <c r="AJ313" t="str">
        <f t="shared" si="56"/>
        <v>High</v>
      </c>
      <c r="AK313" t="str">
        <f t="shared" si="57"/>
        <v>Mid-Level</v>
      </c>
      <c r="AL313" t="str">
        <f t="shared" si="58"/>
        <v>Low</v>
      </c>
      <c r="AM313" t="str">
        <f t="shared" si="59"/>
        <v>Low</v>
      </c>
      <c r="AN313" t="str">
        <f t="shared" si="60"/>
        <v>Low</v>
      </c>
      <c r="AO313" t="str">
        <f t="shared" si="61"/>
        <v>Better</v>
      </c>
      <c r="AP313" t="str">
        <f t="shared" si="62"/>
        <v>45-54</v>
      </c>
      <c r="AQ313" t="str">
        <f t="shared" si="63"/>
        <v>Lower-Mid</v>
      </c>
      <c r="AR313" t="str">
        <f t="shared" si="64"/>
        <v>20+ Years</v>
      </c>
    </row>
    <row r="314" spans="1:44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46</v>
      </c>
      <c r="L314">
        <v>32</v>
      </c>
      <c r="M314">
        <v>3</v>
      </c>
      <c r="N314">
        <v>1</v>
      </c>
      <c r="O314" t="s">
        <v>47</v>
      </c>
      <c r="P314">
        <v>4</v>
      </c>
      <c r="Q314" t="s">
        <v>52</v>
      </c>
      <c r="R314">
        <v>2695</v>
      </c>
      <c r="S314">
        <v>0</v>
      </c>
      <c r="T314" t="s">
        <v>35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  <c r="AF314">
        <f t="shared" si="52"/>
        <v>0</v>
      </c>
      <c r="AG314">
        <f t="shared" si="53"/>
        <v>1</v>
      </c>
      <c r="AH314" t="str">
        <f t="shared" si="54"/>
        <v>Master</v>
      </c>
      <c r="AI314" t="str">
        <f t="shared" si="55"/>
        <v>High</v>
      </c>
      <c r="AJ314" t="str">
        <f t="shared" si="56"/>
        <v>High</v>
      </c>
      <c r="AK314" t="str">
        <f t="shared" si="57"/>
        <v>Entry</v>
      </c>
      <c r="AL314" t="str">
        <f t="shared" si="58"/>
        <v>Very High</v>
      </c>
      <c r="AM314" t="str">
        <f t="shared" si="59"/>
        <v>Medium</v>
      </c>
      <c r="AN314" t="str">
        <f t="shared" si="60"/>
        <v>Low</v>
      </c>
      <c r="AO314" t="str">
        <f t="shared" si="61"/>
        <v>Bad</v>
      </c>
      <c r="AP314" t="str">
        <f t="shared" si="62"/>
        <v>25-34</v>
      </c>
      <c r="AQ314" t="str">
        <f t="shared" si="63"/>
        <v>Low</v>
      </c>
      <c r="AR314" t="str">
        <f t="shared" si="64"/>
        <v>0-2 Years</v>
      </c>
    </row>
    <row r="315" spans="1:44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74</v>
      </c>
      <c r="M315">
        <v>3</v>
      </c>
      <c r="N315">
        <v>3</v>
      </c>
      <c r="O315" t="s">
        <v>56</v>
      </c>
      <c r="P315">
        <v>2</v>
      </c>
      <c r="Q315" t="s">
        <v>48</v>
      </c>
      <c r="R315">
        <v>11878</v>
      </c>
      <c r="S315">
        <v>6</v>
      </c>
      <c r="T315" t="s">
        <v>43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  <c r="AF315">
        <f t="shared" si="52"/>
        <v>0</v>
      </c>
      <c r="AG315">
        <f t="shared" si="53"/>
        <v>0</v>
      </c>
      <c r="AH315" t="str">
        <f t="shared" si="54"/>
        <v>Master</v>
      </c>
      <c r="AI315" t="str">
        <f t="shared" si="55"/>
        <v>Very High</v>
      </c>
      <c r="AJ315" t="str">
        <f t="shared" si="56"/>
        <v>High</v>
      </c>
      <c r="AK315" t="str">
        <f t="shared" si="57"/>
        <v>Mid-Level</v>
      </c>
      <c r="AL315" t="str">
        <f t="shared" si="58"/>
        <v>Medium</v>
      </c>
      <c r="AM315" t="str">
        <f t="shared" si="59"/>
        <v>Medium</v>
      </c>
      <c r="AN315" t="str">
        <f t="shared" si="60"/>
        <v>Medium</v>
      </c>
      <c r="AO315" t="str">
        <f t="shared" si="61"/>
        <v>Better</v>
      </c>
      <c r="AP315" t="str">
        <f t="shared" si="62"/>
        <v>25-34</v>
      </c>
      <c r="AQ315" t="str">
        <f t="shared" si="63"/>
        <v>Upper-Mid</v>
      </c>
      <c r="AR315" t="str">
        <f t="shared" si="64"/>
        <v>6-10 Years</v>
      </c>
    </row>
    <row r="316" spans="1:44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46</v>
      </c>
      <c r="L316">
        <v>99</v>
      </c>
      <c r="M316">
        <v>3</v>
      </c>
      <c r="N316">
        <v>4</v>
      </c>
      <c r="O316" t="s">
        <v>56</v>
      </c>
      <c r="P316">
        <v>1</v>
      </c>
      <c r="Q316" t="s">
        <v>48</v>
      </c>
      <c r="R316">
        <v>17068</v>
      </c>
      <c r="S316">
        <v>1</v>
      </c>
      <c r="T316" t="s">
        <v>35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  <c r="AF316">
        <f t="shared" si="52"/>
        <v>0</v>
      </c>
      <c r="AG316">
        <f t="shared" si="53"/>
        <v>1</v>
      </c>
      <c r="AH316" t="str">
        <f t="shared" si="54"/>
        <v>Below College</v>
      </c>
      <c r="AI316" t="str">
        <f t="shared" si="55"/>
        <v>High</v>
      </c>
      <c r="AJ316" t="str">
        <f t="shared" si="56"/>
        <v>High</v>
      </c>
      <c r="AK316" t="str">
        <f t="shared" si="57"/>
        <v>Senior</v>
      </c>
      <c r="AL316" t="str">
        <f t="shared" si="58"/>
        <v>Low</v>
      </c>
      <c r="AM316" t="str">
        <f t="shared" si="59"/>
        <v>Very High</v>
      </c>
      <c r="AN316" t="str">
        <f t="shared" si="60"/>
        <v>No Options</v>
      </c>
      <c r="AO316" t="str">
        <f t="shared" si="61"/>
        <v>Better</v>
      </c>
      <c r="AP316" t="str">
        <f t="shared" si="62"/>
        <v>35-44</v>
      </c>
      <c r="AQ316" t="str">
        <f t="shared" si="63"/>
        <v>High</v>
      </c>
      <c r="AR316" t="str">
        <f t="shared" si="64"/>
        <v>20+ Years</v>
      </c>
    </row>
    <row r="317" spans="1:44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33</v>
      </c>
      <c r="M317">
        <v>3</v>
      </c>
      <c r="N317">
        <v>1</v>
      </c>
      <c r="O317" t="s">
        <v>50</v>
      </c>
      <c r="P317">
        <v>4</v>
      </c>
      <c r="Q317" t="s">
        <v>41</v>
      </c>
      <c r="R317">
        <v>2455</v>
      </c>
      <c r="S317">
        <v>0</v>
      </c>
      <c r="T317" t="s">
        <v>43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  <c r="AF317">
        <f t="shared" si="52"/>
        <v>0</v>
      </c>
      <c r="AG317">
        <f t="shared" si="53"/>
        <v>0</v>
      </c>
      <c r="AH317" t="str">
        <f t="shared" si="54"/>
        <v>Master</v>
      </c>
      <c r="AI317" t="str">
        <f t="shared" si="55"/>
        <v>High</v>
      </c>
      <c r="AJ317" t="str">
        <f t="shared" si="56"/>
        <v>High</v>
      </c>
      <c r="AK317" t="str">
        <f t="shared" si="57"/>
        <v>Entry</v>
      </c>
      <c r="AL317" t="str">
        <f t="shared" si="58"/>
        <v>Very High</v>
      </c>
      <c r="AM317" t="str">
        <f t="shared" si="59"/>
        <v>Low</v>
      </c>
      <c r="AN317" t="str">
        <f t="shared" si="60"/>
        <v>No Options</v>
      </c>
      <c r="AO317" t="str">
        <f t="shared" si="61"/>
        <v>Better</v>
      </c>
      <c r="AP317" t="str">
        <f t="shared" si="62"/>
        <v>35-44</v>
      </c>
      <c r="AQ317" t="str">
        <f t="shared" si="63"/>
        <v>Low</v>
      </c>
      <c r="AR317" t="str">
        <f t="shared" si="64"/>
        <v>6-10 Years</v>
      </c>
    </row>
    <row r="318" spans="1:44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t="s">
        <v>39</v>
      </c>
      <c r="L318">
        <v>90</v>
      </c>
      <c r="M318">
        <v>2</v>
      </c>
      <c r="N318">
        <v>4</v>
      </c>
      <c r="O318" t="s">
        <v>54</v>
      </c>
      <c r="P318">
        <v>3</v>
      </c>
      <c r="Q318" t="s">
        <v>41</v>
      </c>
      <c r="R318">
        <v>13964</v>
      </c>
      <c r="S318">
        <v>7</v>
      </c>
      <c r="T318" t="s">
        <v>35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  <c r="AF318">
        <f t="shared" si="52"/>
        <v>0</v>
      </c>
      <c r="AG318">
        <f t="shared" si="53"/>
        <v>1</v>
      </c>
      <c r="AH318" t="str">
        <f t="shared" si="54"/>
        <v>College</v>
      </c>
      <c r="AI318" t="str">
        <f t="shared" si="55"/>
        <v>High</v>
      </c>
      <c r="AJ318" t="str">
        <f t="shared" si="56"/>
        <v>Medium</v>
      </c>
      <c r="AK318" t="str">
        <f t="shared" si="57"/>
        <v>Senior</v>
      </c>
      <c r="AL318" t="str">
        <f t="shared" si="58"/>
        <v>High</v>
      </c>
      <c r="AM318" t="str">
        <f t="shared" si="59"/>
        <v>Very High</v>
      </c>
      <c r="AN318" t="str">
        <f t="shared" si="60"/>
        <v>No Options</v>
      </c>
      <c r="AO318" t="str">
        <f t="shared" si="61"/>
        <v>Better</v>
      </c>
      <c r="AP318" t="str">
        <f t="shared" si="62"/>
        <v>45-54</v>
      </c>
      <c r="AQ318" t="str">
        <f t="shared" si="63"/>
        <v>High</v>
      </c>
      <c r="AR318" t="str">
        <f t="shared" si="64"/>
        <v>6-10 Years</v>
      </c>
    </row>
    <row r="319" spans="1:44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46</v>
      </c>
      <c r="L319">
        <v>85</v>
      </c>
      <c r="M319">
        <v>2</v>
      </c>
      <c r="N319">
        <v>2</v>
      </c>
      <c r="O319" t="s">
        <v>47</v>
      </c>
      <c r="P319">
        <v>2</v>
      </c>
      <c r="Q319" t="s">
        <v>48</v>
      </c>
      <c r="R319">
        <v>4941</v>
      </c>
      <c r="S319">
        <v>2</v>
      </c>
      <c r="T319" t="s">
        <v>43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  <c r="AF319">
        <f t="shared" si="52"/>
        <v>1</v>
      </c>
      <c r="AG319">
        <f t="shared" si="53"/>
        <v>0</v>
      </c>
      <c r="AH319" t="str">
        <f t="shared" si="54"/>
        <v>Master</v>
      </c>
      <c r="AI319" t="str">
        <f t="shared" si="55"/>
        <v>High</v>
      </c>
      <c r="AJ319" t="str">
        <f t="shared" si="56"/>
        <v>Medium</v>
      </c>
      <c r="AK319" t="str">
        <f t="shared" si="57"/>
        <v>Junior</v>
      </c>
      <c r="AL319" t="str">
        <f t="shared" si="58"/>
        <v>Medium</v>
      </c>
      <c r="AM319" t="str">
        <f t="shared" si="59"/>
        <v>Low</v>
      </c>
      <c r="AN319" t="str">
        <f t="shared" si="60"/>
        <v>No Options</v>
      </c>
      <c r="AO319" t="str">
        <f t="shared" si="61"/>
        <v>Good</v>
      </c>
      <c r="AP319" t="str">
        <f t="shared" si="62"/>
        <v>45-54</v>
      </c>
      <c r="AQ319" t="str">
        <f t="shared" si="63"/>
        <v>Lower-Mid</v>
      </c>
      <c r="AR319" t="str">
        <f t="shared" si="64"/>
        <v>6-10 Years</v>
      </c>
    </row>
    <row r="320" spans="1:44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85</v>
      </c>
      <c r="M320">
        <v>3</v>
      </c>
      <c r="N320">
        <v>1</v>
      </c>
      <c r="O320" t="s">
        <v>47</v>
      </c>
      <c r="P320">
        <v>2</v>
      </c>
      <c r="Q320" t="s">
        <v>41</v>
      </c>
      <c r="R320">
        <v>2478</v>
      </c>
      <c r="S320">
        <v>1</v>
      </c>
      <c r="T320" t="s">
        <v>35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  <c r="AF320">
        <f t="shared" si="52"/>
        <v>0</v>
      </c>
      <c r="AG320">
        <f t="shared" si="53"/>
        <v>1</v>
      </c>
      <c r="AH320" t="str">
        <f t="shared" si="54"/>
        <v>Bachelor</v>
      </c>
      <c r="AI320" t="str">
        <f t="shared" si="55"/>
        <v>High</v>
      </c>
      <c r="AJ320" t="str">
        <f t="shared" si="56"/>
        <v>High</v>
      </c>
      <c r="AK320" t="str">
        <f t="shared" si="57"/>
        <v>Entry</v>
      </c>
      <c r="AL320" t="str">
        <f t="shared" si="58"/>
        <v>Medium</v>
      </c>
      <c r="AM320" t="str">
        <f t="shared" si="59"/>
        <v>Medium</v>
      </c>
      <c r="AN320" t="str">
        <f t="shared" si="60"/>
        <v>No Options</v>
      </c>
      <c r="AO320" t="str">
        <f t="shared" si="61"/>
        <v>Good</v>
      </c>
      <c r="AP320" t="str">
        <f t="shared" si="62"/>
        <v>25-34</v>
      </c>
      <c r="AQ320" t="str">
        <f t="shared" si="63"/>
        <v>Low</v>
      </c>
      <c r="AR320" t="str">
        <f t="shared" si="64"/>
        <v>3-5 Years</v>
      </c>
    </row>
    <row r="321" spans="1:44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t="s">
        <v>39</v>
      </c>
      <c r="L321">
        <v>65</v>
      </c>
      <c r="M321">
        <v>2</v>
      </c>
      <c r="N321">
        <v>2</v>
      </c>
      <c r="O321" t="s">
        <v>40</v>
      </c>
      <c r="P321">
        <v>2</v>
      </c>
      <c r="Q321" t="s">
        <v>48</v>
      </c>
      <c r="R321">
        <v>5228</v>
      </c>
      <c r="S321">
        <v>1</v>
      </c>
      <c r="T321" t="s">
        <v>35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  <c r="AF321">
        <f t="shared" si="52"/>
        <v>0</v>
      </c>
      <c r="AG321">
        <f t="shared" si="53"/>
        <v>1</v>
      </c>
      <c r="AH321" t="str">
        <f t="shared" si="54"/>
        <v>College</v>
      </c>
      <c r="AI321" t="str">
        <f t="shared" si="55"/>
        <v>High</v>
      </c>
      <c r="AJ321" t="str">
        <f t="shared" si="56"/>
        <v>Medium</v>
      </c>
      <c r="AK321" t="str">
        <f t="shared" si="57"/>
        <v>Junior</v>
      </c>
      <c r="AL321" t="str">
        <f t="shared" si="58"/>
        <v>Medium</v>
      </c>
      <c r="AM321" t="str">
        <f t="shared" si="59"/>
        <v>Very High</v>
      </c>
      <c r="AN321" t="str">
        <f t="shared" si="60"/>
        <v>No Options</v>
      </c>
      <c r="AO321" t="str">
        <f t="shared" si="61"/>
        <v>Better</v>
      </c>
      <c r="AP321" t="str">
        <f t="shared" si="62"/>
        <v>25-34</v>
      </c>
      <c r="AQ321" t="str">
        <f t="shared" si="63"/>
        <v>Lower-Mid</v>
      </c>
      <c r="AR321" t="str">
        <f t="shared" si="64"/>
        <v>11-20 Years</v>
      </c>
    </row>
    <row r="322" spans="1:44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46</v>
      </c>
      <c r="L322">
        <v>74</v>
      </c>
      <c r="M322">
        <v>3</v>
      </c>
      <c r="N322">
        <v>2</v>
      </c>
      <c r="O322" t="s">
        <v>40</v>
      </c>
      <c r="P322">
        <v>3</v>
      </c>
      <c r="Q322" t="s">
        <v>41</v>
      </c>
      <c r="R322">
        <v>4478</v>
      </c>
      <c r="S322">
        <v>1</v>
      </c>
      <c r="T322" t="s">
        <v>35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  <c r="AF322">
        <f t="shared" si="52"/>
        <v>0</v>
      </c>
      <c r="AG322">
        <f t="shared" si="53"/>
        <v>1</v>
      </c>
      <c r="AH322" t="str">
        <f t="shared" si="54"/>
        <v>Bachelor</v>
      </c>
      <c r="AI322" t="str">
        <f t="shared" si="55"/>
        <v>Very High</v>
      </c>
      <c r="AJ322" t="str">
        <f t="shared" si="56"/>
        <v>High</v>
      </c>
      <c r="AK322" t="str">
        <f t="shared" si="57"/>
        <v>Junior</v>
      </c>
      <c r="AL322" t="str">
        <f t="shared" si="58"/>
        <v>High</v>
      </c>
      <c r="AM322" t="str">
        <f t="shared" si="59"/>
        <v>Low</v>
      </c>
      <c r="AN322" t="str">
        <f t="shared" si="60"/>
        <v>No Options</v>
      </c>
      <c r="AO322" t="str">
        <f t="shared" si="61"/>
        <v>Better</v>
      </c>
      <c r="AP322" t="str">
        <f t="shared" si="62"/>
        <v>25-34</v>
      </c>
      <c r="AQ322" t="str">
        <f t="shared" si="63"/>
        <v>Lower-Mid</v>
      </c>
      <c r="AR322" t="str">
        <f t="shared" si="64"/>
        <v>3-5 Years</v>
      </c>
    </row>
    <row r="323" spans="1:44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t="s">
        <v>46</v>
      </c>
      <c r="L323">
        <v>73</v>
      </c>
      <c r="M323">
        <v>3</v>
      </c>
      <c r="N323">
        <v>2</v>
      </c>
      <c r="O323" t="s">
        <v>40</v>
      </c>
      <c r="P323">
        <v>4</v>
      </c>
      <c r="Q323" t="s">
        <v>52</v>
      </c>
      <c r="R323">
        <v>7547</v>
      </c>
      <c r="S323">
        <v>4</v>
      </c>
      <c r="T323" t="s">
        <v>43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  <c r="AF323">
        <f t="shared" ref="AF323:AF386" si="65">IF(B323="Yes",1,0)</f>
        <v>0</v>
      </c>
      <c r="AG323">
        <f t="shared" ref="AG323:AG386" si="66">IF(T323="Yes",1,0)</f>
        <v>0</v>
      </c>
      <c r="AH323" t="str">
        <f t="shared" ref="AH323:AH386" si="67">CHOOSE(G323,"Below College","College","Bachelor","Master","Doctor")</f>
        <v>Bachelor</v>
      </c>
      <c r="AI323" t="str">
        <f t="shared" ref="AI323:AI386" si="68">CHOOSE(J323,"Low","Medium","High","Very High")</f>
        <v>Very High</v>
      </c>
      <c r="AJ323" t="str">
        <f t="shared" ref="AJ323:AJ386" si="69">CHOOSE(M323,"Low","Medium","High","Very High")</f>
        <v>High</v>
      </c>
      <c r="AK323" t="str">
        <f t="shared" ref="AK323:AK386" si="70">CHOOSE(N323,"Entry","Junior","Mid-Level","Senior","Executive")</f>
        <v>Junior</v>
      </c>
      <c r="AL323" t="str">
        <f t="shared" ref="AL323:AL386" si="71">CHOOSE(P323,"Low","Medium","High","Very High")</f>
        <v>Very High</v>
      </c>
      <c r="AM323" t="str">
        <f t="shared" ref="AM323:AM386" si="72">CHOOSE(W323,"Low","Medium","High","Very High")</f>
        <v>Very High</v>
      </c>
      <c r="AN323" t="str">
        <f t="shared" ref="AN323:AN386" si="73">CHOOSE(X323+1,"No Options","Low","Medium","High")</f>
        <v>High</v>
      </c>
      <c r="AO323" t="str">
        <f t="shared" ref="AO323:AO386" si="74">CHOOSE(AA323,"Bad","Good","Better","Best")</f>
        <v>Better</v>
      </c>
      <c r="AP323" t="str">
        <f t="shared" ref="AP323:AP386" si="75">IF(A323&lt;=24,"Under 25",IF(A323&lt;=34,"25-34",IF(A323&lt;=44,"35-44",IF(A323&lt;=54,"45-54","55+"))))</f>
        <v>25-34</v>
      </c>
      <c r="AQ323" t="str">
        <f t="shared" ref="AQ323:AQ386" si="76">IF(R323&lt;3000,"Low",IF(R323&lt;7000,"Lower-Mid",IF(R323&lt;13000,"Upper-Mid","High")))</f>
        <v>Upper-Mid</v>
      </c>
      <c r="AR323" t="str">
        <f t="shared" ref="AR323:AR386" si="77">IF(AB323&lt;=2,"0-2 Years",IF(AB323&lt;=5,"3-5 Years",IF(AB323&lt;=10,"6-10 Years",IF(AB323&lt;=20,"11-20 Years","20+ Years"))))</f>
        <v>6-10 Years</v>
      </c>
    </row>
    <row r="324" spans="1:44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39</v>
      </c>
      <c r="L324">
        <v>74</v>
      </c>
      <c r="M324">
        <v>4</v>
      </c>
      <c r="N324">
        <v>2</v>
      </c>
      <c r="O324" t="s">
        <v>47</v>
      </c>
      <c r="P324">
        <v>4</v>
      </c>
      <c r="Q324" t="s">
        <v>41</v>
      </c>
      <c r="R324">
        <v>5055</v>
      </c>
      <c r="S324">
        <v>7</v>
      </c>
      <c r="T324" t="s">
        <v>43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  <c r="AF324">
        <f t="shared" si="65"/>
        <v>0</v>
      </c>
      <c r="AG324">
        <f t="shared" si="66"/>
        <v>0</v>
      </c>
      <c r="AH324" t="str">
        <f t="shared" si="67"/>
        <v>Master</v>
      </c>
      <c r="AI324" t="str">
        <f t="shared" si="68"/>
        <v>Low</v>
      </c>
      <c r="AJ324" t="str">
        <f t="shared" si="69"/>
        <v>Very High</v>
      </c>
      <c r="AK324" t="str">
        <f t="shared" si="70"/>
        <v>Junior</v>
      </c>
      <c r="AL324" t="str">
        <f t="shared" si="71"/>
        <v>Very High</v>
      </c>
      <c r="AM324" t="str">
        <f t="shared" si="72"/>
        <v>High</v>
      </c>
      <c r="AN324" t="str">
        <f t="shared" si="73"/>
        <v>No Options</v>
      </c>
      <c r="AO324" t="str">
        <f t="shared" si="74"/>
        <v>Good</v>
      </c>
      <c r="AP324" t="str">
        <f t="shared" si="75"/>
        <v>25-34</v>
      </c>
      <c r="AQ324" t="str">
        <f t="shared" si="76"/>
        <v>Lower-Mid</v>
      </c>
      <c r="AR324" t="str">
        <f t="shared" si="77"/>
        <v>6-10 Years</v>
      </c>
    </row>
    <row r="325" spans="1:44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46</v>
      </c>
      <c r="L325">
        <v>84</v>
      </c>
      <c r="M325">
        <v>1</v>
      </c>
      <c r="N325">
        <v>1</v>
      </c>
      <c r="O325" t="s">
        <v>47</v>
      </c>
      <c r="P325">
        <v>4</v>
      </c>
      <c r="Q325" t="s">
        <v>48</v>
      </c>
      <c r="R325">
        <v>3464</v>
      </c>
      <c r="S325">
        <v>5</v>
      </c>
      <c r="T325" t="s">
        <v>35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  <c r="AF325">
        <f t="shared" si="65"/>
        <v>1</v>
      </c>
      <c r="AG325">
        <f t="shared" si="66"/>
        <v>1</v>
      </c>
      <c r="AH325" t="str">
        <f t="shared" si="67"/>
        <v>Master</v>
      </c>
      <c r="AI325" t="str">
        <f t="shared" si="68"/>
        <v>Low</v>
      </c>
      <c r="AJ325" t="str">
        <f t="shared" si="69"/>
        <v>Low</v>
      </c>
      <c r="AK325" t="str">
        <f t="shared" si="70"/>
        <v>Entry</v>
      </c>
      <c r="AL325" t="str">
        <f t="shared" si="71"/>
        <v>Very High</v>
      </c>
      <c r="AM325" t="str">
        <f t="shared" si="72"/>
        <v>Very High</v>
      </c>
      <c r="AN325" t="str">
        <f t="shared" si="73"/>
        <v>No Options</v>
      </c>
      <c r="AO325" t="str">
        <f t="shared" si="74"/>
        <v>Good</v>
      </c>
      <c r="AP325" t="str">
        <f t="shared" si="75"/>
        <v>25-34</v>
      </c>
      <c r="AQ325" t="str">
        <f t="shared" si="76"/>
        <v>Lower-Mid</v>
      </c>
      <c r="AR325" t="str">
        <f t="shared" si="77"/>
        <v>3-5 Years</v>
      </c>
    </row>
    <row r="326" spans="1:44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39</v>
      </c>
      <c r="L326">
        <v>64</v>
      </c>
      <c r="M326">
        <v>3</v>
      </c>
      <c r="N326">
        <v>2</v>
      </c>
      <c r="O326" t="s">
        <v>47</v>
      </c>
      <c r="P326">
        <v>4</v>
      </c>
      <c r="Q326" t="s">
        <v>48</v>
      </c>
      <c r="R326">
        <v>5775</v>
      </c>
      <c r="S326">
        <v>1</v>
      </c>
      <c r="T326" t="s">
        <v>43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  <c r="AF326">
        <f t="shared" si="65"/>
        <v>0</v>
      </c>
      <c r="AG326">
        <f t="shared" si="66"/>
        <v>0</v>
      </c>
      <c r="AH326" t="str">
        <f t="shared" si="67"/>
        <v>College</v>
      </c>
      <c r="AI326" t="str">
        <f t="shared" si="68"/>
        <v>Very High</v>
      </c>
      <c r="AJ326" t="str">
        <f t="shared" si="69"/>
        <v>High</v>
      </c>
      <c r="AK326" t="str">
        <f t="shared" si="70"/>
        <v>Junior</v>
      </c>
      <c r="AL326" t="str">
        <f t="shared" si="71"/>
        <v>Very High</v>
      </c>
      <c r="AM326" t="str">
        <f t="shared" si="72"/>
        <v>Very High</v>
      </c>
      <c r="AN326" t="str">
        <f t="shared" si="73"/>
        <v>Medium</v>
      </c>
      <c r="AO326" t="str">
        <f t="shared" si="74"/>
        <v>Better</v>
      </c>
      <c r="AP326" t="str">
        <f t="shared" si="75"/>
        <v>25-34</v>
      </c>
      <c r="AQ326" t="str">
        <f t="shared" si="76"/>
        <v>Lower-Mid</v>
      </c>
      <c r="AR326" t="str">
        <f t="shared" si="77"/>
        <v>6-10 Years</v>
      </c>
    </row>
    <row r="327" spans="1:44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48</v>
      </c>
      <c r="M327">
        <v>2</v>
      </c>
      <c r="N327">
        <v>3</v>
      </c>
      <c r="O327" t="s">
        <v>53</v>
      </c>
      <c r="P327">
        <v>3</v>
      </c>
      <c r="Q327" t="s">
        <v>48</v>
      </c>
      <c r="R327">
        <v>8943</v>
      </c>
      <c r="S327">
        <v>1</v>
      </c>
      <c r="T327" t="s">
        <v>43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  <c r="AF327">
        <f t="shared" si="65"/>
        <v>0</v>
      </c>
      <c r="AG327">
        <f t="shared" si="66"/>
        <v>0</v>
      </c>
      <c r="AH327" t="str">
        <f t="shared" si="67"/>
        <v>College</v>
      </c>
      <c r="AI327" t="str">
        <f t="shared" si="68"/>
        <v>High</v>
      </c>
      <c r="AJ327" t="str">
        <f t="shared" si="69"/>
        <v>Medium</v>
      </c>
      <c r="AK327" t="str">
        <f t="shared" si="70"/>
        <v>Mid-Level</v>
      </c>
      <c r="AL327" t="str">
        <f t="shared" si="71"/>
        <v>High</v>
      </c>
      <c r="AM327" t="str">
        <f t="shared" si="72"/>
        <v>Low</v>
      </c>
      <c r="AN327" t="str">
        <f t="shared" si="73"/>
        <v>Low</v>
      </c>
      <c r="AO327" t="str">
        <f t="shared" si="74"/>
        <v>Better</v>
      </c>
      <c r="AP327" t="str">
        <f t="shared" si="75"/>
        <v>25-34</v>
      </c>
      <c r="AQ327" t="str">
        <f t="shared" si="76"/>
        <v>Upper-Mid</v>
      </c>
      <c r="AR327" t="str">
        <f t="shared" si="77"/>
        <v>6-10 Years</v>
      </c>
    </row>
    <row r="328" spans="1:44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46</v>
      </c>
      <c r="L328">
        <v>54</v>
      </c>
      <c r="M328">
        <v>2</v>
      </c>
      <c r="N328">
        <v>5</v>
      </c>
      <c r="O328" t="s">
        <v>56</v>
      </c>
      <c r="P328">
        <v>4</v>
      </c>
      <c r="Q328" t="s">
        <v>48</v>
      </c>
      <c r="R328">
        <v>19272</v>
      </c>
      <c r="S328">
        <v>1</v>
      </c>
      <c r="T328" t="s">
        <v>43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  <c r="AF328">
        <f t="shared" si="65"/>
        <v>0</v>
      </c>
      <c r="AG328">
        <f t="shared" si="66"/>
        <v>0</v>
      </c>
      <c r="AH328" t="str">
        <f t="shared" si="67"/>
        <v>College</v>
      </c>
      <c r="AI328" t="str">
        <f t="shared" si="68"/>
        <v>High</v>
      </c>
      <c r="AJ328" t="str">
        <f t="shared" si="69"/>
        <v>Medium</v>
      </c>
      <c r="AK328" t="str">
        <f t="shared" si="70"/>
        <v>Executive</v>
      </c>
      <c r="AL328" t="str">
        <f t="shared" si="71"/>
        <v>Very High</v>
      </c>
      <c r="AM328" t="str">
        <f t="shared" si="72"/>
        <v>Low</v>
      </c>
      <c r="AN328" t="str">
        <f t="shared" si="73"/>
        <v>Low</v>
      </c>
      <c r="AO328" t="str">
        <f t="shared" si="74"/>
        <v>Better</v>
      </c>
      <c r="AP328" t="str">
        <f t="shared" si="75"/>
        <v>35-44</v>
      </c>
      <c r="AQ328" t="str">
        <f t="shared" si="76"/>
        <v>High</v>
      </c>
      <c r="AR328" t="str">
        <f t="shared" si="77"/>
        <v>20+ Years</v>
      </c>
    </row>
    <row r="329" spans="1:44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39</v>
      </c>
      <c r="L329">
        <v>41</v>
      </c>
      <c r="M329">
        <v>3</v>
      </c>
      <c r="N329">
        <v>2</v>
      </c>
      <c r="O329" t="s">
        <v>40</v>
      </c>
      <c r="P329">
        <v>3</v>
      </c>
      <c r="Q329" t="s">
        <v>48</v>
      </c>
      <c r="R329">
        <v>5238</v>
      </c>
      <c r="S329">
        <v>4</v>
      </c>
      <c r="T329" t="s">
        <v>35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  <c r="AF329">
        <f t="shared" si="65"/>
        <v>1</v>
      </c>
      <c r="AG329">
        <f t="shared" si="66"/>
        <v>1</v>
      </c>
      <c r="AH329" t="str">
        <f t="shared" si="67"/>
        <v>College</v>
      </c>
      <c r="AI329" t="str">
        <f t="shared" si="68"/>
        <v>Very High</v>
      </c>
      <c r="AJ329" t="str">
        <f t="shared" si="69"/>
        <v>High</v>
      </c>
      <c r="AK329" t="str">
        <f t="shared" si="70"/>
        <v>Junior</v>
      </c>
      <c r="AL329" t="str">
        <f t="shared" si="71"/>
        <v>High</v>
      </c>
      <c r="AM329" t="str">
        <f t="shared" si="72"/>
        <v>Low</v>
      </c>
      <c r="AN329" t="str">
        <f t="shared" si="73"/>
        <v>No Options</v>
      </c>
      <c r="AO329" t="str">
        <f t="shared" si="74"/>
        <v>Good</v>
      </c>
      <c r="AP329" t="str">
        <f t="shared" si="75"/>
        <v>35-44</v>
      </c>
      <c r="AQ329" t="str">
        <f t="shared" si="76"/>
        <v>Lower-Mid</v>
      </c>
      <c r="AR329" t="str">
        <f t="shared" si="77"/>
        <v>0-2 Years</v>
      </c>
    </row>
    <row r="330" spans="1:44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t="s">
        <v>46</v>
      </c>
      <c r="L330">
        <v>46</v>
      </c>
      <c r="M330">
        <v>2</v>
      </c>
      <c r="N330">
        <v>2</v>
      </c>
      <c r="O330" t="s">
        <v>40</v>
      </c>
      <c r="P330">
        <v>4</v>
      </c>
      <c r="Q330" t="s">
        <v>41</v>
      </c>
      <c r="R330">
        <v>4682</v>
      </c>
      <c r="S330">
        <v>3</v>
      </c>
      <c r="T330" t="s">
        <v>43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  <c r="AF330">
        <f t="shared" si="65"/>
        <v>0</v>
      </c>
      <c r="AG330">
        <f t="shared" si="66"/>
        <v>0</v>
      </c>
      <c r="AH330" t="str">
        <f t="shared" si="67"/>
        <v>Bachelor</v>
      </c>
      <c r="AI330" t="str">
        <f t="shared" si="68"/>
        <v>Medium</v>
      </c>
      <c r="AJ330" t="str">
        <f t="shared" si="69"/>
        <v>Medium</v>
      </c>
      <c r="AK330" t="str">
        <f t="shared" si="70"/>
        <v>Junior</v>
      </c>
      <c r="AL330" t="str">
        <f t="shared" si="71"/>
        <v>Very High</v>
      </c>
      <c r="AM330" t="str">
        <f t="shared" si="72"/>
        <v>High</v>
      </c>
      <c r="AN330" t="str">
        <f t="shared" si="73"/>
        <v>No Options</v>
      </c>
      <c r="AO330" t="str">
        <f t="shared" si="74"/>
        <v>Good</v>
      </c>
      <c r="AP330" t="str">
        <f t="shared" si="75"/>
        <v>25-34</v>
      </c>
      <c r="AQ330" t="str">
        <f t="shared" si="76"/>
        <v>Lower-Mid</v>
      </c>
      <c r="AR330" t="str">
        <f t="shared" si="77"/>
        <v>6-10 Years</v>
      </c>
    </row>
    <row r="331" spans="1:44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46</v>
      </c>
      <c r="L331">
        <v>42</v>
      </c>
      <c r="M331">
        <v>3</v>
      </c>
      <c r="N331">
        <v>5</v>
      </c>
      <c r="O331" t="s">
        <v>58</v>
      </c>
      <c r="P331">
        <v>3</v>
      </c>
      <c r="Q331" t="s">
        <v>48</v>
      </c>
      <c r="R331">
        <v>18300</v>
      </c>
      <c r="S331">
        <v>4</v>
      </c>
      <c r="T331" t="s">
        <v>43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  <c r="AF331">
        <f t="shared" si="65"/>
        <v>0</v>
      </c>
      <c r="AG331">
        <f t="shared" si="66"/>
        <v>0</v>
      </c>
      <c r="AH331" t="str">
        <f t="shared" si="67"/>
        <v>Doctor</v>
      </c>
      <c r="AI331" t="str">
        <f t="shared" si="68"/>
        <v>Very High</v>
      </c>
      <c r="AJ331" t="str">
        <f t="shared" si="69"/>
        <v>High</v>
      </c>
      <c r="AK331" t="str">
        <f t="shared" si="70"/>
        <v>Executive</v>
      </c>
      <c r="AL331" t="str">
        <f t="shared" si="71"/>
        <v>High</v>
      </c>
      <c r="AM331" t="str">
        <f t="shared" si="72"/>
        <v>Medium</v>
      </c>
      <c r="AN331" t="str">
        <f t="shared" si="73"/>
        <v>Low</v>
      </c>
      <c r="AO331" t="str">
        <f t="shared" si="74"/>
        <v>Better</v>
      </c>
      <c r="AP331" t="str">
        <f t="shared" si="75"/>
        <v>45-54</v>
      </c>
      <c r="AQ331" t="str">
        <f t="shared" si="76"/>
        <v>High</v>
      </c>
      <c r="AR331" t="str">
        <f t="shared" si="77"/>
        <v>3-5 Years</v>
      </c>
    </row>
    <row r="332" spans="1:44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82</v>
      </c>
      <c r="M332">
        <v>2</v>
      </c>
      <c r="N332">
        <v>2</v>
      </c>
      <c r="O332" t="s">
        <v>50</v>
      </c>
      <c r="P332">
        <v>3</v>
      </c>
      <c r="Q332" t="s">
        <v>52</v>
      </c>
      <c r="R332">
        <v>5257</v>
      </c>
      <c r="S332">
        <v>1</v>
      </c>
      <c r="T332" t="s">
        <v>43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  <c r="AF332">
        <f t="shared" si="65"/>
        <v>0</v>
      </c>
      <c r="AG332">
        <f t="shared" si="66"/>
        <v>0</v>
      </c>
      <c r="AH332" t="str">
        <f t="shared" si="67"/>
        <v>Master</v>
      </c>
      <c r="AI332" t="str">
        <f t="shared" si="68"/>
        <v>High</v>
      </c>
      <c r="AJ332" t="str">
        <f t="shared" si="69"/>
        <v>Medium</v>
      </c>
      <c r="AK332" t="str">
        <f t="shared" si="70"/>
        <v>Junior</v>
      </c>
      <c r="AL332" t="str">
        <f t="shared" si="71"/>
        <v>High</v>
      </c>
      <c r="AM332" t="str">
        <f t="shared" si="72"/>
        <v>Medium</v>
      </c>
      <c r="AN332" t="str">
        <f t="shared" si="73"/>
        <v>Low</v>
      </c>
      <c r="AO332" t="str">
        <f t="shared" si="74"/>
        <v>Best</v>
      </c>
      <c r="AP332" t="str">
        <f t="shared" si="75"/>
        <v>35-44</v>
      </c>
      <c r="AQ332" t="str">
        <f t="shared" si="76"/>
        <v>Lower-Mid</v>
      </c>
      <c r="AR332" t="str">
        <f t="shared" si="77"/>
        <v>6-10 Years</v>
      </c>
    </row>
    <row r="333" spans="1:44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t="s">
        <v>46</v>
      </c>
      <c r="L333">
        <v>73</v>
      </c>
      <c r="M333">
        <v>3</v>
      </c>
      <c r="N333">
        <v>2</v>
      </c>
      <c r="O333" t="s">
        <v>40</v>
      </c>
      <c r="P333">
        <v>2</v>
      </c>
      <c r="Q333" t="s">
        <v>48</v>
      </c>
      <c r="R333">
        <v>6349</v>
      </c>
      <c r="S333">
        <v>0</v>
      </c>
      <c r="T333" t="s">
        <v>35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  <c r="AF333">
        <f t="shared" si="65"/>
        <v>0</v>
      </c>
      <c r="AG333">
        <f t="shared" si="66"/>
        <v>1</v>
      </c>
      <c r="AH333" t="str">
        <f t="shared" si="67"/>
        <v>Below College</v>
      </c>
      <c r="AI333" t="str">
        <f t="shared" si="68"/>
        <v>High</v>
      </c>
      <c r="AJ333" t="str">
        <f t="shared" si="69"/>
        <v>High</v>
      </c>
      <c r="AK333" t="str">
        <f t="shared" si="70"/>
        <v>Junior</v>
      </c>
      <c r="AL333" t="str">
        <f t="shared" si="71"/>
        <v>Medium</v>
      </c>
      <c r="AM333" t="str">
        <f t="shared" si="72"/>
        <v>Very High</v>
      </c>
      <c r="AN333" t="str">
        <f t="shared" si="73"/>
        <v>Low</v>
      </c>
      <c r="AO333" t="str">
        <f t="shared" si="74"/>
        <v>Better</v>
      </c>
      <c r="AP333" t="str">
        <f t="shared" si="75"/>
        <v>25-34</v>
      </c>
      <c r="AQ333" t="str">
        <f t="shared" si="76"/>
        <v>Lower-Mid</v>
      </c>
      <c r="AR333" t="str">
        <f t="shared" si="77"/>
        <v>3-5 Years</v>
      </c>
    </row>
    <row r="334" spans="1:44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31</v>
      </c>
      <c r="M334">
        <v>3</v>
      </c>
      <c r="N334">
        <v>2</v>
      </c>
      <c r="O334" t="s">
        <v>47</v>
      </c>
      <c r="P334">
        <v>3</v>
      </c>
      <c r="Q334" t="s">
        <v>41</v>
      </c>
      <c r="R334">
        <v>4869</v>
      </c>
      <c r="S334">
        <v>3</v>
      </c>
      <c r="T334" t="s">
        <v>43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  <c r="AF334">
        <f t="shared" si="65"/>
        <v>0</v>
      </c>
      <c r="AG334">
        <f t="shared" si="66"/>
        <v>0</v>
      </c>
      <c r="AH334" t="str">
        <f t="shared" si="67"/>
        <v>Master</v>
      </c>
      <c r="AI334" t="str">
        <f t="shared" si="68"/>
        <v>Very High</v>
      </c>
      <c r="AJ334" t="str">
        <f t="shared" si="69"/>
        <v>High</v>
      </c>
      <c r="AK334" t="str">
        <f t="shared" si="70"/>
        <v>Junior</v>
      </c>
      <c r="AL334" t="str">
        <f t="shared" si="71"/>
        <v>High</v>
      </c>
      <c r="AM334" t="str">
        <f t="shared" si="72"/>
        <v>Very High</v>
      </c>
      <c r="AN334" t="str">
        <f t="shared" si="73"/>
        <v>No Options</v>
      </c>
      <c r="AO334" t="str">
        <f t="shared" si="74"/>
        <v>Good</v>
      </c>
      <c r="AP334" t="str">
        <f t="shared" si="75"/>
        <v>45-54</v>
      </c>
      <c r="AQ334" t="str">
        <f t="shared" si="76"/>
        <v>Lower-Mid</v>
      </c>
      <c r="AR334" t="str">
        <f t="shared" si="77"/>
        <v>3-5 Years</v>
      </c>
    </row>
    <row r="335" spans="1:44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43</v>
      </c>
      <c r="M335">
        <v>3</v>
      </c>
      <c r="N335">
        <v>3</v>
      </c>
      <c r="O335" t="s">
        <v>54</v>
      </c>
      <c r="P335">
        <v>1</v>
      </c>
      <c r="Q335" t="s">
        <v>48</v>
      </c>
      <c r="R335">
        <v>9985</v>
      </c>
      <c r="S335">
        <v>8</v>
      </c>
      <c r="T335" t="s">
        <v>43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  <c r="AF335">
        <f t="shared" si="65"/>
        <v>0</v>
      </c>
      <c r="AG335">
        <f t="shared" si="66"/>
        <v>0</v>
      </c>
      <c r="AH335" t="str">
        <f t="shared" si="67"/>
        <v>Bachelor</v>
      </c>
      <c r="AI335" t="str">
        <f t="shared" si="68"/>
        <v>High</v>
      </c>
      <c r="AJ335" t="str">
        <f t="shared" si="69"/>
        <v>High</v>
      </c>
      <c r="AK335" t="str">
        <f t="shared" si="70"/>
        <v>Mid-Level</v>
      </c>
      <c r="AL335" t="str">
        <f t="shared" si="71"/>
        <v>Low</v>
      </c>
      <c r="AM335" t="str">
        <f t="shared" si="72"/>
        <v>Low</v>
      </c>
      <c r="AN335" t="str">
        <f t="shared" si="73"/>
        <v>Low</v>
      </c>
      <c r="AO335" t="str">
        <f t="shared" si="74"/>
        <v>Good</v>
      </c>
      <c r="AP335" t="str">
        <f t="shared" si="75"/>
        <v>35-44</v>
      </c>
      <c r="AQ335" t="str">
        <f t="shared" si="76"/>
        <v>Upper-Mid</v>
      </c>
      <c r="AR335" t="str">
        <f t="shared" si="77"/>
        <v>0-2 Years</v>
      </c>
    </row>
    <row r="336" spans="1:44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75</v>
      </c>
      <c r="M336">
        <v>3</v>
      </c>
      <c r="N336">
        <v>2</v>
      </c>
      <c r="O336" t="s">
        <v>47</v>
      </c>
      <c r="P336">
        <v>4</v>
      </c>
      <c r="Q336" t="s">
        <v>48</v>
      </c>
      <c r="R336">
        <v>3697</v>
      </c>
      <c r="S336">
        <v>9</v>
      </c>
      <c r="T336" t="s">
        <v>43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  <c r="AF336">
        <f t="shared" si="65"/>
        <v>0</v>
      </c>
      <c r="AG336">
        <f t="shared" si="66"/>
        <v>0</v>
      </c>
      <c r="AH336" t="str">
        <f t="shared" si="67"/>
        <v>Master</v>
      </c>
      <c r="AI336" t="str">
        <f t="shared" si="68"/>
        <v>Very High</v>
      </c>
      <c r="AJ336" t="str">
        <f t="shared" si="69"/>
        <v>High</v>
      </c>
      <c r="AK336" t="str">
        <f t="shared" si="70"/>
        <v>Junior</v>
      </c>
      <c r="AL336" t="str">
        <f t="shared" si="71"/>
        <v>Very High</v>
      </c>
      <c r="AM336" t="str">
        <f t="shared" si="72"/>
        <v>Low</v>
      </c>
      <c r="AN336" t="str">
        <f t="shared" si="73"/>
        <v>Medium</v>
      </c>
      <c r="AO336" t="str">
        <f t="shared" si="74"/>
        <v>Better</v>
      </c>
      <c r="AP336" t="str">
        <f t="shared" si="75"/>
        <v>45-54</v>
      </c>
      <c r="AQ336" t="str">
        <f t="shared" si="76"/>
        <v>Lower-Mid</v>
      </c>
      <c r="AR336" t="str">
        <f t="shared" si="77"/>
        <v>6-10 Years</v>
      </c>
    </row>
    <row r="337" spans="1:44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46</v>
      </c>
      <c r="L337">
        <v>57</v>
      </c>
      <c r="M337">
        <v>1</v>
      </c>
      <c r="N337">
        <v>2</v>
      </c>
      <c r="O337" t="s">
        <v>40</v>
      </c>
      <c r="P337">
        <v>4</v>
      </c>
      <c r="Q337" t="s">
        <v>48</v>
      </c>
      <c r="R337">
        <v>7457</v>
      </c>
      <c r="S337">
        <v>2</v>
      </c>
      <c r="T337" t="s">
        <v>35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  <c r="AF337">
        <f t="shared" si="65"/>
        <v>0</v>
      </c>
      <c r="AG337">
        <f t="shared" si="66"/>
        <v>1</v>
      </c>
      <c r="AH337" t="str">
        <f t="shared" si="67"/>
        <v>College</v>
      </c>
      <c r="AI337" t="str">
        <f t="shared" si="68"/>
        <v>Medium</v>
      </c>
      <c r="AJ337" t="str">
        <f t="shared" si="69"/>
        <v>Low</v>
      </c>
      <c r="AK337" t="str">
        <f t="shared" si="70"/>
        <v>Junior</v>
      </c>
      <c r="AL337" t="str">
        <f t="shared" si="71"/>
        <v>Very High</v>
      </c>
      <c r="AM337" t="str">
        <f t="shared" si="72"/>
        <v>High</v>
      </c>
      <c r="AN337" t="str">
        <f t="shared" si="73"/>
        <v>High</v>
      </c>
      <c r="AO337" t="str">
        <f t="shared" si="74"/>
        <v>Good</v>
      </c>
      <c r="AP337" t="str">
        <f t="shared" si="75"/>
        <v>35-44</v>
      </c>
      <c r="AQ337" t="str">
        <f t="shared" si="76"/>
        <v>Upper-Mid</v>
      </c>
      <c r="AR337" t="str">
        <f t="shared" si="77"/>
        <v>3-5 Years</v>
      </c>
    </row>
    <row r="338" spans="1:44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77</v>
      </c>
      <c r="M338">
        <v>1</v>
      </c>
      <c r="N338">
        <v>1</v>
      </c>
      <c r="O338" t="s">
        <v>50</v>
      </c>
      <c r="P338">
        <v>1</v>
      </c>
      <c r="Q338" t="s">
        <v>48</v>
      </c>
      <c r="R338">
        <v>2119</v>
      </c>
      <c r="S338">
        <v>1</v>
      </c>
      <c r="T338" t="s">
        <v>35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  <c r="AF338">
        <f t="shared" si="65"/>
        <v>1</v>
      </c>
      <c r="AG338">
        <f t="shared" si="66"/>
        <v>1</v>
      </c>
      <c r="AH338" t="str">
        <f t="shared" si="67"/>
        <v>Master</v>
      </c>
      <c r="AI338" t="str">
        <f t="shared" si="68"/>
        <v>Medium</v>
      </c>
      <c r="AJ338" t="str">
        <f t="shared" si="69"/>
        <v>Low</v>
      </c>
      <c r="AK338" t="str">
        <f t="shared" si="70"/>
        <v>Entry</v>
      </c>
      <c r="AL338" t="str">
        <f t="shared" si="71"/>
        <v>Low</v>
      </c>
      <c r="AM338" t="str">
        <f t="shared" si="72"/>
        <v>Very High</v>
      </c>
      <c r="AN338" t="str">
        <f t="shared" si="73"/>
        <v>No Options</v>
      </c>
      <c r="AO338" t="str">
        <f t="shared" si="74"/>
        <v>Good</v>
      </c>
      <c r="AP338" t="str">
        <f t="shared" si="75"/>
        <v>25-34</v>
      </c>
      <c r="AQ338" t="str">
        <f t="shared" si="76"/>
        <v>Low</v>
      </c>
      <c r="AR338" t="str">
        <f t="shared" si="77"/>
        <v>6-10 Years</v>
      </c>
    </row>
    <row r="339" spans="1:44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30</v>
      </c>
      <c r="M339">
        <v>2</v>
      </c>
      <c r="N339">
        <v>1</v>
      </c>
      <c r="O339" t="s">
        <v>50</v>
      </c>
      <c r="P339">
        <v>4</v>
      </c>
      <c r="Q339" t="s">
        <v>41</v>
      </c>
      <c r="R339">
        <v>3983</v>
      </c>
      <c r="S339">
        <v>0</v>
      </c>
      <c r="T339" t="s">
        <v>43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  <c r="AF339">
        <f t="shared" si="65"/>
        <v>0</v>
      </c>
      <c r="AG339">
        <f t="shared" si="66"/>
        <v>0</v>
      </c>
      <c r="AH339" t="str">
        <f t="shared" si="67"/>
        <v>Doctor</v>
      </c>
      <c r="AI339" t="str">
        <f t="shared" si="68"/>
        <v>Medium</v>
      </c>
      <c r="AJ339" t="str">
        <f t="shared" si="69"/>
        <v>Medium</v>
      </c>
      <c r="AK339" t="str">
        <f t="shared" si="70"/>
        <v>Entry</v>
      </c>
      <c r="AL339" t="str">
        <f t="shared" si="71"/>
        <v>Very High</v>
      </c>
      <c r="AM339" t="str">
        <f t="shared" si="72"/>
        <v>High</v>
      </c>
      <c r="AN339" t="str">
        <f t="shared" si="73"/>
        <v>No Options</v>
      </c>
      <c r="AO339" t="str">
        <f t="shared" si="74"/>
        <v>Better</v>
      </c>
      <c r="AP339" t="str">
        <f t="shared" si="75"/>
        <v>25-34</v>
      </c>
      <c r="AQ339" t="str">
        <f t="shared" si="76"/>
        <v>Lower-Mid</v>
      </c>
      <c r="AR339" t="str">
        <f t="shared" si="77"/>
        <v>3-5 Years</v>
      </c>
    </row>
    <row r="340" spans="1:44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t="s">
        <v>39</v>
      </c>
      <c r="L340">
        <v>30</v>
      </c>
      <c r="M340">
        <v>2</v>
      </c>
      <c r="N340">
        <v>2</v>
      </c>
      <c r="O340" t="s">
        <v>40</v>
      </c>
      <c r="P340">
        <v>3</v>
      </c>
      <c r="Q340" t="s">
        <v>52</v>
      </c>
      <c r="R340">
        <v>6118</v>
      </c>
      <c r="S340">
        <v>1</v>
      </c>
      <c r="T340" t="s">
        <v>43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  <c r="AF340">
        <f t="shared" si="65"/>
        <v>0</v>
      </c>
      <c r="AG340">
        <f t="shared" si="66"/>
        <v>0</v>
      </c>
      <c r="AH340" t="str">
        <f t="shared" si="67"/>
        <v>Bachelor</v>
      </c>
      <c r="AI340" t="str">
        <f t="shared" si="68"/>
        <v>Very High</v>
      </c>
      <c r="AJ340" t="str">
        <f t="shared" si="69"/>
        <v>Medium</v>
      </c>
      <c r="AK340" t="str">
        <f t="shared" si="70"/>
        <v>Junior</v>
      </c>
      <c r="AL340" t="str">
        <f t="shared" si="71"/>
        <v>High</v>
      </c>
      <c r="AM340" t="str">
        <f t="shared" si="72"/>
        <v>High</v>
      </c>
      <c r="AN340" t="str">
        <f t="shared" si="73"/>
        <v>High</v>
      </c>
      <c r="AO340" t="str">
        <f t="shared" si="74"/>
        <v>Better</v>
      </c>
      <c r="AP340" t="str">
        <f t="shared" si="75"/>
        <v>25-34</v>
      </c>
      <c r="AQ340" t="str">
        <f t="shared" si="76"/>
        <v>Lower-Mid</v>
      </c>
      <c r="AR340" t="str">
        <f t="shared" si="77"/>
        <v>6-10 Years</v>
      </c>
    </row>
    <row r="341" spans="1:44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t="s">
        <v>39</v>
      </c>
      <c r="L341">
        <v>56</v>
      </c>
      <c r="M341">
        <v>3</v>
      </c>
      <c r="N341">
        <v>2</v>
      </c>
      <c r="O341" t="s">
        <v>40</v>
      </c>
      <c r="P341">
        <v>2</v>
      </c>
      <c r="Q341" t="s">
        <v>48</v>
      </c>
      <c r="R341">
        <v>6214</v>
      </c>
      <c r="S341">
        <v>1</v>
      </c>
      <c r="T341" t="s">
        <v>43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  <c r="AF341">
        <f t="shared" si="65"/>
        <v>0</v>
      </c>
      <c r="AG341">
        <f t="shared" si="66"/>
        <v>0</v>
      </c>
      <c r="AH341" t="str">
        <f t="shared" si="67"/>
        <v>Master</v>
      </c>
      <c r="AI341" t="str">
        <f t="shared" si="68"/>
        <v>Medium</v>
      </c>
      <c r="AJ341" t="str">
        <f t="shared" si="69"/>
        <v>High</v>
      </c>
      <c r="AK341" t="str">
        <f t="shared" si="70"/>
        <v>Junior</v>
      </c>
      <c r="AL341" t="str">
        <f t="shared" si="71"/>
        <v>Medium</v>
      </c>
      <c r="AM341" t="str">
        <f t="shared" si="72"/>
        <v>Low</v>
      </c>
      <c r="AN341" t="str">
        <f t="shared" si="73"/>
        <v>Low</v>
      </c>
      <c r="AO341" t="str">
        <f t="shared" si="74"/>
        <v>Better</v>
      </c>
      <c r="AP341" t="str">
        <f t="shared" si="75"/>
        <v>25-34</v>
      </c>
      <c r="AQ341" t="str">
        <f t="shared" si="76"/>
        <v>Lower-Mid</v>
      </c>
      <c r="AR341" t="str">
        <f t="shared" si="77"/>
        <v>6-10 Years</v>
      </c>
    </row>
    <row r="342" spans="1:44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46</v>
      </c>
      <c r="L342">
        <v>61</v>
      </c>
      <c r="M342">
        <v>3</v>
      </c>
      <c r="N342">
        <v>2</v>
      </c>
      <c r="O342" t="s">
        <v>53</v>
      </c>
      <c r="P342">
        <v>4</v>
      </c>
      <c r="Q342" t="s">
        <v>52</v>
      </c>
      <c r="R342">
        <v>6347</v>
      </c>
      <c r="S342">
        <v>7</v>
      </c>
      <c r="T342" t="s">
        <v>43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  <c r="AF342">
        <f t="shared" si="65"/>
        <v>0</v>
      </c>
      <c r="AG342">
        <f t="shared" si="66"/>
        <v>0</v>
      </c>
      <c r="AH342" t="str">
        <f t="shared" si="67"/>
        <v>College</v>
      </c>
      <c r="AI342" t="str">
        <f t="shared" si="68"/>
        <v>Very High</v>
      </c>
      <c r="AJ342" t="str">
        <f t="shared" si="69"/>
        <v>High</v>
      </c>
      <c r="AK342" t="str">
        <f t="shared" si="70"/>
        <v>Junior</v>
      </c>
      <c r="AL342" t="str">
        <f t="shared" si="71"/>
        <v>Very High</v>
      </c>
      <c r="AM342" t="str">
        <f t="shared" si="72"/>
        <v>High</v>
      </c>
      <c r="AN342" t="str">
        <f t="shared" si="73"/>
        <v>Medium</v>
      </c>
      <c r="AO342" t="str">
        <f t="shared" si="74"/>
        <v>Good</v>
      </c>
      <c r="AP342" t="str">
        <f t="shared" si="75"/>
        <v>35-44</v>
      </c>
      <c r="AQ342" t="str">
        <f t="shared" si="76"/>
        <v>Lower-Mid</v>
      </c>
      <c r="AR342" t="str">
        <f t="shared" si="77"/>
        <v>6-10 Years</v>
      </c>
    </row>
    <row r="343" spans="1:44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46</v>
      </c>
      <c r="L343">
        <v>92</v>
      </c>
      <c r="M343">
        <v>2</v>
      </c>
      <c r="N343">
        <v>3</v>
      </c>
      <c r="O343" t="s">
        <v>58</v>
      </c>
      <c r="P343">
        <v>4</v>
      </c>
      <c r="Q343" t="s">
        <v>52</v>
      </c>
      <c r="R343">
        <v>11510</v>
      </c>
      <c r="S343">
        <v>0</v>
      </c>
      <c r="T343" t="s">
        <v>35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  <c r="AF343">
        <f t="shared" si="65"/>
        <v>0</v>
      </c>
      <c r="AG343">
        <f t="shared" si="66"/>
        <v>1</v>
      </c>
      <c r="AH343" t="str">
        <f t="shared" si="67"/>
        <v>College</v>
      </c>
      <c r="AI343" t="str">
        <f t="shared" si="68"/>
        <v>High</v>
      </c>
      <c r="AJ343" t="str">
        <f t="shared" si="69"/>
        <v>Medium</v>
      </c>
      <c r="AK343" t="str">
        <f t="shared" si="70"/>
        <v>Mid-Level</v>
      </c>
      <c r="AL343" t="str">
        <f t="shared" si="71"/>
        <v>Very High</v>
      </c>
      <c r="AM343" t="str">
        <f t="shared" si="72"/>
        <v>Medium</v>
      </c>
      <c r="AN343" t="str">
        <f t="shared" si="73"/>
        <v>Low</v>
      </c>
      <c r="AO343" t="str">
        <f t="shared" si="74"/>
        <v>Better</v>
      </c>
      <c r="AP343" t="str">
        <f t="shared" si="75"/>
        <v>35-44</v>
      </c>
      <c r="AQ343" t="str">
        <f t="shared" si="76"/>
        <v>Upper-Mid</v>
      </c>
      <c r="AR343" t="str">
        <f t="shared" si="77"/>
        <v>11-20 Years</v>
      </c>
    </row>
    <row r="344" spans="1:44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39</v>
      </c>
      <c r="L344">
        <v>39</v>
      </c>
      <c r="M344">
        <v>3</v>
      </c>
      <c r="N344">
        <v>3</v>
      </c>
      <c r="O344" t="s">
        <v>53</v>
      </c>
      <c r="P344">
        <v>4</v>
      </c>
      <c r="Q344" t="s">
        <v>41</v>
      </c>
      <c r="R344">
        <v>7143</v>
      </c>
      <c r="S344">
        <v>1</v>
      </c>
      <c r="T344" t="s">
        <v>35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  <c r="AF344">
        <f t="shared" si="65"/>
        <v>0</v>
      </c>
      <c r="AG344">
        <f t="shared" si="66"/>
        <v>1</v>
      </c>
      <c r="AH344" t="str">
        <f t="shared" si="67"/>
        <v>Master</v>
      </c>
      <c r="AI344" t="str">
        <f t="shared" si="68"/>
        <v>High</v>
      </c>
      <c r="AJ344" t="str">
        <f t="shared" si="69"/>
        <v>High</v>
      </c>
      <c r="AK344" t="str">
        <f t="shared" si="70"/>
        <v>Mid-Level</v>
      </c>
      <c r="AL344" t="str">
        <f t="shared" si="71"/>
        <v>Very High</v>
      </c>
      <c r="AM344" t="str">
        <f t="shared" si="72"/>
        <v>High</v>
      </c>
      <c r="AN344" t="str">
        <f t="shared" si="73"/>
        <v>No Options</v>
      </c>
      <c r="AO344" t="str">
        <f t="shared" si="74"/>
        <v>Good</v>
      </c>
      <c r="AP344" t="str">
        <f t="shared" si="75"/>
        <v>25-34</v>
      </c>
      <c r="AQ344" t="str">
        <f t="shared" si="76"/>
        <v>Upper-Mid</v>
      </c>
      <c r="AR344" t="str">
        <f t="shared" si="77"/>
        <v>11-20 Years</v>
      </c>
    </row>
    <row r="345" spans="1:44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t="s">
        <v>39</v>
      </c>
      <c r="L345">
        <v>39</v>
      </c>
      <c r="M345">
        <v>2</v>
      </c>
      <c r="N345">
        <v>2</v>
      </c>
      <c r="O345" t="s">
        <v>40</v>
      </c>
      <c r="P345">
        <v>2</v>
      </c>
      <c r="Q345" t="s">
        <v>52</v>
      </c>
      <c r="R345">
        <v>8268</v>
      </c>
      <c r="S345">
        <v>1</v>
      </c>
      <c r="T345" t="s">
        <v>35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  <c r="AF345">
        <f t="shared" si="65"/>
        <v>0</v>
      </c>
      <c r="AG345">
        <f t="shared" si="66"/>
        <v>1</v>
      </c>
      <c r="AH345" t="str">
        <f t="shared" si="67"/>
        <v>Below College</v>
      </c>
      <c r="AI345" t="str">
        <f t="shared" si="68"/>
        <v>Very High</v>
      </c>
      <c r="AJ345" t="str">
        <f t="shared" si="69"/>
        <v>Medium</v>
      </c>
      <c r="AK345" t="str">
        <f t="shared" si="70"/>
        <v>Junior</v>
      </c>
      <c r="AL345" t="str">
        <f t="shared" si="71"/>
        <v>Medium</v>
      </c>
      <c r="AM345" t="str">
        <f t="shared" si="72"/>
        <v>Low</v>
      </c>
      <c r="AN345" t="str">
        <f t="shared" si="73"/>
        <v>Medium</v>
      </c>
      <c r="AO345" t="str">
        <f t="shared" si="74"/>
        <v>Better</v>
      </c>
      <c r="AP345" t="str">
        <f t="shared" si="75"/>
        <v>25-34</v>
      </c>
      <c r="AQ345" t="str">
        <f t="shared" si="76"/>
        <v>Upper-Mid</v>
      </c>
      <c r="AR345" t="str">
        <f t="shared" si="77"/>
        <v>6-10 Years</v>
      </c>
    </row>
    <row r="346" spans="1:44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t="s">
        <v>46</v>
      </c>
      <c r="L346">
        <v>62</v>
      </c>
      <c r="M346">
        <v>3</v>
      </c>
      <c r="N346">
        <v>3</v>
      </c>
      <c r="O346" t="s">
        <v>53</v>
      </c>
      <c r="P346">
        <v>2</v>
      </c>
      <c r="Q346" t="s">
        <v>41</v>
      </c>
      <c r="R346">
        <v>8095</v>
      </c>
      <c r="S346">
        <v>0</v>
      </c>
      <c r="T346" t="s">
        <v>43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  <c r="AF346">
        <f t="shared" si="65"/>
        <v>0</v>
      </c>
      <c r="AG346">
        <f t="shared" si="66"/>
        <v>0</v>
      </c>
      <c r="AH346" t="str">
        <f t="shared" si="67"/>
        <v>Master</v>
      </c>
      <c r="AI346" t="str">
        <f t="shared" si="68"/>
        <v>High</v>
      </c>
      <c r="AJ346" t="str">
        <f t="shared" si="69"/>
        <v>High</v>
      </c>
      <c r="AK346" t="str">
        <f t="shared" si="70"/>
        <v>Mid-Level</v>
      </c>
      <c r="AL346" t="str">
        <f t="shared" si="71"/>
        <v>Medium</v>
      </c>
      <c r="AM346" t="str">
        <f t="shared" si="72"/>
        <v>Very High</v>
      </c>
      <c r="AN346" t="str">
        <f t="shared" si="73"/>
        <v>No Options</v>
      </c>
      <c r="AO346" t="str">
        <f t="shared" si="74"/>
        <v>Better</v>
      </c>
      <c r="AP346" t="str">
        <f t="shared" si="75"/>
        <v>35-44</v>
      </c>
      <c r="AQ346" t="str">
        <f t="shared" si="76"/>
        <v>Upper-Mid</v>
      </c>
      <c r="AR346" t="str">
        <f t="shared" si="77"/>
        <v>11-20 Years</v>
      </c>
    </row>
    <row r="347" spans="1:44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46</v>
      </c>
      <c r="L347">
        <v>83</v>
      </c>
      <c r="M347">
        <v>3</v>
      </c>
      <c r="N347">
        <v>1</v>
      </c>
      <c r="O347" t="s">
        <v>47</v>
      </c>
      <c r="P347">
        <v>4</v>
      </c>
      <c r="Q347" t="s">
        <v>52</v>
      </c>
      <c r="R347">
        <v>2904</v>
      </c>
      <c r="S347">
        <v>1</v>
      </c>
      <c r="T347" t="s">
        <v>43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  <c r="AF347">
        <f t="shared" si="65"/>
        <v>0</v>
      </c>
      <c r="AG347">
        <f t="shared" si="66"/>
        <v>0</v>
      </c>
      <c r="AH347" t="str">
        <f t="shared" si="67"/>
        <v>Below College</v>
      </c>
      <c r="AI347" t="str">
        <f t="shared" si="68"/>
        <v>High</v>
      </c>
      <c r="AJ347" t="str">
        <f t="shared" si="69"/>
        <v>High</v>
      </c>
      <c r="AK347" t="str">
        <f t="shared" si="70"/>
        <v>Entry</v>
      </c>
      <c r="AL347" t="str">
        <f t="shared" si="71"/>
        <v>Very High</v>
      </c>
      <c r="AM347" t="str">
        <f t="shared" si="72"/>
        <v>High</v>
      </c>
      <c r="AN347" t="str">
        <f t="shared" si="73"/>
        <v>Medium</v>
      </c>
      <c r="AO347" t="str">
        <f t="shared" si="74"/>
        <v>Good</v>
      </c>
      <c r="AP347" t="str">
        <f t="shared" si="75"/>
        <v>Under 25</v>
      </c>
      <c r="AQ347" t="str">
        <f t="shared" si="76"/>
        <v>Low</v>
      </c>
      <c r="AR347" t="str">
        <f t="shared" si="77"/>
        <v>3-5 Years</v>
      </c>
    </row>
    <row r="348" spans="1:44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46</v>
      </c>
      <c r="L348">
        <v>95</v>
      </c>
      <c r="M348">
        <v>2</v>
      </c>
      <c r="N348">
        <v>2</v>
      </c>
      <c r="O348" t="s">
        <v>53</v>
      </c>
      <c r="P348">
        <v>2</v>
      </c>
      <c r="Q348" t="s">
        <v>41</v>
      </c>
      <c r="R348">
        <v>6032</v>
      </c>
      <c r="S348">
        <v>6</v>
      </c>
      <c r="T348" t="s">
        <v>35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  <c r="AF348">
        <f t="shared" si="65"/>
        <v>0</v>
      </c>
      <c r="AG348">
        <f t="shared" si="66"/>
        <v>1</v>
      </c>
      <c r="AH348" t="str">
        <f t="shared" si="67"/>
        <v>Bachelor</v>
      </c>
      <c r="AI348" t="str">
        <f t="shared" si="68"/>
        <v>Very High</v>
      </c>
      <c r="AJ348" t="str">
        <f t="shared" si="69"/>
        <v>Medium</v>
      </c>
      <c r="AK348" t="str">
        <f t="shared" si="70"/>
        <v>Junior</v>
      </c>
      <c r="AL348" t="str">
        <f t="shared" si="71"/>
        <v>Medium</v>
      </c>
      <c r="AM348" t="str">
        <f t="shared" si="72"/>
        <v>Very High</v>
      </c>
      <c r="AN348" t="str">
        <f t="shared" si="73"/>
        <v>No Options</v>
      </c>
      <c r="AO348" t="str">
        <f t="shared" si="74"/>
        <v>Better</v>
      </c>
      <c r="AP348" t="str">
        <f t="shared" si="75"/>
        <v>35-44</v>
      </c>
      <c r="AQ348" t="str">
        <f t="shared" si="76"/>
        <v>Lower-Mid</v>
      </c>
      <c r="AR348" t="str">
        <f t="shared" si="77"/>
        <v>3-5 Years</v>
      </c>
    </row>
    <row r="349" spans="1:44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46</v>
      </c>
      <c r="L349">
        <v>99</v>
      </c>
      <c r="M349">
        <v>3</v>
      </c>
      <c r="N349">
        <v>2</v>
      </c>
      <c r="O349" t="s">
        <v>57</v>
      </c>
      <c r="P349">
        <v>3</v>
      </c>
      <c r="Q349" t="s">
        <v>41</v>
      </c>
      <c r="R349">
        <v>2976</v>
      </c>
      <c r="S349">
        <v>3</v>
      </c>
      <c r="T349" t="s">
        <v>43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  <c r="AF349">
        <f t="shared" si="65"/>
        <v>0</v>
      </c>
      <c r="AG349">
        <f t="shared" si="66"/>
        <v>0</v>
      </c>
      <c r="AH349" t="str">
        <f t="shared" si="67"/>
        <v>Below College</v>
      </c>
      <c r="AI349" t="str">
        <f t="shared" si="68"/>
        <v>Medium</v>
      </c>
      <c r="AJ349" t="str">
        <f t="shared" si="69"/>
        <v>High</v>
      </c>
      <c r="AK349" t="str">
        <f t="shared" si="70"/>
        <v>Junior</v>
      </c>
      <c r="AL349" t="str">
        <f t="shared" si="71"/>
        <v>High</v>
      </c>
      <c r="AM349" t="str">
        <f t="shared" si="72"/>
        <v>Low</v>
      </c>
      <c r="AN349" t="str">
        <f t="shared" si="73"/>
        <v>No Options</v>
      </c>
      <c r="AO349" t="str">
        <f t="shared" si="74"/>
        <v>Better</v>
      </c>
      <c r="AP349" t="str">
        <f t="shared" si="75"/>
        <v>45-54</v>
      </c>
      <c r="AQ349" t="str">
        <f t="shared" si="76"/>
        <v>Low</v>
      </c>
      <c r="AR349" t="str">
        <f t="shared" si="77"/>
        <v>0-2 Years</v>
      </c>
    </row>
    <row r="350" spans="1:44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44</v>
      </c>
      <c r="M350">
        <v>3</v>
      </c>
      <c r="N350">
        <v>4</v>
      </c>
      <c r="O350" t="s">
        <v>58</v>
      </c>
      <c r="P350">
        <v>4</v>
      </c>
      <c r="Q350" t="s">
        <v>41</v>
      </c>
      <c r="R350">
        <v>15992</v>
      </c>
      <c r="S350">
        <v>2</v>
      </c>
      <c r="T350" t="s">
        <v>43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  <c r="AF350">
        <f t="shared" si="65"/>
        <v>0</v>
      </c>
      <c r="AG350">
        <f t="shared" si="66"/>
        <v>0</v>
      </c>
      <c r="AH350" t="str">
        <f t="shared" si="67"/>
        <v>Doctor</v>
      </c>
      <c r="AI350" t="str">
        <f t="shared" si="68"/>
        <v>Low</v>
      </c>
      <c r="AJ350" t="str">
        <f t="shared" si="69"/>
        <v>High</v>
      </c>
      <c r="AK350" t="str">
        <f t="shared" si="70"/>
        <v>Senior</v>
      </c>
      <c r="AL350" t="str">
        <f t="shared" si="71"/>
        <v>Very High</v>
      </c>
      <c r="AM350" t="str">
        <f t="shared" si="72"/>
        <v>Medium</v>
      </c>
      <c r="AN350" t="str">
        <f t="shared" si="73"/>
        <v>No Options</v>
      </c>
      <c r="AO350" t="str">
        <f t="shared" si="74"/>
        <v>Better</v>
      </c>
      <c r="AP350" t="str">
        <f t="shared" si="75"/>
        <v>35-44</v>
      </c>
      <c r="AQ350" t="str">
        <f t="shared" si="76"/>
        <v>High</v>
      </c>
      <c r="AR350" t="str">
        <f t="shared" si="77"/>
        <v>0-2 Years</v>
      </c>
    </row>
    <row r="351" spans="1:44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46</v>
      </c>
      <c r="L351">
        <v>61</v>
      </c>
      <c r="M351">
        <v>3</v>
      </c>
      <c r="N351">
        <v>2</v>
      </c>
      <c r="O351" t="s">
        <v>40</v>
      </c>
      <c r="P351">
        <v>3</v>
      </c>
      <c r="Q351" t="s">
        <v>48</v>
      </c>
      <c r="R351">
        <v>4649</v>
      </c>
      <c r="S351">
        <v>1</v>
      </c>
      <c r="T351" t="s">
        <v>43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  <c r="AF351">
        <f t="shared" si="65"/>
        <v>0</v>
      </c>
      <c r="AG351">
        <f t="shared" si="66"/>
        <v>0</v>
      </c>
      <c r="AH351" t="str">
        <f t="shared" si="67"/>
        <v>Bachelor</v>
      </c>
      <c r="AI351" t="str">
        <f t="shared" si="68"/>
        <v>Very High</v>
      </c>
      <c r="AJ351" t="str">
        <f t="shared" si="69"/>
        <v>High</v>
      </c>
      <c r="AK351" t="str">
        <f t="shared" si="70"/>
        <v>Junior</v>
      </c>
      <c r="AL351" t="str">
        <f t="shared" si="71"/>
        <v>High</v>
      </c>
      <c r="AM351" t="str">
        <f t="shared" si="72"/>
        <v>Low</v>
      </c>
      <c r="AN351" t="str">
        <f t="shared" si="73"/>
        <v>Low</v>
      </c>
      <c r="AO351" t="str">
        <f t="shared" si="74"/>
        <v>Good</v>
      </c>
      <c r="AP351" t="str">
        <f t="shared" si="75"/>
        <v>25-34</v>
      </c>
      <c r="AQ351" t="str">
        <f t="shared" si="76"/>
        <v>Lower-Mid</v>
      </c>
      <c r="AR351" t="str">
        <f t="shared" si="77"/>
        <v>3-5 Years</v>
      </c>
    </row>
    <row r="352" spans="1:44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t="s">
        <v>46</v>
      </c>
      <c r="L352">
        <v>52</v>
      </c>
      <c r="M352">
        <v>3</v>
      </c>
      <c r="N352">
        <v>1</v>
      </c>
      <c r="O352" t="s">
        <v>61</v>
      </c>
      <c r="P352">
        <v>3</v>
      </c>
      <c r="Q352" t="s">
        <v>52</v>
      </c>
      <c r="R352">
        <v>2696</v>
      </c>
      <c r="S352">
        <v>0</v>
      </c>
      <c r="T352" t="s">
        <v>35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  <c r="AF352">
        <f t="shared" si="65"/>
        <v>0</v>
      </c>
      <c r="AG352">
        <f t="shared" si="66"/>
        <v>1</v>
      </c>
      <c r="AH352" t="str">
        <f t="shared" si="67"/>
        <v>Below College</v>
      </c>
      <c r="AI352" t="str">
        <f t="shared" si="68"/>
        <v>High</v>
      </c>
      <c r="AJ352" t="str">
        <f t="shared" si="69"/>
        <v>High</v>
      </c>
      <c r="AK352" t="str">
        <f t="shared" si="70"/>
        <v>Entry</v>
      </c>
      <c r="AL352" t="str">
        <f t="shared" si="71"/>
        <v>High</v>
      </c>
      <c r="AM352" t="str">
        <f t="shared" si="72"/>
        <v>High</v>
      </c>
      <c r="AN352" t="str">
        <f t="shared" si="73"/>
        <v>Low</v>
      </c>
      <c r="AO352" t="str">
        <f t="shared" si="74"/>
        <v>Better</v>
      </c>
      <c r="AP352" t="str">
        <f t="shared" si="75"/>
        <v>35-44</v>
      </c>
      <c r="AQ352" t="str">
        <f t="shared" si="76"/>
        <v>Low</v>
      </c>
      <c r="AR352" t="str">
        <f t="shared" si="77"/>
        <v>3-5 Years</v>
      </c>
    </row>
    <row r="353" spans="1:44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39</v>
      </c>
      <c r="L353">
        <v>75</v>
      </c>
      <c r="M353">
        <v>3</v>
      </c>
      <c r="N353">
        <v>1</v>
      </c>
      <c r="O353" t="s">
        <v>50</v>
      </c>
      <c r="P353">
        <v>2</v>
      </c>
      <c r="Q353" t="s">
        <v>48</v>
      </c>
      <c r="R353">
        <v>2370</v>
      </c>
      <c r="S353">
        <v>1</v>
      </c>
      <c r="T353" t="s">
        <v>43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  <c r="AF353">
        <f t="shared" si="65"/>
        <v>0</v>
      </c>
      <c r="AG353">
        <f t="shared" si="66"/>
        <v>0</v>
      </c>
      <c r="AH353" t="str">
        <f t="shared" si="67"/>
        <v>Bachelor</v>
      </c>
      <c r="AI353" t="str">
        <f t="shared" si="68"/>
        <v>High</v>
      </c>
      <c r="AJ353" t="str">
        <f t="shared" si="69"/>
        <v>High</v>
      </c>
      <c r="AK353" t="str">
        <f t="shared" si="70"/>
        <v>Entry</v>
      </c>
      <c r="AL353" t="str">
        <f t="shared" si="71"/>
        <v>Medium</v>
      </c>
      <c r="AM353" t="str">
        <f t="shared" si="72"/>
        <v>High</v>
      </c>
      <c r="AN353" t="str">
        <f t="shared" si="73"/>
        <v>Low</v>
      </c>
      <c r="AO353" t="str">
        <f t="shared" si="74"/>
        <v>Better</v>
      </c>
      <c r="AP353" t="str">
        <f t="shared" si="75"/>
        <v>25-34</v>
      </c>
      <c r="AQ353" t="str">
        <f t="shared" si="76"/>
        <v>Low</v>
      </c>
      <c r="AR353" t="str">
        <f t="shared" si="77"/>
        <v>6-10 Years</v>
      </c>
    </row>
    <row r="354" spans="1:44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39</v>
      </c>
      <c r="L354">
        <v>91</v>
      </c>
      <c r="M354">
        <v>3</v>
      </c>
      <c r="N354">
        <v>3</v>
      </c>
      <c r="O354" t="s">
        <v>56</v>
      </c>
      <c r="P354">
        <v>3</v>
      </c>
      <c r="Q354" t="s">
        <v>48</v>
      </c>
      <c r="R354">
        <v>12504</v>
      </c>
      <c r="S354">
        <v>3</v>
      </c>
      <c r="T354" t="s">
        <v>43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f t="shared" si="65"/>
        <v>0</v>
      </c>
      <c r="AG354">
        <f t="shared" si="66"/>
        <v>0</v>
      </c>
      <c r="AH354" t="str">
        <f t="shared" si="67"/>
        <v>Below College</v>
      </c>
      <c r="AI354" t="str">
        <f t="shared" si="68"/>
        <v>Low</v>
      </c>
      <c r="AJ354" t="str">
        <f t="shared" si="69"/>
        <v>High</v>
      </c>
      <c r="AK354" t="str">
        <f t="shared" si="70"/>
        <v>Mid-Level</v>
      </c>
      <c r="AL354" t="str">
        <f t="shared" si="71"/>
        <v>High</v>
      </c>
      <c r="AM354" t="str">
        <f t="shared" si="72"/>
        <v>Medium</v>
      </c>
      <c r="AN354" t="str">
        <f t="shared" si="73"/>
        <v>Low</v>
      </c>
      <c r="AO354" t="str">
        <f t="shared" si="74"/>
        <v>Bad</v>
      </c>
      <c r="AP354" t="str">
        <f t="shared" si="75"/>
        <v>45-54</v>
      </c>
      <c r="AQ354" t="str">
        <f t="shared" si="76"/>
        <v>Upper-Mid</v>
      </c>
      <c r="AR354" t="str">
        <f t="shared" si="77"/>
        <v>0-2 Years</v>
      </c>
    </row>
    <row r="355" spans="1:44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46</v>
      </c>
      <c r="L355">
        <v>51</v>
      </c>
      <c r="M355">
        <v>4</v>
      </c>
      <c r="N355">
        <v>2</v>
      </c>
      <c r="O355" t="s">
        <v>47</v>
      </c>
      <c r="P355">
        <v>1</v>
      </c>
      <c r="Q355" t="s">
        <v>52</v>
      </c>
      <c r="R355">
        <v>5974</v>
      </c>
      <c r="S355">
        <v>4</v>
      </c>
      <c r="T355" t="s">
        <v>35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  <c r="AF355">
        <f t="shared" si="65"/>
        <v>0</v>
      </c>
      <c r="AG355">
        <f t="shared" si="66"/>
        <v>1</v>
      </c>
      <c r="AH355" t="str">
        <f t="shared" si="67"/>
        <v>Bachelor</v>
      </c>
      <c r="AI355" t="str">
        <f t="shared" si="68"/>
        <v>High</v>
      </c>
      <c r="AJ355" t="str">
        <f t="shared" si="69"/>
        <v>Very High</v>
      </c>
      <c r="AK355" t="str">
        <f t="shared" si="70"/>
        <v>Junior</v>
      </c>
      <c r="AL355" t="str">
        <f t="shared" si="71"/>
        <v>Low</v>
      </c>
      <c r="AM355" t="str">
        <f t="shared" si="72"/>
        <v>Low</v>
      </c>
      <c r="AN355" t="str">
        <f t="shared" si="73"/>
        <v>Medium</v>
      </c>
      <c r="AO355" t="str">
        <f t="shared" si="74"/>
        <v>Better</v>
      </c>
      <c r="AP355" t="str">
        <f t="shared" si="75"/>
        <v>35-44</v>
      </c>
      <c r="AQ355" t="str">
        <f t="shared" si="76"/>
        <v>Lower-Mid</v>
      </c>
      <c r="AR355" t="str">
        <f t="shared" si="77"/>
        <v>6-10 Years</v>
      </c>
    </row>
    <row r="356" spans="1:44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t="s">
        <v>39</v>
      </c>
      <c r="L356">
        <v>85</v>
      </c>
      <c r="M356">
        <v>3</v>
      </c>
      <c r="N356">
        <v>2</v>
      </c>
      <c r="O356" t="s">
        <v>40</v>
      </c>
      <c r="P356">
        <v>3</v>
      </c>
      <c r="Q356" t="s">
        <v>48</v>
      </c>
      <c r="R356">
        <v>4736</v>
      </c>
      <c r="S356">
        <v>7</v>
      </c>
      <c r="T356" t="s">
        <v>35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  <c r="AF356">
        <f t="shared" si="65"/>
        <v>0</v>
      </c>
      <c r="AG356">
        <f t="shared" si="66"/>
        <v>1</v>
      </c>
      <c r="AH356" t="str">
        <f t="shared" si="67"/>
        <v>College</v>
      </c>
      <c r="AI356" t="str">
        <f t="shared" si="68"/>
        <v>Very High</v>
      </c>
      <c r="AJ356" t="str">
        <f t="shared" si="69"/>
        <v>High</v>
      </c>
      <c r="AK356" t="str">
        <f t="shared" si="70"/>
        <v>Junior</v>
      </c>
      <c r="AL356" t="str">
        <f t="shared" si="71"/>
        <v>High</v>
      </c>
      <c r="AM356" t="str">
        <f t="shared" si="72"/>
        <v>Medium</v>
      </c>
      <c r="AN356" t="str">
        <f t="shared" si="73"/>
        <v>Low</v>
      </c>
      <c r="AO356" t="str">
        <f t="shared" si="74"/>
        <v>Best</v>
      </c>
      <c r="AP356" t="str">
        <f t="shared" si="75"/>
        <v>25-34</v>
      </c>
      <c r="AQ356" t="str">
        <f t="shared" si="76"/>
        <v>Lower-Mid</v>
      </c>
      <c r="AR356" t="str">
        <f t="shared" si="77"/>
        <v>0-2 Years</v>
      </c>
    </row>
    <row r="357" spans="1:44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46</v>
      </c>
      <c r="L357">
        <v>57</v>
      </c>
      <c r="M357">
        <v>3</v>
      </c>
      <c r="N357">
        <v>2</v>
      </c>
      <c r="O357" t="s">
        <v>40</v>
      </c>
      <c r="P357">
        <v>3</v>
      </c>
      <c r="Q357" t="s">
        <v>48</v>
      </c>
      <c r="R357">
        <v>5296</v>
      </c>
      <c r="S357">
        <v>1</v>
      </c>
      <c r="T357" t="s">
        <v>43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  <c r="AF357">
        <f t="shared" si="65"/>
        <v>0</v>
      </c>
      <c r="AG357">
        <f t="shared" si="66"/>
        <v>0</v>
      </c>
      <c r="AH357" t="str">
        <f t="shared" si="67"/>
        <v>Bachelor</v>
      </c>
      <c r="AI357" t="str">
        <f t="shared" si="68"/>
        <v>High</v>
      </c>
      <c r="AJ357" t="str">
        <f t="shared" si="69"/>
        <v>High</v>
      </c>
      <c r="AK357" t="str">
        <f t="shared" si="70"/>
        <v>Junior</v>
      </c>
      <c r="AL357" t="str">
        <f t="shared" si="71"/>
        <v>High</v>
      </c>
      <c r="AM357" t="str">
        <f t="shared" si="72"/>
        <v>Medium</v>
      </c>
      <c r="AN357" t="str">
        <f t="shared" si="73"/>
        <v>Low</v>
      </c>
      <c r="AO357" t="str">
        <f t="shared" si="74"/>
        <v>Better</v>
      </c>
      <c r="AP357" t="str">
        <f t="shared" si="75"/>
        <v>25-34</v>
      </c>
      <c r="AQ357" t="str">
        <f t="shared" si="76"/>
        <v>Lower-Mid</v>
      </c>
      <c r="AR357" t="str">
        <f t="shared" si="77"/>
        <v>6-10 Years</v>
      </c>
    </row>
    <row r="358" spans="1:44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98</v>
      </c>
      <c r="M358">
        <v>2</v>
      </c>
      <c r="N358">
        <v>2</v>
      </c>
      <c r="O358" t="s">
        <v>54</v>
      </c>
      <c r="P358">
        <v>4</v>
      </c>
      <c r="Q358" t="s">
        <v>41</v>
      </c>
      <c r="R358">
        <v>6781</v>
      </c>
      <c r="S358">
        <v>3</v>
      </c>
      <c r="T358" t="s">
        <v>43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  <c r="AF358">
        <f t="shared" si="65"/>
        <v>0</v>
      </c>
      <c r="AG358">
        <f t="shared" si="66"/>
        <v>0</v>
      </c>
      <c r="AH358" t="str">
        <f t="shared" si="67"/>
        <v>Master</v>
      </c>
      <c r="AI358" t="str">
        <f t="shared" si="68"/>
        <v>Low</v>
      </c>
      <c r="AJ358" t="str">
        <f t="shared" si="69"/>
        <v>Medium</v>
      </c>
      <c r="AK358" t="str">
        <f t="shared" si="70"/>
        <v>Junior</v>
      </c>
      <c r="AL358" t="str">
        <f t="shared" si="71"/>
        <v>Very High</v>
      </c>
      <c r="AM358" t="str">
        <f t="shared" si="72"/>
        <v>Medium</v>
      </c>
      <c r="AN358" t="str">
        <f t="shared" si="73"/>
        <v>No Options</v>
      </c>
      <c r="AO358" t="str">
        <f t="shared" si="74"/>
        <v>Better</v>
      </c>
      <c r="AP358" t="str">
        <f t="shared" si="75"/>
        <v>35-44</v>
      </c>
      <c r="AQ358" t="str">
        <f t="shared" si="76"/>
        <v>Lower-Mid</v>
      </c>
      <c r="AR358" t="str">
        <f t="shared" si="77"/>
        <v>0-2 Years</v>
      </c>
    </row>
    <row r="359" spans="1:44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t="s">
        <v>39</v>
      </c>
      <c r="L359">
        <v>99</v>
      </c>
      <c r="M359">
        <v>2</v>
      </c>
      <c r="N359">
        <v>1</v>
      </c>
      <c r="O359" t="s">
        <v>57</v>
      </c>
      <c r="P359">
        <v>2</v>
      </c>
      <c r="Q359" t="s">
        <v>41</v>
      </c>
      <c r="R359">
        <v>2174</v>
      </c>
      <c r="S359">
        <v>1</v>
      </c>
      <c r="T359" t="s">
        <v>35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  <c r="AF359">
        <f t="shared" si="65"/>
        <v>1</v>
      </c>
      <c r="AG359">
        <f t="shared" si="66"/>
        <v>1</v>
      </c>
      <c r="AH359" t="str">
        <f t="shared" si="67"/>
        <v>Below College</v>
      </c>
      <c r="AI359" t="str">
        <f t="shared" si="68"/>
        <v>Low</v>
      </c>
      <c r="AJ359" t="str">
        <f t="shared" si="69"/>
        <v>Medium</v>
      </c>
      <c r="AK359" t="str">
        <f t="shared" si="70"/>
        <v>Entry</v>
      </c>
      <c r="AL359" t="str">
        <f t="shared" si="71"/>
        <v>Medium</v>
      </c>
      <c r="AM359" t="str">
        <f t="shared" si="72"/>
        <v>High</v>
      </c>
      <c r="AN359" t="str">
        <f t="shared" si="73"/>
        <v>No Options</v>
      </c>
      <c r="AO359" t="str">
        <f t="shared" si="74"/>
        <v>Better</v>
      </c>
      <c r="AP359" t="str">
        <f t="shared" si="75"/>
        <v>Under 25</v>
      </c>
      <c r="AQ359" t="str">
        <f t="shared" si="76"/>
        <v>Low</v>
      </c>
      <c r="AR359" t="str">
        <f t="shared" si="77"/>
        <v>3-5 Years</v>
      </c>
    </row>
    <row r="360" spans="1:44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39</v>
      </c>
      <c r="L360">
        <v>45</v>
      </c>
      <c r="M360">
        <v>3</v>
      </c>
      <c r="N360">
        <v>2</v>
      </c>
      <c r="O360" t="s">
        <v>40</v>
      </c>
      <c r="P360">
        <v>4</v>
      </c>
      <c r="Q360" t="s">
        <v>41</v>
      </c>
      <c r="R360">
        <v>6653</v>
      </c>
      <c r="S360">
        <v>4</v>
      </c>
      <c r="T360" t="s">
        <v>43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  <c r="AF360">
        <f t="shared" si="65"/>
        <v>0</v>
      </c>
      <c r="AG360">
        <f t="shared" si="66"/>
        <v>0</v>
      </c>
      <c r="AH360" t="str">
        <f t="shared" si="67"/>
        <v>Doctor</v>
      </c>
      <c r="AI360" t="str">
        <f t="shared" si="68"/>
        <v>Very High</v>
      </c>
      <c r="AJ360" t="str">
        <f t="shared" si="69"/>
        <v>High</v>
      </c>
      <c r="AK360" t="str">
        <f t="shared" si="70"/>
        <v>Junior</v>
      </c>
      <c r="AL360" t="str">
        <f t="shared" si="71"/>
        <v>Very High</v>
      </c>
      <c r="AM360" t="str">
        <f t="shared" si="72"/>
        <v>Medium</v>
      </c>
      <c r="AN360" t="str">
        <f t="shared" si="73"/>
        <v>No Options</v>
      </c>
      <c r="AO360" t="str">
        <f t="shared" si="74"/>
        <v>Better</v>
      </c>
      <c r="AP360" t="str">
        <f t="shared" si="75"/>
        <v>35-44</v>
      </c>
      <c r="AQ360" t="str">
        <f t="shared" si="76"/>
        <v>Lower-Mid</v>
      </c>
      <c r="AR360" t="str">
        <f t="shared" si="77"/>
        <v>0-2 Years</v>
      </c>
    </row>
    <row r="361" spans="1:44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46</v>
      </c>
      <c r="L361">
        <v>48</v>
      </c>
      <c r="M361">
        <v>2</v>
      </c>
      <c r="N361">
        <v>3</v>
      </c>
      <c r="O361" t="s">
        <v>40</v>
      </c>
      <c r="P361">
        <v>4</v>
      </c>
      <c r="Q361" t="s">
        <v>48</v>
      </c>
      <c r="R361">
        <v>9699</v>
      </c>
      <c r="S361">
        <v>4</v>
      </c>
      <c r="T361" t="s">
        <v>43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  <c r="AF361">
        <f t="shared" si="65"/>
        <v>0</v>
      </c>
      <c r="AG361">
        <f t="shared" si="66"/>
        <v>0</v>
      </c>
      <c r="AH361" t="str">
        <f t="shared" si="67"/>
        <v>Master</v>
      </c>
      <c r="AI361" t="str">
        <f t="shared" si="68"/>
        <v>Low</v>
      </c>
      <c r="AJ361" t="str">
        <f t="shared" si="69"/>
        <v>Medium</v>
      </c>
      <c r="AK361" t="str">
        <f t="shared" si="70"/>
        <v>Mid-Level</v>
      </c>
      <c r="AL361" t="str">
        <f t="shared" si="71"/>
        <v>Very High</v>
      </c>
      <c r="AM361" t="str">
        <f t="shared" si="72"/>
        <v>Low</v>
      </c>
      <c r="AN361" t="str">
        <f t="shared" si="73"/>
        <v>Low</v>
      </c>
      <c r="AO361" t="str">
        <f t="shared" si="74"/>
        <v>Better</v>
      </c>
      <c r="AP361" t="str">
        <f t="shared" si="75"/>
        <v>35-44</v>
      </c>
      <c r="AQ361" t="str">
        <f t="shared" si="76"/>
        <v>Upper-Mid</v>
      </c>
      <c r="AR361" t="str">
        <f t="shared" si="77"/>
        <v>11-20 Years</v>
      </c>
    </row>
    <row r="362" spans="1:44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46</v>
      </c>
      <c r="L362">
        <v>88</v>
      </c>
      <c r="M362">
        <v>3</v>
      </c>
      <c r="N362">
        <v>2</v>
      </c>
      <c r="O362" t="s">
        <v>54</v>
      </c>
      <c r="P362">
        <v>3</v>
      </c>
      <c r="Q362" t="s">
        <v>48</v>
      </c>
      <c r="R362">
        <v>6755</v>
      </c>
      <c r="S362">
        <v>2</v>
      </c>
      <c r="T362" t="s">
        <v>43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  <c r="AF362">
        <f t="shared" si="65"/>
        <v>0</v>
      </c>
      <c r="AG362">
        <f t="shared" si="66"/>
        <v>0</v>
      </c>
      <c r="AH362" t="str">
        <f t="shared" si="67"/>
        <v>Master</v>
      </c>
      <c r="AI362" t="str">
        <f t="shared" si="68"/>
        <v>Very High</v>
      </c>
      <c r="AJ362" t="str">
        <f t="shared" si="69"/>
        <v>High</v>
      </c>
      <c r="AK362" t="str">
        <f t="shared" si="70"/>
        <v>Junior</v>
      </c>
      <c r="AL362" t="str">
        <f t="shared" si="71"/>
        <v>High</v>
      </c>
      <c r="AM362" t="str">
        <f t="shared" si="72"/>
        <v>High</v>
      </c>
      <c r="AN362" t="str">
        <f t="shared" si="73"/>
        <v>No Options</v>
      </c>
      <c r="AO362" t="str">
        <f t="shared" si="74"/>
        <v>Better</v>
      </c>
      <c r="AP362" t="str">
        <f t="shared" si="75"/>
        <v>55+</v>
      </c>
      <c r="AQ362" t="str">
        <f t="shared" si="76"/>
        <v>Lower-Mid</v>
      </c>
      <c r="AR362" t="str">
        <f t="shared" si="77"/>
        <v>3-5 Years</v>
      </c>
    </row>
    <row r="363" spans="1:44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46</v>
      </c>
      <c r="M363">
        <v>4</v>
      </c>
      <c r="N363">
        <v>1</v>
      </c>
      <c r="O363" t="s">
        <v>50</v>
      </c>
      <c r="P363">
        <v>3</v>
      </c>
      <c r="Q363" t="s">
        <v>48</v>
      </c>
      <c r="R363">
        <v>2213</v>
      </c>
      <c r="S363">
        <v>3</v>
      </c>
      <c r="T363" t="s">
        <v>35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  <c r="AF363">
        <f t="shared" si="65"/>
        <v>0</v>
      </c>
      <c r="AG363">
        <f t="shared" si="66"/>
        <v>1</v>
      </c>
      <c r="AH363" t="str">
        <f t="shared" si="67"/>
        <v>Master</v>
      </c>
      <c r="AI363" t="str">
        <f t="shared" si="68"/>
        <v>Very High</v>
      </c>
      <c r="AJ363" t="str">
        <f t="shared" si="69"/>
        <v>Very High</v>
      </c>
      <c r="AK363" t="str">
        <f t="shared" si="70"/>
        <v>Entry</v>
      </c>
      <c r="AL363" t="str">
        <f t="shared" si="71"/>
        <v>High</v>
      </c>
      <c r="AM363" t="str">
        <f t="shared" si="72"/>
        <v>High</v>
      </c>
      <c r="AN363" t="str">
        <f t="shared" si="73"/>
        <v>Low</v>
      </c>
      <c r="AO363" t="str">
        <f t="shared" si="74"/>
        <v>Better</v>
      </c>
      <c r="AP363" t="str">
        <f t="shared" si="75"/>
        <v>35-44</v>
      </c>
      <c r="AQ363" t="str">
        <f t="shared" si="76"/>
        <v>Low</v>
      </c>
      <c r="AR363" t="str">
        <f t="shared" si="77"/>
        <v>6-10 Years</v>
      </c>
    </row>
    <row r="364" spans="1:44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46</v>
      </c>
      <c r="L364">
        <v>39</v>
      </c>
      <c r="M364">
        <v>3</v>
      </c>
      <c r="N364">
        <v>1</v>
      </c>
      <c r="O364" t="s">
        <v>57</v>
      </c>
      <c r="P364">
        <v>4</v>
      </c>
      <c r="Q364" t="s">
        <v>41</v>
      </c>
      <c r="R364">
        <v>2610</v>
      </c>
      <c r="S364">
        <v>1</v>
      </c>
      <c r="T364" t="s">
        <v>43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  <c r="AF364">
        <f t="shared" si="65"/>
        <v>0</v>
      </c>
      <c r="AG364">
        <f t="shared" si="66"/>
        <v>0</v>
      </c>
      <c r="AH364" t="str">
        <f t="shared" si="67"/>
        <v>College</v>
      </c>
      <c r="AI364" t="str">
        <f t="shared" si="68"/>
        <v>Low</v>
      </c>
      <c r="AJ364" t="str">
        <f t="shared" si="69"/>
        <v>High</v>
      </c>
      <c r="AK364" t="str">
        <f t="shared" si="70"/>
        <v>Entry</v>
      </c>
      <c r="AL364" t="str">
        <f t="shared" si="71"/>
        <v>Very High</v>
      </c>
      <c r="AM364" t="str">
        <f t="shared" si="72"/>
        <v>High</v>
      </c>
      <c r="AN364" t="str">
        <f t="shared" si="73"/>
        <v>No Options</v>
      </c>
      <c r="AO364" t="str">
        <f t="shared" si="74"/>
        <v>Good</v>
      </c>
      <c r="AP364" t="str">
        <f t="shared" si="75"/>
        <v>Under 25</v>
      </c>
      <c r="AQ364" t="str">
        <f t="shared" si="76"/>
        <v>Low</v>
      </c>
      <c r="AR364" t="str">
        <f t="shared" si="77"/>
        <v>3-5 Years</v>
      </c>
    </row>
    <row r="365" spans="1:44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t="s">
        <v>39</v>
      </c>
      <c r="L365">
        <v>34</v>
      </c>
      <c r="M365">
        <v>3</v>
      </c>
      <c r="N365">
        <v>1</v>
      </c>
      <c r="O365" t="s">
        <v>57</v>
      </c>
      <c r="P365">
        <v>3</v>
      </c>
      <c r="Q365" t="s">
        <v>41</v>
      </c>
      <c r="R365">
        <v>2851</v>
      </c>
      <c r="S365">
        <v>1</v>
      </c>
      <c r="T365" t="s">
        <v>35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  <c r="AF365">
        <f t="shared" si="65"/>
        <v>1</v>
      </c>
      <c r="AG365">
        <f t="shared" si="66"/>
        <v>1</v>
      </c>
      <c r="AH365" t="str">
        <f t="shared" si="67"/>
        <v>Bachelor</v>
      </c>
      <c r="AI365" t="str">
        <f t="shared" si="68"/>
        <v>Very High</v>
      </c>
      <c r="AJ365" t="str">
        <f t="shared" si="69"/>
        <v>High</v>
      </c>
      <c r="AK365" t="str">
        <f t="shared" si="70"/>
        <v>Entry</v>
      </c>
      <c r="AL365" t="str">
        <f t="shared" si="71"/>
        <v>High</v>
      </c>
      <c r="AM365" t="str">
        <f t="shared" si="72"/>
        <v>Medium</v>
      </c>
      <c r="AN365" t="str">
        <f t="shared" si="73"/>
        <v>No Options</v>
      </c>
      <c r="AO365" t="str">
        <f t="shared" si="74"/>
        <v>Better</v>
      </c>
      <c r="AP365" t="str">
        <f t="shared" si="75"/>
        <v>25-34</v>
      </c>
      <c r="AQ365" t="str">
        <f t="shared" si="76"/>
        <v>Low</v>
      </c>
      <c r="AR365" t="str">
        <f t="shared" si="77"/>
        <v>0-2 Years</v>
      </c>
    </row>
    <row r="366" spans="1:44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39</v>
      </c>
      <c r="L366">
        <v>98</v>
      </c>
      <c r="M366">
        <v>3</v>
      </c>
      <c r="N366">
        <v>1</v>
      </c>
      <c r="O366" t="s">
        <v>50</v>
      </c>
      <c r="P366">
        <v>1</v>
      </c>
      <c r="Q366" t="s">
        <v>48</v>
      </c>
      <c r="R366">
        <v>3452</v>
      </c>
      <c r="S366">
        <v>6</v>
      </c>
      <c r="T366" t="s">
        <v>43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  <c r="AF366">
        <f t="shared" si="65"/>
        <v>0</v>
      </c>
      <c r="AG366">
        <f t="shared" si="66"/>
        <v>0</v>
      </c>
      <c r="AH366" t="str">
        <f t="shared" si="67"/>
        <v>Bachelor</v>
      </c>
      <c r="AI366" t="str">
        <f t="shared" si="68"/>
        <v>High</v>
      </c>
      <c r="AJ366" t="str">
        <f t="shared" si="69"/>
        <v>High</v>
      </c>
      <c r="AK366" t="str">
        <f t="shared" si="70"/>
        <v>Entry</v>
      </c>
      <c r="AL366" t="str">
        <f t="shared" si="71"/>
        <v>Low</v>
      </c>
      <c r="AM366" t="str">
        <f t="shared" si="72"/>
        <v>Medium</v>
      </c>
      <c r="AN366" t="str">
        <f t="shared" si="73"/>
        <v>Low</v>
      </c>
      <c r="AO366" t="str">
        <f t="shared" si="74"/>
        <v>Better</v>
      </c>
      <c r="AP366" t="str">
        <f t="shared" si="75"/>
        <v>35-44</v>
      </c>
      <c r="AQ366" t="str">
        <f t="shared" si="76"/>
        <v>Lower-Mid</v>
      </c>
      <c r="AR366" t="str">
        <f t="shared" si="77"/>
        <v>3-5 Years</v>
      </c>
    </row>
    <row r="367" spans="1:44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39</v>
      </c>
      <c r="L367">
        <v>30</v>
      </c>
      <c r="M367">
        <v>3</v>
      </c>
      <c r="N367">
        <v>2</v>
      </c>
      <c r="O367" t="s">
        <v>53</v>
      </c>
      <c r="P367">
        <v>3</v>
      </c>
      <c r="Q367" t="s">
        <v>48</v>
      </c>
      <c r="R367">
        <v>5258</v>
      </c>
      <c r="S367">
        <v>2</v>
      </c>
      <c r="T367" t="s">
        <v>43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  <c r="AF367">
        <f t="shared" si="65"/>
        <v>0</v>
      </c>
      <c r="AG367">
        <f t="shared" si="66"/>
        <v>0</v>
      </c>
      <c r="AH367" t="str">
        <f t="shared" si="67"/>
        <v>Master</v>
      </c>
      <c r="AI367" t="str">
        <f t="shared" si="68"/>
        <v>High</v>
      </c>
      <c r="AJ367" t="str">
        <f t="shared" si="69"/>
        <v>High</v>
      </c>
      <c r="AK367" t="str">
        <f t="shared" si="70"/>
        <v>Junior</v>
      </c>
      <c r="AL367" t="str">
        <f t="shared" si="71"/>
        <v>High</v>
      </c>
      <c r="AM367" t="str">
        <f t="shared" si="72"/>
        <v>High</v>
      </c>
      <c r="AN367" t="str">
        <f t="shared" si="73"/>
        <v>No Options</v>
      </c>
      <c r="AO367" t="str">
        <f t="shared" si="74"/>
        <v>Best</v>
      </c>
      <c r="AP367" t="str">
        <f t="shared" si="75"/>
        <v>45-54</v>
      </c>
      <c r="AQ367" t="str">
        <f t="shared" si="76"/>
        <v>Lower-Mid</v>
      </c>
      <c r="AR367" t="str">
        <f t="shared" si="77"/>
        <v>0-2 Years</v>
      </c>
    </row>
    <row r="368" spans="1:44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t="s">
        <v>46</v>
      </c>
      <c r="L368">
        <v>56</v>
      </c>
      <c r="M368">
        <v>3</v>
      </c>
      <c r="N368">
        <v>2</v>
      </c>
      <c r="O368" t="s">
        <v>40</v>
      </c>
      <c r="P368">
        <v>2</v>
      </c>
      <c r="Q368" t="s">
        <v>41</v>
      </c>
      <c r="R368">
        <v>9355</v>
      </c>
      <c r="S368">
        <v>1</v>
      </c>
      <c r="T368" t="s">
        <v>43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  <c r="AF368">
        <f t="shared" si="65"/>
        <v>1</v>
      </c>
      <c r="AG368">
        <f t="shared" si="66"/>
        <v>0</v>
      </c>
      <c r="AH368" t="str">
        <f t="shared" si="67"/>
        <v>Bachelor</v>
      </c>
      <c r="AI368" t="str">
        <f t="shared" si="68"/>
        <v>Low</v>
      </c>
      <c r="AJ368" t="str">
        <f t="shared" si="69"/>
        <v>High</v>
      </c>
      <c r="AK368" t="str">
        <f t="shared" si="70"/>
        <v>Junior</v>
      </c>
      <c r="AL368" t="str">
        <f t="shared" si="71"/>
        <v>Medium</v>
      </c>
      <c r="AM368" t="str">
        <f t="shared" si="72"/>
        <v>High</v>
      </c>
      <c r="AN368" t="str">
        <f t="shared" si="73"/>
        <v>No Options</v>
      </c>
      <c r="AO368" t="str">
        <f t="shared" si="74"/>
        <v>Better</v>
      </c>
      <c r="AP368" t="str">
        <f t="shared" si="75"/>
        <v>35-44</v>
      </c>
      <c r="AQ368" t="str">
        <f t="shared" si="76"/>
        <v>Upper-Mid</v>
      </c>
      <c r="AR368" t="str">
        <f t="shared" si="77"/>
        <v>6-10 Years</v>
      </c>
    </row>
    <row r="369" spans="1:44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t="s">
        <v>46</v>
      </c>
      <c r="L369">
        <v>100</v>
      </c>
      <c r="M369">
        <v>2</v>
      </c>
      <c r="N369">
        <v>3</v>
      </c>
      <c r="O369" t="s">
        <v>54</v>
      </c>
      <c r="P369">
        <v>4</v>
      </c>
      <c r="Q369" t="s">
        <v>41</v>
      </c>
      <c r="R369">
        <v>10496</v>
      </c>
      <c r="S369">
        <v>6</v>
      </c>
      <c r="T369" t="s">
        <v>43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  <c r="AF369">
        <f t="shared" si="65"/>
        <v>0</v>
      </c>
      <c r="AG369">
        <f t="shared" si="66"/>
        <v>0</v>
      </c>
      <c r="AH369" t="str">
        <f t="shared" si="67"/>
        <v>Bachelor</v>
      </c>
      <c r="AI369" t="str">
        <f t="shared" si="68"/>
        <v>Very High</v>
      </c>
      <c r="AJ369" t="str">
        <f t="shared" si="69"/>
        <v>Medium</v>
      </c>
      <c r="AK369" t="str">
        <f t="shared" si="70"/>
        <v>Mid-Level</v>
      </c>
      <c r="AL369" t="str">
        <f t="shared" si="71"/>
        <v>Very High</v>
      </c>
      <c r="AM369" t="str">
        <f t="shared" si="72"/>
        <v>Very High</v>
      </c>
      <c r="AN369" t="str">
        <f t="shared" si="73"/>
        <v>No Options</v>
      </c>
      <c r="AO369" t="str">
        <f t="shared" si="74"/>
        <v>Better</v>
      </c>
      <c r="AP369" t="str">
        <f t="shared" si="75"/>
        <v>45-54</v>
      </c>
      <c r="AQ369" t="str">
        <f t="shared" si="76"/>
        <v>Upper-Mid</v>
      </c>
      <c r="AR369" t="str">
        <f t="shared" si="77"/>
        <v>3-5 Years</v>
      </c>
    </row>
    <row r="370" spans="1:44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t="s">
        <v>46</v>
      </c>
      <c r="L370">
        <v>68</v>
      </c>
      <c r="M370">
        <v>2</v>
      </c>
      <c r="N370">
        <v>2</v>
      </c>
      <c r="O370" t="s">
        <v>40</v>
      </c>
      <c r="P370">
        <v>3</v>
      </c>
      <c r="Q370" t="s">
        <v>48</v>
      </c>
      <c r="R370">
        <v>6380</v>
      </c>
      <c r="S370">
        <v>2</v>
      </c>
      <c r="T370" t="s">
        <v>35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  <c r="AF370">
        <f t="shared" si="65"/>
        <v>1</v>
      </c>
      <c r="AG370">
        <f t="shared" si="66"/>
        <v>1</v>
      </c>
      <c r="AH370" t="str">
        <f t="shared" si="67"/>
        <v>College</v>
      </c>
      <c r="AI370" t="str">
        <f t="shared" si="68"/>
        <v>High</v>
      </c>
      <c r="AJ370" t="str">
        <f t="shared" si="69"/>
        <v>Medium</v>
      </c>
      <c r="AK370" t="str">
        <f t="shared" si="70"/>
        <v>Junior</v>
      </c>
      <c r="AL370" t="str">
        <f t="shared" si="71"/>
        <v>High</v>
      </c>
      <c r="AM370" t="str">
        <f t="shared" si="72"/>
        <v>Low</v>
      </c>
      <c r="AN370" t="str">
        <f t="shared" si="73"/>
        <v>Medium</v>
      </c>
      <c r="AO370" t="str">
        <f t="shared" si="74"/>
        <v>Better</v>
      </c>
      <c r="AP370" t="str">
        <f t="shared" si="75"/>
        <v>35-44</v>
      </c>
      <c r="AQ370" t="str">
        <f t="shared" si="76"/>
        <v>Lower-Mid</v>
      </c>
      <c r="AR370" t="str">
        <f t="shared" si="77"/>
        <v>6-10 Years</v>
      </c>
    </row>
    <row r="371" spans="1:44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46</v>
      </c>
      <c r="L371">
        <v>42</v>
      </c>
      <c r="M371">
        <v>2</v>
      </c>
      <c r="N371">
        <v>1</v>
      </c>
      <c r="O371" t="s">
        <v>47</v>
      </c>
      <c r="P371">
        <v>2</v>
      </c>
      <c r="Q371" t="s">
        <v>41</v>
      </c>
      <c r="R371">
        <v>2657</v>
      </c>
      <c r="S371">
        <v>0</v>
      </c>
      <c r="T371" t="s">
        <v>35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  <c r="AF371">
        <f t="shared" si="65"/>
        <v>0</v>
      </c>
      <c r="AG371">
        <f t="shared" si="66"/>
        <v>1</v>
      </c>
      <c r="AH371" t="str">
        <f t="shared" si="67"/>
        <v>Master</v>
      </c>
      <c r="AI371" t="str">
        <f t="shared" si="68"/>
        <v>High</v>
      </c>
      <c r="AJ371" t="str">
        <f t="shared" si="69"/>
        <v>Medium</v>
      </c>
      <c r="AK371" t="str">
        <f t="shared" si="70"/>
        <v>Entry</v>
      </c>
      <c r="AL371" t="str">
        <f t="shared" si="71"/>
        <v>Medium</v>
      </c>
      <c r="AM371" t="str">
        <f t="shared" si="72"/>
        <v>Very High</v>
      </c>
      <c r="AN371" t="str">
        <f t="shared" si="73"/>
        <v>No Options</v>
      </c>
      <c r="AO371" t="str">
        <f t="shared" si="74"/>
        <v>Better</v>
      </c>
      <c r="AP371" t="str">
        <f t="shared" si="75"/>
        <v>25-34</v>
      </c>
      <c r="AQ371" t="str">
        <f t="shared" si="76"/>
        <v>Low</v>
      </c>
      <c r="AR371" t="str">
        <f t="shared" si="77"/>
        <v>0-2 Years</v>
      </c>
    </row>
    <row r="372" spans="1:44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90</v>
      </c>
      <c r="M372">
        <v>4</v>
      </c>
      <c r="N372">
        <v>1</v>
      </c>
      <c r="O372" t="s">
        <v>57</v>
      </c>
      <c r="P372">
        <v>2</v>
      </c>
      <c r="Q372" t="s">
        <v>41</v>
      </c>
      <c r="R372">
        <v>2716</v>
      </c>
      <c r="S372">
        <v>1</v>
      </c>
      <c r="T372" t="s">
        <v>43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  <c r="AF372">
        <f t="shared" si="65"/>
        <v>1</v>
      </c>
      <c r="AG372">
        <f t="shared" si="66"/>
        <v>0</v>
      </c>
      <c r="AH372" t="str">
        <f t="shared" si="67"/>
        <v>Bachelor</v>
      </c>
      <c r="AI372" t="str">
        <f t="shared" si="68"/>
        <v>High</v>
      </c>
      <c r="AJ372" t="str">
        <f t="shared" si="69"/>
        <v>Very High</v>
      </c>
      <c r="AK372" t="str">
        <f t="shared" si="70"/>
        <v>Entry</v>
      </c>
      <c r="AL372" t="str">
        <f t="shared" si="71"/>
        <v>Medium</v>
      </c>
      <c r="AM372" t="str">
        <f t="shared" si="72"/>
        <v>Very High</v>
      </c>
      <c r="AN372" t="str">
        <f t="shared" si="73"/>
        <v>No Options</v>
      </c>
      <c r="AO372" t="str">
        <f t="shared" si="74"/>
        <v>Better</v>
      </c>
      <c r="AP372" t="str">
        <f t="shared" si="75"/>
        <v>Under 25</v>
      </c>
      <c r="AQ372" t="str">
        <f t="shared" si="76"/>
        <v>Low</v>
      </c>
      <c r="AR372" t="str">
        <f t="shared" si="77"/>
        <v>0-2 Years</v>
      </c>
    </row>
    <row r="373" spans="1:44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46</v>
      </c>
      <c r="L373">
        <v>54</v>
      </c>
      <c r="M373">
        <v>3</v>
      </c>
      <c r="N373">
        <v>1</v>
      </c>
      <c r="O373" t="s">
        <v>47</v>
      </c>
      <c r="P373">
        <v>4</v>
      </c>
      <c r="Q373" t="s">
        <v>41</v>
      </c>
      <c r="R373">
        <v>2201</v>
      </c>
      <c r="S373">
        <v>9</v>
      </c>
      <c r="T373" t="s">
        <v>43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  <c r="AF373">
        <f t="shared" si="65"/>
        <v>0</v>
      </c>
      <c r="AG373">
        <f t="shared" si="66"/>
        <v>0</v>
      </c>
      <c r="AH373" t="str">
        <f t="shared" si="67"/>
        <v>Bachelor</v>
      </c>
      <c r="AI373" t="str">
        <f t="shared" si="68"/>
        <v>Very High</v>
      </c>
      <c r="AJ373" t="str">
        <f t="shared" si="69"/>
        <v>High</v>
      </c>
      <c r="AK373" t="str">
        <f t="shared" si="70"/>
        <v>Entry</v>
      </c>
      <c r="AL373" t="str">
        <f t="shared" si="71"/>
        <v>Very High</v>
      </c>
      <c r="AM373" t="str">
        <f t="shared" si="72"/>
        <v>Very High</v>
      </c>
      <c r="AN373" t="str">
        <f t="shared" si="73"/>
        <v>No Options</v>
      </c>
      <c r="AO373" t="str">
        <f t="shared" si="74"/>
        <v>Better</v>
      </c>
      <c r="AP373" t="str">
        <f t="shared" si="75"/>
        <v>25-34</v>
      </c>
      <c r="AQ373" t="str">
        <f t="shared" si="76"/>
        <v>Low</v>
      </c>
      <c r="AR373" t="str">
        <f t="shared" si="77"/>
        <v>3-5 Years</v>
      </c>
    </row>
    <row r="374" spans="1:44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46</v>
      </c>
      <c r="L374">
        <v>97</v>
      </c>
      <c r="M374">
        <v>2</v>
      </c>
      <c r="N374">
        <v>2</v>
      </c>
      <c r="O374" t="s">
        <v>54</v>
      </c>
      <c r="P374">
        <v>2</v>
      </c>
      <c r="Q374" t="s">
        <v>41</v>
      </c>
      <c r="R374">
        <v>6540</v>
      </c>
      <c r="S374">
        <v>9</v>
      </c>
      <c r="T374" t="s">
        <v>43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  <c r="AF374">
        <f t="shared" si="65"/>
        <v>0</v>
      </c>
      <c r="AG374">
        <f t="shared" si="66"/>
        <v>0</v>
      </c>
      <c r="AH374" t="str">
        <f t="shared" si="67"/>
        <v>Master</v>
      </c>
      <c r="AI374" t="str">
        <f t="shared" si="68"/>
        <v>High</v>
      </c>
      <c r="AJ374" t="str">
        <f t="shared" si="69"/>
        <v>Medium</v>
      </c>
      <c r="AK374" t="str">
        <f t="shared" si="70"/>
        <v>Junior</v>
      </c>
      <c r="AL374" t="str">
        <f t="shared" si="71"/>
        <v>Medium</v>
      </c>
      <c r="AM374" t="str">
        <f t="shared" si="72"/>
        <v>High</v>
      </c>
      <c r="AN374" t="str">
        <f t="shared" si="73"/>
        <v>No Options</v>
      </c>
      <c r="AO374" t="str">
        <f t="shared" si="74"/>
        <v>Better</v>
      </c>
      <c r="AP374" t="str">
        <f t="shared" si="75"/>
        <v>35-44</v>
      </c>
      <c r="AQ374" t="str">
        <f t="shared" si="76"/>
        <v>Lower-Mid</v>
      </c>
      <c r="AR374" t="str">
        <f t="shared" si="77"/>
        <v>0-2 Years</v>
      </c>
    </row>
    <row r="375" spans="1:44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46</v>
      </c>
      <c r="L375">
        <v>82</v>
      </c>
      <c r="M375">
        <v>3</v>
      </c>
      <c r="N375">
        <v>1</v>
      </c>
      <c r="O375" t="s">
        <v>50</v>
      </c>
      <c r="P375">
        <v>2</v>
      </c>
      <c r="Q375" t="s">
        <v>52</v>
      </c>
      <c r="R375">
        <v>3816</v>
      </c>
      <c r="S375">
        <v>1</v>
      </c>
      <c r="T375" t="s">
        <v>43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  <c r="AF375">
        <f t="shared" si="65"/>
        <v>0</v>
      </c>
      <c r="AG375">
        <f t="shared" si="66"/>
        <v>0</v>
      </c>
      <c r="AH375" t="str">
        <f t="shared" si="67"/>
        <v>College</v>
      </c>
      <c r="AI375" t="str">
        <f t="shared" si="68"/>
        <v>Very High</v>
      </c>
      <c r="AJ375" t="str">
        <f t="shared" si="69"/>
        <v>High</v>
      </c>
      <c r="AK375" t="str">
        <f t="shared" si="70"/>
        <v>Entry</v>
      </c>
      <c r="AL375" t="str">
        <f t="shared" si="71"/>
        <v>Medium</v>
      </c>
      <c r="AM375" t="str">
        <f t="shared" si="72"/>
        <v>Medium</v>
      </c>
      <c r="AN375" t="str">
        <f t="shared" si="73"/>
        <v>Low</v>
      </c>
      <c r="AO375" t="str">
        <f t="shared" si="74"/>
        <v>Better</v>
      </c>
      <c r="AP375" t="str">
        <f t="shared" si="75"/>
        <v>25-34</v>
      </c>
      <c r="AQ375" t="str">
        <f t="shared" si="76"/>
        <v>Lower-Mid</v>
      </c>
      <c r="AR375" t="str">
        <f t="shared" si="77"/>
        <v>3-5 Years</v>
      </c>
    </row>
    <row r="376" spans="1:44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46</v>
      </c>
      <c r="L376">
        <v>92</v>
      </c>
      <c r="M376">
        <v>3</v>
      </c>
      <c r="N376">
        <v>2</v>
      </c>
      <c r="O376" t="s">
        <v>40</v>
      </c>
      <c r="P376">
        <v>4</v>
      </c>
      <c r="Q376" t="s">
        <v>41</v>
      </c>
      <c r="R376">
        <v>5253</v>
      </c>
      <c r="S376">
        <v>1</v>
      </c>
      <c r="T376" t="s">
        <v>43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  <c r="AF376">
        <f t="shared" si="65"/>
        <v>0</v>
      </c>
      <c r="AG376">
        <f t="shared" si="66"/>
        <v>0</v>
      </c>
      <c r="AH376" t="str">
        <f t="shared" si="67"/>
        <v>Master</v>
      </c>
      <c r="AI376" t="str">
        <f t="shared" si="68"/>
        <v>Medium</v>
      </c>
      <c r="AJ376" t="str">
        <f t="shared" si="69"/>
        <v>High</v>
      </c>
      <c r="AK376" t="str">
        <f t="shared" si="70"/>
        <v>Junior</v>
      </c>
      <c r="AL376" t="str">
        <f t="shared" si="71"/>
        <v>Very High</v>
      </c>
      <c r="AM376" t="str">
        <f t="shared" si="72"/>
        <v>Very High</v>
      </c>
      <c r="AN376" t="str">
        <f t="shared" si="73"/>
        <v>No Options</v>
      </c>
      <c r="AO376" t="str">
        <f t="shared" si="74"/>
        <v>Better</v>
      </c>
      <c r="AP376" t="str">
        <f t="shared" si="75"/>
        <v>25-34</v>
      </c>
      <c r="AQ376" t="str">
        <f t="shared" si="76"/>
        <v>Lower-Mid</v>
      </c>
      <c r="AR376" t="str">
        <f t="shared" si="77"/>
        <v>6-10 Years</v>
      </c>
    </row>
    <row r="377" spans="1:44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31</v>
      </c>
      <c r="M377">
        <v>2</v>
      </c>
      <c r="N377">
        <v>3</v>
      </c>
      <c r="O377" t="s">
        <v>54</v>
      </c>
      <c r="P377">
        <v>3</v>
      </c>
      <c r="Q377" t="s">
        <v>41</v>
      </c>
      <c r="R377">
        <v>10965</v>
      </c>
      <c r="S377">
        <v>8</v>
      </c>
      <c r="T377" t="s">
        <v>43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  <c r="AF377">
        <f t="shared" si="65"/>
        <v>0</v>
      </c>
      <c r="AG377">
        <f t="shared" si="66"/>
        <v>0</v>
      </c>
      <c r="AH377" t="str">
        <f t="shared" si="67"/>
        <v>Bachelor</v>
      </c>
      <c r="AI377" t="str">
        <f t="shared" si="68"/>
        <v>Medium</v>
      </c>
      <c r="AJ377" t="str">
        <f t="shared" si="69"/>
        <v>Medium</v>
      </c>
      <c r="AK377" t="str">
        <f t="shared" si="70"/>
        <v>Mid-Level</v>
      </c>
      <c r="AL377" t="str">
        <f t="shared" si="71"/>
        <v>High</v>
      </c>
      <c r="AM377" t="str">
        <f t="shared" si="72"/>
        <v>High</v>
      </c>
      <c r="AN377" t="str">
        <f t="shared" si="73"/>
        <v>No Options</v>
      </c>
      <c r="AO377" t="str">
        <f t="shared" si="74"/>
        <v>Better</v>
      </c>
      <c r="AP377" t="str">
        <f t="shared" si="75"/>
        <v>45-54</v>
      </c>
      <c r="AQ377" t="str">
        <f t="shared" si="76"/>
        <v>Upper-Mid</v>
      </c>
      <c r="AR377" t="str">
        <f t="shared" si="77"/>
        <v>3-5 Years</v>
      </c>
    </row>
    <row r="378" spans="1:44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87</v>
      </c>
      <c r="M378">
        <v>3</v>
      </c>
      <c r="N378">
        <v>2</v>
      </c>
      <c r="O378" t="s">
        <v>40</v>
      </c>
      <c r="P378">
        <v>4</v>
      </c>
      <c r="Q378" t="s">
        <v>48</v>
      </c>
      <c r="R378">
        <v>4936</v>
      </c>
      <c r="S378">
        <v>4</v>
      </c>
      <c r="T378" t="s">
        <v>43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  <c r="AF378">
        <f t="shared" si="65"/>
        <v>0</v>
      </c>
      <c r="AG378">
        <f t="shared" si="66"/>
        <v>0</v>
      </c>
      <c r="AH378" t="str">
        <f t="shared" si="67"/>
        <v>College</v>
      </c>
      <c r="AI378" t="str">
        <f t="shared" si="68"/>
        <v>High</v>
      </c>
      <c r="AJ378" t="str">
        <f t="shared" si="69"/>
        <v>High</v>
      </c>
      <c r="AK378" t="str">
        <f t="shared" si="70"/>
        <v>Junior</v>
      </c>
      <c r="AL378" t="str">
        <f t="shared" si="71"/>
        <v>Very High</v>
      </c>
      <c r="AM378" t="str">
        <f t="shared" si="72"/>
        <v>High</v>
      </c>
      <c r="AN378" t="str">
        <f t="shared" si="73"/>
        <v>Low</v>
      </c>
      <c r="AO378" t="str">
        <f t="shared" si="74"/>
        <v>Good</v>
      </c>
      <c r="AP378" t="str">
        <f t="shared" si="75"/>
        <v>45-54</v>
      </c>
      <c r="AQ378" t="str">
        <f t="shared" si="76"/>
        <v>Lower-Mid</v>
      </c>
      <c r="AR378" t="str">
        <f t="shared" si="77"/>
        <v>6-10 Years</v>
      </c>
    </row>
    <row r="379" spans="1:44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96</v>
      </c>
      <c r="M379">
        <v>3</v>
      </c>
      <c r="N379">
        <v>1</v>
      </c>
      <c r="O379" t="s">
        <v>47</v>
      </c>
      <c r="P379">
        <v>3</v>
      </c>
      <c r="Q379" t="s">
        <v>48</v>
      </c>
      <c r="R379">
        <v>2543</v>
      </c>
      <c r="S379">
        <v>4</v>
      </c>
      <c r="T379" t="s">
        <v>43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  <c r="AF379">
        <f t="shared" si="65"/>
        <v>0</v>
      </c>
      <c r="AG379">
        <f t="shared" si="66"/>
        <v>0</v>
      </c>
      <c r="AH379" t="str">
        <f t="shared" si="67"/>
        <v>Bachelor</v>
      </c>
      <c r="AI379" t="str">
        <f t="shared" si="68"/>
        <v>Very High</v>
      </c>
      <c r="AJ379" t="str">
        <f t="shared" si="69"/>
        <v>High</v>
      </c>
      <c r="AK379" t="str">
        <f t="shared" si="70"/>
        <v>Entry</v>
      </c>
      <c r="AL379" t="str">
        <f t="shared" si="71"/>
        <v>High</v>
      </c>
      <c r="AM379" t="str">
        <f t="shared" si="72"/>
        <v>Medium</v>
      </c>
      <c r="AN379" t="str">
        <f t="shared" si="73"/>
        <v>Low</v>
      </c>
      <c r="AO379" t="str">
        <f t="shared" si="74"/>
        <v>Better</v>
      </c>
      <c r="AP379" t="str">
        <f t="shared" si="75"/>
        <v>35-44</v>
      </c>
      <c r="AQ379" t="str">
        <f t="shared" si="76"/>
        <v>Low</v>
      </c>
      <c r="AR379" t="str">
        <f t="shared" si="77"/>
        <v>0-2 Years</v>
      </c>
    </row>
    <row r="380" spans="1:44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t="s">
        <v>46</v>
      </c>
      <c r="L380">
        <v>67</v>
      </c>
      <c r="M380">
        <v>4</v>
      </c>
      <c r="N380">
        <v>2</v>
      </c>
      <c r="O380" t="s">
        <v>40</v>
      </c>
      <c r="P380">
        <v>4</v>
      </c>
      <c r="Q380" t="s">
        <v>41</v>
      </c>
      <c r="R380">
        <v>5304</v>
      </c>
      <c r="S380">
        <v>8</v>
      </c>
      <c r="T380" t="s">
        <v>35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  <c r="AF380">
        <f t="shared" si="65"/>
        <v>1</v>
      </c>
      <c r="AG380">
        <f t="shared" si="66"/>
        <v>1</v>
      </c>
      <c r="AH380" t="str">
        <f t="shared" si="67"/>
        <v>Bachelor</v>
      </c>
      <c r="AI380" t="str">
        <f t="shared" si="68"/>
        <v>Low</v>
      </c>
      <c r="AJ380" t="str">
        <f t="shared" si="69"/>
        <v>Very High</v>
      </c>
      <c r="AK380" t="str">
        <f t="shared" si="70"/>
        <v>Junior</v>
      </c>
      <c r="AL380" t="str">
        <f t="shared" si="71"/>
        <v>Very High</v>
      </c>
      <c r="AM380" t="str">
        <f t="shared" si="72"/>
        <v>Medium</v>
      </c>
      <c r="AN380" t="str">
        <f t="shared" si="73"/>
        <v>No Options</v>
      </c>
      <c r="AO380" t="str">
        <f t="shared" si="74"/>
        <v>Good</v>
      </c>
      <c r="AP380" t="str">
        <f t="shared" si="75"/>
        <v>25-34</v>
      </c>
      <c r="AQ380" t="str">
        <f t="shared" si="76"/>
        <v>Lower-Mid</v>
      </c>
      <c r="AR380" t="str">
        <f t="shared" si="77"/>
        <v>3-5 Years</v>
      </c>
    </row>
    <row r="381" spans="1:44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97</v>
      </c>
      <c r="M381">
        <v>3</v>
      </c>
      <c r="N381">
        <v>4</v>
      </c>
      <c r="O381" t="s">
        <v>56</v>
      </c>
      <c r="P381">
        <v>4</v>
      </c>
      <c r="Q381" t="s">
        <v>41</v>
      </c>
      <c r="R381">
        <v>16659</v>
      </c>
      <c r="S381">
        <v>2</v>
      </c>
      <c r="T381" t="s">
        <v>35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  <c r="AF381">
        <f t="shared" si="65"/>
        <v>0</v>
      </c>
      <c r="AG381">
        <f t="shared" si="66"/>
        <v>1</v>
      </c>
      <c r="AH381" t="str">
        <f t="shared" si="67"/>
        <v>Bachelor</v>
      </c>
      <c r="AI381" t="str">
        <f t="shared" si="68"/>
        <v>High</v>
      </c>
      <c r="AJ381" t="str">
        <f t="shared" si="69"/>
        <v>High</v>
      </c>
      <c r="AK381" t="str">
        <f t="shared" si="70"/>
        <v>Senior</v>
      </c>
      <c r="AL381" t="str">
        <f t="shared" si="71"/>
        <v>Very High</v>
      </c>
      <c r="AM381" t="str">
        <f t="shared" si="72"/>
        <v>High</v>
      </c>
      <c r="AN381" t="str">
        <f t="shared" si="73"/>
        <v>No Options</v>
      </c>
      <c r="AO381" t="str">
        <f t="shared" si="74"/>
        <v>Better</v>
      </c>
      <c r="AP381" t="str">
        <f t="shared" si="75"/>
        <v>55+</v>
      </c>
      <c r="AQ381" t="str">
        <f t="shared" si="76"/>
        <v>High</v>
      </c>
      <c r="AR381" t="str">
        <f t="shared" si="77"/>
        <v>3-5 Years</v>
      </c>
    </row>
    <row r="382" spans="1:44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t="s">
        <v>39</v>
      </c>
      <c r="L382">
        <v>77</v>
      </c>
      <c r="M382">
        <v>3</v>
      </c>
      <c r="N382">
        <v>2</v>
      </c>
      <c r="O382" t="s">
        <v>40</v>
      </c>
      <c r="P382">
        <v>3</v>
      </c>
      <c r="Q382" t="s">
        <v>52</v>
      </c>
      <c r="R382">
        <v>4260</v>
      </c>
      <c r="S382">
        <v>1</v>
      </c>
      <c r="T382" t="s">
        <v>35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  <c r="AF382">
        <f t="shared" si="65"/>
        <v>0</v>
      </c>
      <c r="AG382">
        <f t="shared" si="66"/>
        <v>1</v>
      </c>
      <c r="AH382" t="str">
        <f t="shared" si="67"/>
        <v>Master</v>
      </c>
      <c r="AI382" t="str">
        <f t="shared" si="68"/>
        <v>Very High</v>
      </c>
      <c r="AJ382" t="str">
        <f t="shared" si="69"/>
        <v>High</v>
      </c>
      <c r="AK382" t="str">
        <f t="shared" si="70"/>
        <v>Junior</v>
      </c>
      <c r="AL382" t="str">
        <f t="shared" si="71"/>
        <v>High</v>
      </c>
      <c r="AM382" t="str">
        <f t="shared" si="72"/>
        <v>Very High</v>
      </c>
      <c r="AN382" t="str">
        <f t="shared" si="73"/>
        <v>Low</v>
      </c>
      <c r="AO382" t="str">
        <f t="shared" si="74"/>
        <v>Best</v>
      </c>
      <c r="AP382" t="str">
        <f t="shared" si="75"/>
        <v>Under 25</v>
      </c>
      <c r="AQ382" t="str">
        <f t="shared" si="76"/>
        <v>Lower-Mid</v>
      </c>
      <c r="AR382" t="str">
        <f t="shared" si="77"/>
        <v>3-5 Years</v>
      </c>
    </row>
    <row r="383" spans="1:44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t="s">
        <v>46</v>
      </c>
      <c r="L383">
        <v>72</v>
      </c>
      <c r="M383">
        <v>3</v>
      </c>
      <c r="N383">
        <v>1</v>
      </c>
      <c r="O383" t="s">
        <v>57</v>
      </c>
      <c r="P383">
        <v>2</v>
      </c>
      <c r="Q383" t="s">
        <v>48</v>
      </c>
      <c r="R383">
        <v>2476</v>
      </c>
      <c r="S383">
        <v>1</v>
      </c>
      <c r="T383" t="s">
        <v>43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  <c r="AF383">
        <f t="shared" si="65"/>
        <v>0</v>
      </c>
      <c r="AG383">
        <f t="shared" si="66"/>
        <v>0</v>
      </c>
      <c r="AH383" t="str">
        <f t="shared" si="67"/>
        <v>Below College</v>
      </c>
      <c r="AI383" t="str">
        <f t="shared" si="68"/>
        <v>High</v>
      </c>
      <c r="AJ383" t="str">
        <f t="shared" si="69"/>
        <v>High</v>
      </c>
      <c r="AK383" t="str">
        <f t="shared" si="70"/>
        <v>Entry</v>
      </c>
      <c r="AL383" t="str">
        <f t="shared" si="71"/>
        <v>Medium</v>
      </c>
      <c r="AM383" t="str">
        <f t="shared" si="72"/>
        <v>Low</v>
      </c>
      <c r="AN383" t="str">
        <f t="shared" si="73"/>
        <v>Low</v>
      </c>
      <c r="AO383" t="str">
        <f t="shared" si="74"/>
        <v>Better</v>
      </c>
      <c r="AP383" t="str">
        <f t="shared" si="75"/>
        <v>25-34</v>
      </c>
      <c r="AQ383" t="str">
        <f t="shared" si="76"/>
        <v>Low</v>
      </c>
      <c r="AR383" t="str">
        <f t="shared" si="77"/>
        <v>0-2 Years</v>
      </c>
    </row>
    <row r="384" spans="1:44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t="s">
        <v>46</v>
      </c>
      <c r="L384">
        <v>73</v>
      </c>
      <c r="M384">
        <v>3</v>
      </c>
      <c r="N384">
        <v>1</v>
      </c>
      <c r="O384" t="s">
        <v>47</v>
      </c>
      <c r="P384">
        <v>1</v>
      </c>
      <c r="Q384" t="s">
        <v>41</v>
      </c>
      <c r="R384">
        <v>3102</v>
      </c>
      <c r="S384">
        <v>0</v>
      </c>
      <c r="T384" t="s">
        <v>43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  <c r="AF384">
        <f t="shared" si="65"/>
        <v>1</v>
      </c>
      <c r="AG384">
        <f t="shared" si="66"/>
        <v>0</v>
      </c>
      <c r="AH384" t="str">
        <f t="shared" si="67"/>
        <v>Below College</v>
      </c>
      <c r="AI384" t="str">
        <f t="shared" si="68"/>
        <v>High</v>
      </c>
      <c r="AJ384" t="str">
        <f t="shared" si="69"/>
        <v>High</v>
      </c>
      <c r="AK384" t="str">
        <f t="shared" si="70"/>
        <v>Entry</v>
      </c>
      <c r="AL384" t="str">
        <f t="shared" si="71"/>
        <v>Low</v>
      </c>
      <c r="AM384" t="str">
        <f t="shared" si="72"/>
        <v>High</v>
      </c>
      <c r="AN384" t="str">
        <f t="shared" si="73"/>
        <v>No Options</v>
      </c>
      <c r="AO384" t="str">
        <f t="shared" si="74"/>
        <v>Better</v>
      </c>
      <c r="AP384" t="str">
        <f t="shared" si="75"/>
        <v>25-34</v>
      </c>
      <c r="AQ384" t="str">
        <f t="shared" si="76"/>
        <v>Lower-Mid</v>
      </c>
      <c r="AR384" t="str">
        <f t="shared" si="77"/>
        <v>6-10 Years</v>
      </c>
    </row>
    <row r="385" spans="1:44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39</v>
      </c>
      <c r="L385">
        <v>43</v>
      </c>
      <c r="M385">
        <v>3</v>
      </c>
      <c r="N385">
        <v>1</v>
      </c>
      <c r="O385" t="s">
        <v>47</v>
      </c>
      <c r="P385">
        <v>2</v>
      </c>
      <c r="Q385" t="s">
        <v>48</v>
      </c>
      <c r="R385">
        <v>2244</v>
      </c>
      <c r="S385">
        <v>1</v>
      </c>
      <c r="T385" t="s">
        <v>43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  <c r="AF385">
        <f t="shared" si="65"/>
        <v>0</v>
      </c>
      <c r="AG385">
        <f t="shared" si="66"/>
        <v>0</v>
      </c>
      <c r="AH385" t="str">
        <f t="shared" si="67"/>
        <v>Bachelor</v>
      </c>
      <c r="AI385" t="str">
        <f t="shared" si="68"/>
        <v>Low</v>
      </c>
      <c r="AJ385" t="str">
        <f t="shared" si="69"/>
        <v>High</v>
      </c>
      <c r="AK385" t="str">
        <f t="shared" si="70"/>
        <v>Entry</v>
      </c>
      <c r="AL385" t="str">
        <f t="shared" si="71"/>
        <v>Medium</v>
      </c>
      <c r="AM385" t="str">
        <f t="shared" si="72"/>
        <v>Very High</v>
      </c>
      <c r="AN385" t="str">
        <f t="shared" si="73"/>
        <v>Low</v>
      </c>
      <c r="AO385" t="str">
        <f t="shared" si="74"/>
        <v>Better</v>
      </c>
      <c r="AP385" t="str">
        <f t="shared" si="75"/>
        <v>Under 25</v>
      </c>
      <c r="AQ385" t="str">
        <f t="shared" si="76"/>
        <v>Low</v>
      </c>
      <c r="AR385" t="str">
        <f t="shared" si="77"/>
        <v>0-2 Years</v>
      </c>
    </row>
    <row r="386" spans="1:44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46</v>
      </c>
      <c r="L386">
        <v>61</v>
      </c>
      <c r="M386">
        <v>2</v>
      </c>
      <c r="N386">
        <v>3</v>
      </c>
      <c r="O386" t="s">
        <v>40</v>
      </c>
      <c r="P386">
        <v>3</v>
      </c>
      <c r="Q386" t="s">
        <v>48</v>
      </c>
      <c r="R386">
        <v>7596</v>
      </c>
      <c r="S386">
        <v>1</v>
      </c>
      <c r="T386" t="s">
        <v>43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  <c r="AF386">
        <f t="shared" si="65"/>
        <v>0</v>
      </c>
      <c r="AG386">
        <f t="shared" si="66"/>
        <v>0</v>
      </c>
      <c r="AH386" t="str">
        <f t="shared" si="67"/>
        <v>College</v>
      </c>
      <c r="AI386" t="str">
        <f t="shared" si="68"/>
        <v>Medium</v>
      </c>
      <c r="AJ386" t="str">
        <f t="shared" si="69"/>
        <v>Medium</v>
      </c>
      <c r="AK386" t="str">
        <f t="shared" si="70"/>
        <v>Mid-Level</v>
      </c>
      <c r="AL386" t="str">
        <f t="shared" si="71"/>
        <v>High</v>
      </c>
      <c r="AM386" t="str">
        <f t="shared" si="72"/>
        <v>Medium</v>
      </c>
      <c r="AN386" t="str">
        <f t="shared" si="73"/>
        <v>Medium</v>
      </c>
      <c r="AO386" t="str">
        <f t="shared" si="74"/>
        <v>Better</v>
      </c>
      <c r="AP386" t="str">
        <f t="shared" si="75"/>
        <v>35-44</v>
      </c>
      <c r="AQ386" t="str">
        <f t="shared" si="76"/>
        <v>Upper-Mid</v>
      </c>
      <c r="AR386" t="str">
        <f t="shared" si="77"/>
        <v>6-10 Years</v>
      </c>
    </row>
    <row r="387" spans="1:44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t="s">
        <v>46</v>
      </c>
      <c r="L387">
        <v>40</v>
      </c>
      <c r="M387">
        <v>3</v>
      </c>
      <c r="N387">
        <v>1</v>
      </c>
      <c r="O387" t="s">
        <v>47</v>
      </c>
      <c r="P387">
        <v>4</v>
      </c>
      <c r="Q387" t="s">
        <v>41</v>
      </c>
      <c r="R387">
        <v>2285</v>
      </c>
      <c r="S387">
        <v>9</v>
      </c>
      <c r="T387" t="s">
        <v>35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  <c r="AF387">
        <f t="shared" ref="AF387:AF450" si="78">IF(B387="Yes",1,0)</f>
        <v>1</v>
      </c>
      <c r="AG387">
        <f t="shared" ref="AG387:AG450" si="79">IF(T387="Yes",1,0)</f>
        <v>1</v>
      </c>
      <c r="AH387" t="str">
        <f t="shared" ref="AH387:AH450" si="80">CHOOSE(G387,"Below College","College","Bachelor","Master","Doctor")</f>
        <v>Bachelor</v>
      </c>
      <c r="AI387" t="str">
        <f t="shared" ref="AI387:AI450" si="81">CHOOSE(J387,"Low","Medium","High","Very High")</f>
        <v>High</v>
      </c>
      <c r="AJ387" t="str">
        <f t="shared" ref="AJ387:AJ450" si="82">CHOOSE(M387,"Low","Medium","High","Very High")</f>
        <v>High</v>
      </c>
      <c r="AK387" t="str">
        <f t="shared" ref="AK387:AK450" si="83">CHOOSE(N387,"Entry","Junior","Mid-Level","Senior","Executive")</f>
        <v>Entry</v>
      </c>
      <c r="AL387" t="str">
        <f t="shared" ref="AL387:AL450" si="84">CHOOSE(P387,"Low","Medium","High","Very High")</f>
        <v>Very High</v>
      </c>
      <c r="AM387" t="str">
        <f t="shared" ref="AM387:AM450" si="85">CHOOSE(W387,"Low","Medium","High","Very High")</f>
        <v>High</v>
      </c>
      <c r="AN387" t="str">
        <f t="shared" ref="AN387:AN450" si="86">CHOOSE(X387+1,"No Options","Low","Medium","High")</f>
        <v>No Options</v>
      </c>
      <c r="AO387" t="str">
        <f t="shared" ref="AO387:AO450" si="87">CHOOSE(AA387,"Bad","Good","Better","Best")</f>
        <v>Better</v>
      </c>
      <c r="AP387" t="str">
        <f t="shared" ref="AP387:AP450" si="88">IF(A387&lt;=24,"Under 25",IF(A387&lt;=34,"25-34",IF(A387&lt;=44,"35-44",IF(A387&lt;=54,"45-54","55+"))))</f>
        <v>25-34</v>
      </c>
      <c r="AQ387" t="str">
        <f t="shared" ref="AQ387:AQ450" si="89">IF(R387&lt;3000,"Low",IF(R387&lt;7000,"Lower-Mid",IF(R387&lt;13000,"Upper-Mid","High")))</f>
        <v>Low</v>
      </c>
      <c r="AR387" t="str">
        <f t="shared" ref="AR387:AR450" si="90">IF(AB387&lt;=2,"0-2 Years",IF(AB387&lt;=5,"3-5 Years",IF(AB387&lt;=10,"6-10 Years",IF(AB387&lt;=20,"11-20 Years","20+ Years"))))</f>
        <v>0-2 Years</v>
      </c>
    </row>
    <row r="388" spans="1:44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95</v>
      </c>
      <c r="M388">
        <v>3</v>
      </c>
      <c r="N388">
        <v>1</v>
      </c>
      <c r="O388" t="s">
        <v>50</v>
      </c>
      <c r="P388">
        <v>1</v>
      </c>
      <c r="Q388" t="s">
        <v>52</v>
      </c>
      <c r="R388">
        <v>3034</v>
      </c>
      <c r="S388">
        <v>1</v>
      </c>
      <c r="T388" t="s">
        <v>43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  <c r="AF388">
        <f t="shared" si="78"/>
        <v>0</v>
      </c>
      <c r="AG388">
        <f t="shared" si="79"/>
        <v>0</v>
      </c>
      <c r="AH388" t="str">
        <f t="shared" si="80"/>
        <v>Bachelor</v>
      </c>
      <c r="AI388" t="str">
        <f t="shared" si="81"/>
        <v>Very High</v>
      </c>
      <c r="AJ388" t="str">
        <f t="shared" si="82"/>
        <v>High</v>
      </c>
      <c r="AK388" t="str">
        <f t="shared" si="83"/>
        <v>Entry</v>
      </c>
      <c r="AL388" t="str">
        <f t="shared" si="84"/>
        <v>Low</v>
      </c>
      <c r="AM388" t="str">
        <f t="shared" si="85"/>
        <v>High</v>
      </c>
      <c r="AN388" t="str">
        <f t="shared" si="86"/>
        <v>Low</v>
      </c>
      <c r="AO388" t="str">
        <f t="shared" si="87"/>
        <v>Good</v>
      </c>
      <c r="AP388" t="str">
        <f t="shared" si="88"/>
        <v>35-44</v>
      </c>
      <c r="AQ388" t="str">
        <f t="shared" si="89"/>
        <v>Lower-Mid</v>
      </c>
      <c r="AR388" t="str">
        <f t="shared" si="90"/>
        <v>11-20 Years</v>
      </c>
    </row>
    <row r="389" spans="1:44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t="s">
        <v>39</v>
      </c>
      <c r="L389">
        <v>46</v>
      </c>
      <c r="M389">
        <v>3</v>
      </c>
      <c r="N389">
        <v>2</v>
      </c>
      <c r="O389" t="s">
        <v>40</v>
      </c>
      <c r="P389">
        <v>2</v>
      </c>
      <c r="Q389" t="s">
        <v>52</v>
      </c>
      <c r="R389">
        <v>5715</v>
      </c>
      <c r="S389">
        <v>7</v>
      </c>
      <c r="T389" t="s">
        <v>43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  <c r="AF389">
        <f t="shared" si="78"/>
        <v>0</v>
      </c>
      <c r="AG389">
        <f t="shared" si="79"/>
        <v>0</v>
      </c>
      <c r="AH389" t="str">
        <f t="shared" si="80"/>
        <v>College</v>
      </c>
      <c r="AI389" t="str">
        <f t="shared" si="81"/>
        <v>Very High</v>
      </c>
      <c r="AJ389" t="str">
        <f t="shared" si="82"/>
        <v>High</v>
      </c>
      <c r="AK389" t="str">
        <f t="shared" si="83"/>
        <v>Junior</v>
      </c>
      <c r="AL389" t="str">
        <f t="shared" si="84"/>
        <v>Medium</v>
      </c>
      <c r="AM389" t="str">
        <f t="shared" si="85"/>
        <v>High</v>
      </c>
      <c r="AN389" t="str">
        <f t="shared" si="86"/>
        <v>Medium</v>
      </c>
      <c r="AO389" t="str">
        <f t="shared" si="87"/>
        <v>Better</v>
      </c>
      <c r="AP389" t="str">
        <f t="shared" si="88"/>
        <v>35-44</v>
      </c>
      <c r="AQ389" t="str">
        <f t="shared" si="89"/>
        <v>Lower-Mid</v>
      </c>
      <c r="AR389" t="str">
        <f t="shared" si="90"/>
        <v>3-5 Years</v>
      </c>
    </row>
    <row r="390" spans="1:44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95</v>
      </c>
      <c r="M390">
        <v>3</v>
      </c>
      <c r="N390">
        <v>1</v>
      </c>
      <c r="O390" t="s">
        <v>50</v>
      </c>
      <c r="P390">
        <v>1</v>
      </c>
      <c r="Q390" t="s">
        <v>52</v>
      </c>
      <c r="R390">
        <v>2576</v>
      </c>
      <c r="S390">
        <v>3</v>
      </c>
      <c r="T390" t="s">
        <v>43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  <c r="AF390">
        <f t="shared" si="78"/>
        <v>0</v>
      </c>
      <c r="AG390">
        <f t="shared" si="79"/>
        <v>0</v>
      </c>
      <c r="AH390" t="str">
        <f t="shared" si="80"/>
        <v>Master</v>
      </c>
      <c r="AI390" t="str">
        <f t="shared" si="81"/>
        <v>Medium</v>
      </c>
      <c r="AJ390" t="str">
        <f t="shared" si="82"/>
        <v>High</v>
      </c>
      <c r="AK390" t="str">
        <f t="shared" si="83"/>
        <v>Entry</v>
      </c>
      <c r="AL390" t="str">
        <f t="shared" si="84"/>
        <v>Low</v>
      </c>
      <c r="AM390" t="str">
        <f t="shared" si="85"/>
        <v>Medium</v>
      </c>
      <c r="AN390" t="str">
        <f t="shared" si="86"/>
        <v>Low</v>
      </c>
      <c r="AO390" t="str">
        <f t="shared" si="87"/>
        <v>Better</v>
      </c>
      <c r="AP390" t="str">
        <f t="shared" si="88"/>
        <v>35-44</v>
      </c>
      <c r="AQ390" t="str">
        <f t="shared" si="89"/>
        <v>Low</v>
      </c>
      <c r="AR390" t="str">
        <f t="shared" si="90"/>
        <v>3-5 Years</v>
      </c>
    </row>
    <row r="391" spans="1:44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46</v>
      </c>
      <c r="L391">
        <v>49</v>
      </c>
      <c r="M391">
        <v>3</v>
      </c>
      <c r="N391">
        <v>2</v>
      </c>
      <c r="O391" t="s">
        <v>53</v>
      </c>
      <c r="P391">
        <v>2</v>
      </c>
      <c r="Q391" t="s">
        <v>41</v>
      </c>
      <c r="R391">
        <v>4197</v>
      </c>
      <c r="S391">
        <v>2</v>
      </c>
      <c r="T391" t="s">
        <v>35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  <c r="AF391">
        <f t="shared" si="78"/>
        <v>0</v>
      </c>
      <c r="AG391">
        <f t="shared" si="79"/>
        <v>1</v>
      </c>
      <c r="AH391" t="str">
        <f t="shared" si="80"/>
        <v>Master</v>
      </c>
      <c r="AI391" t="str">
        <f t="shared" si="81"/>
        <v>High</v>
      </c>
      <c r="AJ391" t="str">
        <f t="shared" si="82"/>
        <v>High</v>
      </c>
      <c r="AK391" t="str">
        <f t="shared" si="83"/>
        <v>Junior</v>
      </c>
      <c r="AL391" t="str">
        <f t="shared" si="84"/>
        <v>Medium</v>
      </c>
      <c r="AM391" t="str">
        <f t="shared" si="85"/>
        <v>Very High</v>
      </c>
      <c r="AN391" t="str">
        <f t="shared" si="86"/>
        <v>No Options</v>
      </c>
      <c r="AO391" t="str">
        <f t="shared" si="87"/>
        <v>Good</v>
      </c>
      <c r="AP391" t="str">
        <f t="shared" si="88"/>
        <v>35-44</v>
      </c>
      <c r="AQ391" t="str">
        <f t="shared" si="89"/>
        <v>Lower-Mid</v>
      </c>
      <c r="AR391" t="str">
        <f t="shared" si="90"/>
        <v>0-2 Years</v>
      </c>
    </row>
    <row r="392" spans="1:44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46</v>
      </c>
      <c r="L392">
        <v>59</v>
      </c>
      <c r="M392">
        <v>2</v>
      </c>
      <c r="N392">
        <v>4</v>
      </c>
      <c r="O392" t="s">
        <v>58</v>
      </c>
      <c r="P392">
        <v>2</v>
      </c>
      <c r="Q392" t="s">
        <v>52</v>
      </c>
      <c r="R392">
        <v>14336</v>
      </c>
      <c r="S392">
        <v>1</v>
      </c>
      <c r="T392" t="s">
        <v>43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  <c r="AF392">
        <f t="shared" si="78"/>
        <v>0</v>
      </c>
      <c r="AG392">
        <f t="shared" si="79"/>
        <v>0</v>
      </c>
      <c r="AH392" t="str">
        <f t="shared" si="80"/>
        <v>Bachelor</v>
      </c>
      <c r="AI392" t="str">
        <f t="shared" si="81"/>
        <v>Low</v>
      </c>
      <c r="AJ392" t="str">
        <f t="shared" si="82"/>
        <v>Medium</v>
      </c>
      <c r="AK392" t="str">
        <f t="shared" si="83"/>
        <v>Senior</v>
      </c>
      <c r="AL392" t="str">
        <f t="shared" si="84"/>
        <v>Medium</v>
      </c>
      <c r="AM392" t="str">
        <f t="shared" si="85"/>
        <v>High</v>
      </c>
      <c r="AN392" t="str">
        <f t="shared" si="86"/>
        <v>Low</v>
      </c>
      <c r="AO392" t="str">
        <f t="shared" si="87"/>
        <v>Better</v>
      </c>
      <c r="AP392" t="str">
        <f t="shared" si="88"/>
        <v>35-44</v>
      </c>
      <c r="AQ392" t="str">
        <f t="shared" si="89"/>
        <v>High</v>
      </c>
      <c r="AR392" t="str">
        <f t="shared" si="90"/>
        <v>20+ Years</v>
      </c>
    </row>
    <row r="393" spans="1:44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39</v>
      </c>
      <c r="L393">
        <v>78</v>
      </c>
      <c r="M393">
        <v>2</v>
      </c>
      <c r="N393">
        <v>2</v>
      </c>
      <c r="O393" t="s">
        <v>50</v>
      </c>
      <c r="P393">
        <v>3</v>
      </c>
      <c r="Q393" t="s">
        <v>48</v>
      </c>
      <c r="R393">
        <v>3448</v>
      </c>
      <c r="S393">
        <v>6</v>
      </c>
      <c r="T393" t="s">
        <v>43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  <c r="AF393">
        <f t="shared" si="78"/>
        <v>0</v>
      </c>
      <c r="AG393">
        <f t="shared" si="79"/>
        <v>0</v>
      </c>
      <c r="AH393" t="str">
        <f t="shared" si="80"/>
        <v>Bachelor</v>
      </c>
      <c r="AI393" t="str">
        <f t="shared" si="81"/>
        <v>Medium</v>
      </c>
      <c r="AJ393" t="str">
        <f t="shared" si="82"/>
        <v>Medium</v>
      </c>
      <c r="AK393" t="str">
        <f t="shared" si="83"/>
        <v>Junior</v>
      </c>
      <c r="AL393" t="str">
        <f t="shared" si="84"/>
        <v>High</v>
      </c>
      <c r="AM393" t="str">
        <f t="shared" si="85"/>
        <v>Medium</v>
      </c>
      <c r="AN393" t="str">
        <f t="shared" si="86"/>
        <v>Low</v>
      </c>
      <c r="AO393" t="str">
        <f t="shared" si="87"/>
        <v>Better</v>
      </c>
      <c r="AP393" t="str">
        <f t="shared" si="88"/>
        <v>35-44</v>
      </c>
      <c r="AQ393" t="str">
        <f t="shared" si="89"/>
        <v>Lower-Mid</v>
      </c>
      <c r="AR393" t="str">
        <f t="shared" si="90"/>
        <v>0-2 Years</v>
      </c>
    </row>
    <row r="394" spans="1:44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46</v>
      </c>
      <c r="L394">
        <v>86</v>
      </c>
      <c r="M394">
        <v>3</v>
      </c>
      <c r="N394">
        <v>5</v>
      </c>
      <c r="O394" t="s">
        <v>58</v>
      </c>
      <c r="P394">
        <v>1</v>
      </c>
      <c r="Q394" t="s">
        <v>48</v>
      </c>
      <c r="R394">
        <v>19406</v>
      </c>
      <c r="S394">
        <v>4</v>
      </c>
      <c r="T394" t="s">
        <v>43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  <c r="AF394">
        <f t="shared" si="78"/>
        <v>0</v>
      </c>
      <c r="AG394">
        <f t="shared" si="79"/>
        <v>0</v>
      </c>
      <c r="AH394" t="str">
        <f t="shared" si="80"/>
        <v>College</v>
      </c>
      <c r="AI394" t="str">
        <f t="shared" si="81"/>
        <v>Low</v>
      </c>
      <c r="AJ394" t="str">
        <f t="shared" si="82"/>
        <v>High</v>
      </c>
      <c r="AK394" t="str">
        <f t="shared" si="83"/>
        <v>Executive</v>
      </c>
      <c r="AL394" t="str">
        <f t="shared" si="84"/>
        <v>Low</v>
      </c>
      <c r="AM394" t="str">
        <f t="shared" si="85"/>
        <v>High</v>
      </c>
      <c r="AN394" t="str">
        <f t="shared" si="86"/>
        <v>Low</v>
      </c>
      <c r="AO394" t="str">
        <f t="shared" si="87"/>
        <v>Good</v>
      </c>
      <c r="AP394" t="str">
        <f t="shared" si="88"/>
        <v>45-54</v>
      </c>
      <c r="AQ394" t="str">
        <f t="shared" si="89"/>
        <v>High</v>
      </c>
      <c r="AR394" t="str">
        <f t="shared" si="90"/>
        <v>3-5 Years</v>
      </c>
    </row>
    <row r="395" spans="1:44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t="s">
        <v>39</v>
      </c>
      <c r="L395">
        <v>72</v>
      </c>
      <c r="M395">
        <v>3</v>
      </c>
      <c r="N395">
        <v>2</v>
      </c>
      <c r="O395" t="s">
        <v>40</v>
      </c>
      <c r="P395">
        <v>3</v>
      </c>
      <c r="Q395" t="s">
        <v>48</v>
      </c>
      <c r="R395">
        <v>6538</v>
      </c>
      <c r="S395">
        <v>9</v>
      </c>
      <c r="T395" t="s">
        <v>43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  <c r="AF395">
        <f t="shared" si="78"/>
        <v>0</v>
      </c>
      <c r="AG395">
        <f t="shared" si="79"/>
        <v>0</v>
      </c>
      <c r="AH395" t="str">
        <f t="shared" si="80"/>
        <v>Master</v>
      </c>
      <c r="AI395" t="str">
        <f t="shared" si="81"/>
        <v>High</v>
      </c>
      <c r="AJ395" t="str">
        <f t="shared" si="82"/>
        <v>High</v>
      </c>
      <c r="AK395" t="str">
        <f t="shared" si="83"/>
        <v>Junior</v>
      </c>
      <c r="AL395" t="str">
        <f t="shared" si="84"/>
        <v>High</v>
      </c>
      <c r="AM395" t="str">
        <f t="shared" si="85"/>
        <v>Low</v>
      </c>
      <c r="AN395" t="str">
        <f t="shared" si="86"/>
        <v>Low</v>
      </c>
      <c r="AO395" t="str">
        <f t="shared" si="87"/>
        <v>Better</v>
      </c>
      <c r="AP395" t="str">
        <f t="shared" si="88"/>
        <v>25-34</v>
      </c>
      <c r="AQ395" t="str">
        <f t="shared" si="89"/>
        <v>Lower-Mid</v>
      </c>
      <c r="AR395" t="str">
        <f t="shared" si="90"/>
        <v>3-5 Years</v>
      </c>
    </row>
    <row r="396" spans="1:44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39</v>
      </c>
      <c r="L396">
        <v>31</v>
      </c>
      <c r="M396">
        <v>3</v>
      </c>
      <c r="N396">
        <v>2</v>
      </c>
      <c r="O396" t="s">
        <v>53</v>
      </c>
      <c r="P396">
        <v>1</v>
      </c>
      <c r="Q396" t="s">
        <v>48</v>
      </c>
      <c r="R396">
        <v>4306</v>
      </c>
      <c r="S396">
        <v>1</v>
      </c>
      <c r="T396" t="s">
        <v>43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  <c r="AF396">
        <f t="shared" si="78"/>
        <v>0</v>
      </c>
      <c r="AG396">
        <f t="shared" si="79"/>
        <v>0</v>
      </c>
      <c r="AH396" t="str">
        <f t="shared" si="80"/>
        <v>College</v>
      </c>
      <c r="AI396" t="str">
        <f t="shared" si="81"/>
        <v>Medium</v>
      </c>
      <c r="AJ396" t="str">
        <f t="shared" si="82"/>
        <v>High</v>
      </c>
      <c r="AK396" t="str">
        <f t="shared" si="83"/>
        <v>Junior</v>
      </c>
      <c r="AL396" t="str">
        <f t="shared" si="84"/>
        <v>Low</v>
      </c>
      <c r="AM396" t="str">
        <f t="shared" si="85"/>
        <v>Medium</v>
      </c>
      <c r="AN396" t="str">
        <f t="shared" si="86"/>
        <v>Low</v>
      </c>
      <c r="AO396" t="str">
        <f t="shared" si="87"/>
        <v>Bad</v>
      </c>
      <c r="AP396" t="str">
        <f t="shared" si="88"/>
        <v>25-34</v>
      </c>
      <c r="AQ396" t="str">
        <f t="shared" si="89"/>
        <v>Lower-Mid</v>
      </c>
      <c r="AR396" t="str">
        <f t="shared" si="90"/>
        <v>11-20 Years</v>
      </c>
    </row>
    <row r="397" spans="1:44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46</v>
      </c>
      <c r="L397">
        <v>61</v>
      </c>
      <c r="M397">
        <v>3</v>
      </c>
      <c r="N397">
        <v>1</v>
      </c>
      <c r="O397" t="s">
        <v>50</v>
      </c>
      <c r="P397">
        <v>4</v>
      </c>
      <c r="Q397" t="s">
        <v>48</v>
      </c>
      <c r="R397">
        <v>2258</v>
      </c>
      <c r="S397">
        <v>7</v>
      </c>
      <c r="T397" t="s">
        <v>43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  <c r="AF397">
        <f t="shared" si="78"/>
        <v>0</v>
      </c>
      <c r="AG397">
        <f t="shared" si="79"/>
        <v>0</v>
      </c>
      <c r="AH397" t="str">
        <f t="shared" si="80"/>
        <v>Bachelor</v>
      </c>
      <c r="AI397" t="str">
        <f t="shared" si="81"/>
        <v>Very High</v>
      </c>
      <c r="AJ397" t="str">
        <f t="shared" si="82"/>
        <v>High</v>
      </c>
      <c r="AK397" t="str">
        <f t="shared" si="83"/>
        <v>Entry</v>
      </c>
      <c r="AL397" t="str">
        <f t="shared" si="84"/>
        <v>Very High</v>
      </c>
      <c r="AM397" t="str">
        <f t="shared" si="85"/>
        <v>Low</v>
      </c>
      <c r="AN397" t="str">
        <f t="shared" si="86"/>
        <v>Low</v>
      </c>
      <c r="AO397" t="str">
        <f t="shared" si="87"/>
        <v>Better</v>
      </c>
      <c r="AP397" t="str">
        <f t="shared" si="88"/>
        <v>35-44</v>
      </c>
      <c r="AQ397" t="str">
        <f t="shared" si="89"/>
        <v>Low</v>
      </c>
      <c r="AR397" t="str">
        <f t="shared" si="90"/>
        <v>3-5 Years</v>
      </c>
    </row>
    <row r="398" spans="1:44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39</v>
      </c>
      <c r="L398">
        <v>74</v>
      </c>
      <c r="M398">
        <v>3</v>
      </c>
      <c r="N398">
        <v>2</v>
      </c>
      <c r="O398" t="s">
        <v>54</v>
      </c>
      <c r="P398">
        <v>3</v>
      </c>
      <c r="Q398" t="s">
        <v>52</v>
      </c>
      <c r="R398">
        <v>4522</v>
      </c>
      <c r="S398">
        <v>4</v>
      </c>
      <c r="T398" t="s">
        <v>35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  <c r="AF398">
        <f t="shared" si="78"/>
        <v>0</v>
      </c>
      <c r="AG398">
        <f t="shared" si="79"/>
        <v>1</v>
      </c>
      <c r="AH398" t="str">
        <f t="shared" si="80"/>
        <v>Master</v>
      </c>
      <c r="AI398" t="str">
        <f t="shared" si="81"/>
        <v>High</v>
      </c>
      <c r="AJ398" t="str">
        <f t="shared" si="82"/>
        <v>High</v>
      </c>
      <c r="AK398" t="str">
        <f t="shared" si="83"/>
        <v>Junior</v>
      </c>
      <c r="AL398" t="str">
        <f t="shared" si="84"/>
        <v>High</v>
      </c>
      <c r="AM398" t="str">
        <f t="shared" si="85"/>
        <v>Very High</v>
      </c>
      <c r="AN398" t="str">
        <f t="shared" si="86"/>
        <v>No Options</v>
      </c>
      <c r="AO398" t="str">
        <f t="shared" si="87"/>
        <v>Better</v>
      </c>
      <c r="AP398" t="str">
        <f t="shared" si="88"/>
        <v>35-44</v>
      </c>
      <c r="AQ398" t="str">
        <f t="shared" si="89"/>
        <v>Lower-Mid</v>
      </c>
      <c r="AR398" t="str">
        <f t="shared" si="90"/>
        <v>3-5 Years</v>
      </c>
    </row>
    <row r="399" spans="1:44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99</v>
      </c>
      <c r="M399">
        <v>2</v>
      </c>
      <c r="N399">
        <v>2</v>
      </c>
      <c r="O399" t="s">
        <v>40</v>
      </c>
      <c r="P399">
        <v>4</v>
      </c>
      <c r="Q399" t="s">
        <v>41</v>
      </c>
      <c r="R399">
        <v>4487</v>
      </c>
      <c r="S399">
        <v>1</v>
      </c>
      <c r="T399" t="s">
        <v>35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  <c r="AF399">
        <f t="shared" si="78"/>
        <v>0</v>
      </c>
      <c r="AG399">
        <f t="shared" si="79"/>
        <v>1</v>
      </c>
      <c r="AH399" t="str">
        <f t="shared" si="80"/>
        <v>College</v>
      </c>
      <c r="AI399" t="str">
        <f t="shared" si="81"/>
        <v>Medium</v>
      </c>
      <c r="AJ399" t="str">
        <f t="shared" si="82"/>
        <v>Medium</v>
      </c>
      <c r="AK399" t="str">
        <f t="shared" si="83"/>
        <v>Junior</v>
      </c>
      <c r="AL399" t="str">
        <f t="shared" si="84"/>
        <v>Very High</v>
      </c>
      <c r="AM399" t="str">
        <f t="shared" si="85"/>
        <v>Medium</v>
      </c>
      <c r="AN399" t="str">
        <f t="shared" si="86"/>
        <v>No Options</v>
      </c>
      <c r="AO399" t="str">
        <f t="shared" si="87"/>
        <v>Better</v>
      </c>
      <c r="AP399" t="str">
        <f t="shared" si="88"/>
        <v>25-34</v>
      </c>
      <c r="AQ399" t="str">
        <f t="shared" si="89"/>
        <v>Lower-Mid</v>
      </c>
      <c r="AR399" t="str">
        <f t="shared" si="90"/>
        <v>3-5 Years</v>
      </c>
    </row>
    <row r="400" spans="1:44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39</v>
      </c>
      <c r="L400">
        <v>72</v>
      </c>
      <c r="M400">
        <v>3</v>
      </c>
      <c r="N400">
        <v>2</v>
      </c>
      <c r="O400" t="s">
        <v>47</v>
      </c>
      <c r="P400">
        <v>3</v>
      </c>
      <c r="Q400" t="s">
        <v>48</v>
      </c>
      <c r="R400">
        <v>4449</v>
      </c>
      <c r="S400">
        <v>3</v>
      </c>
      <c r="T400" t="s">
        <v>35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  <c r="AF400">
        <f t="shared" si="78"/>
        <v>0</v>
      </c>
      <c r="AG400">
        <f t="shared" si="79"/>
        <v>1</v>
      </c>
      <c r="AH400" t="str">
        <f t="shared" si="80"/>
        <v>Doctor</v>
      </c>
      <c r="AI400" t="str">
        <f t="shared" si="81"/>
        <v>Medium</v>
      </c>
      <c r="AJ400" t="str">
        <f t="shared" si="82"/>
        <v>High</v>
      </c>
      <c r="AK400" t="str">
        <f t="shared" si="83"/>
        <v>Junior</v>
      </c>
      <c r="AL400" t="str">
        <f t="shared" si="84"/>
        <v>High</v>
      </c>
      <c r="AM400" t="str">
        <f t="shared" si="85"/>
        <v>Low</v>
      </c>
      <c r="AN400" t="str">
        <f t="shared" si="86"/>
        <v>Medium</v>
      </c>
      <c r="AO400" t="str">
        <f t="shared" si="87"/>
        <v>Better</v>
      </c>
      <c r="AP400" t="str">
        <f t="shared" si="88"/>
        <v>35-44</v>
      </c>
      <c r="AQ400" t="str">
        <f t="shared" si="89"/>
        <v>Lower-Mid</v>
      </c>
      <c r="AR400" t="str">
        <f t="shared" si="90"/>
        <v>11-20 Years</v>
      </c>
    </row>
    <row r="401" spans="1:44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46</v>
      </c>
      <c r="L401">
        <v>98</v>
      </c>
      <c r="M401">
        <v>2</v>
      </c>
      <c r="N401">
        <v>1</v>
      </c>
      <c r="O401" t="s">
        <v>50</v>
      </c>
      <c r="P401">
        <v>1</v>
      </c>
      <c r="Q401" t="s">
        <v>48</v>
      </c>
      <c r="R401">
        <v>2218</v>
      </c>
      <c r="S401">
        <v>1</v>
      </c>
      <c r="T401" t="s">
        <v>43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  <c r="AF401">
        <f t="shared" si="78"/>
        <v>0</v>
      </c>
      <c r="AG401">
        <f t="shared" si="79"/>
        <v>0</v>
      </c>
      <c r="AH401" t="str">
        <f t="shared" si="80"/>
        <v>College</v>
      </c>
      <c r="AI401" t="str">
        <f t="shared" si="81"/>
        <v>Very High</v>
      </c>
      <c r="AJ401" t="str">
        <f t="shared" si="82"/>
        <v>Medium</v>
      </c>
      <c r="AK401" t="str">
        <f t="shared" si="83"/>
        <v>Entry</v>
      </c>
      <c r="AL401" t="str">
        <f t="shared" si="84"/>
        <v>Low</v>
      </c>
      <c r="AM401" t="str">
        <f t="shared" si="85"/>
        <v>High</v>
      </c>
      <c r="AN401" t="str">
        <f t="shared" si="86"/>
        <v>Low</v>
      </c>
      <c r="AO401" t="str">
        <f t="shared" si="87"/>
        <v>Better</v>
      </c>
      <c r="AP401" t="str">
        <f t="shared" si="88"/>
        <v>25-34</v>
      </c>
      <c r="AQ401" t="str">
        <f t="shared" si="89"/>
        <v>Low</v>
      </c>
      <c r="AR401" t="str">
        <f t="shared" si="90"/>
        <v>3-5 Years</v>
      </c>
    </row>
    <row r="402" spans="1:44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46</v>
      </c>
      <c r="L402">
        <v>52</v>
      </c>
      <c r="M402">
        <v>3</v>
      </c>
      <c r="N402">
        <v>5</v>
      </c>
      <c r="O402" t="s">
        <v>56</v>
      </c>
      <c r="P402">
        <v>3</v>
      </c>
      <c r="Q402" t="s">
        <v>52</v>
      </c>
      <c r="R402">
        <v>19197</v>
      </c>
      <c r="S402">
        <v>1</v>
      </c>
      <c r="T402" t="s">
        <v>35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  <c r="AF402">
        <f t="shared" si="78"/>
        <v>0</v>
      </c>
      <c r="AG402">
        <f t="shared" si="79"/>
        <v>1</v>
      </c>
      <c r="AH402" t="str">
        <f t="shared" si="80"/>
        <v>Below College</v>
      </c>
      <c r="AI402" t="str">
        <f t="shared" si="81"/>
        <v>Medium</v>
      </c>
      <c r="AJ402" t="str">
        <f t="shared" si="82"/>
        <v>High</v>
      </c>
      <c r="AK402" t="str">
        <f t="shared" si="83"/>
        <v>Executive</v>
      </c>
      <c r="AL402" t="str">
        <f t="shared" si="84"/>
        <v>High</v>
      </c>
      <c r="AM402" t="str">
        <f t="shared" si="85"/>
        <v>High</v>
      </c>
      <c r="AN402" t="str">
        <f t="shared" si="86"/>
        <v>Low</v>
      </c>
      <c r="AO402" t="str">
        <f t="shared" si="87"/>
        <v>Better</v>
      </c>
      <c r="AP402" t="str">
        <f t="shared" si="88"/>
        <v>35-44</v>
      </c>
      <c r="AQ402" t="str">
        <f t="shared" si="89"/>
        <v>High</v>
      </c>
      <c r="AR402" t="str">
        <f t="shared" si="90"/>
        <v>20+ Years</v>
      </c>
    </row>
    <row r="403" spans="1:44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86</v>
      </c>
      <c r="M403">
        <v>4</v>
      </c>
      <c r="N403">
        <v>4</v>
      </c>
      <c r="O403" t="s">
        <v>40</v>
      </c>
      <c r="P403">
        <v>1</v>
      </c>
      <c r="Q403" t="s">
        <v>48</v>
      </c>
      <c r="R403">
        <v>13212</v>
      </c>
      <c r="S403">
        <v>9</v>
      </c>
      <c r="T403" t="s">
        <v>43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  <c r="AF403">
        <f t="shared" si="78"/>
        <v>0</v>
      </c>
      <c r="AG403">
        <f t="shared" si="79"/>
        <v>0</v>
      </c>
      <c r="AH403" t="str">
        <f t="shared" si="80"/>
        <v>Bachelor</v>
      </c>
      <c r="AI403" t="str">
        <f t="shared" si="81"/>
        <v>High</v>
      </c>
      <c r="AJ403" t="str">
        <f t="shared" si="82"/>
        <v>Very High</v>
      </c>
      <c r="AK403" t="str">
        <f t="shared" si="83"/>
        <v>Senior</v>
      </c>
      <c r="AL403" t="str">
        <f t="shared" si="84"/>
        <v>Low</v>
      </c>
      <c r="AM403" t="str">
        <f t="shared" si="85"/>
        <v>Very High</v>
      </c>
      <c r="AN403" t="str">
        <f t="shared" si="86"/>
        <v>High</v>
      </c>
      <c r="AO403" t="str">
        <f t="shared" si="87"/>
        <v>Good</v>
      </c>
      <c r="AP403" t="str">
        <f t="shared" si="88"/>
        <v>55+</v>
      </c>
      <c r="AQ403" t="str">
        <f t="shared" si="89"/>
        <v>High</v>
      </c>
      <c r="AR403" t="str">
        <f t="shared" si="90"/>
        <v>6-10 Years</v>
      </c>
    </row>
    <row r="404" spans="1:44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t="s">
        <v>39</v>
      </c>
      <c r="L404">
        <v>83</v>
      </c>
      <c r="M404">
        <v>3</v>
      </c>
      <c r="N404">
        <v>2</v>
      </c>
      <c r="O404" t="s">
        <v>40</v>
      </c>
      <c r="P404">
        <v>3</v>
      </c>
      <c r="Q404" t="s">
        <v>41</v>
      </c>
      <c r="R404">
        <v>6577</v>
      </c>
      <c r="S404">
        <v>0</v>
      </c>
      <c r="T404" t="s">
        <v>43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  <c r="AF404">
        <f t="shared" si="78"/>
        <v>0</v>
      </c>
      <c r="AG404">
        <f t="shared" si="79"/>
        <v>0</v>
      </c>
      <c r="AH404" t="str">
        <f t="shared" si="80"/>
        <v>Bachelor</v>
      </c>
      <c r="AI404" t="str">
        <f t="shared" si="81"/>
        <v>Medium</v>
      </c>
      <c r="AJ404" t="str">
        <f t="shared" si="82"/>
        <v>High</v>
      </c>
      <c r="AK404" t="str">
        <f t="shared" si="83"/>
        <v>Junior</v>
      </c>
      <c r="AL404" t="str">
        <f t="shared" si="84"/>
        <v>High</v>
      </c>
      <c r="AM404" t="str">
        <f t="shared" si="85"/>
        <v>Medium</v>
      </c>
      <c r="AN404" t="str">
        <f t="shared" si="86"/>
        <v>No Options</v>
      </c>
      <c r="AO404" t="str">
        <f t="shared" si="87"/>
        <v>Better</v>
      </c>
      <c r="AP404" t="str">
        <f t="shared" si="88"/>
        <v>25-34</v>
      </c>
      <c r="AQ404" t="str">
        <f t="shared" si="89"/>
        <v>Lower-Mid</v>
      </c>
      <c r="AR404" t="str">
        <f t="shared" si="90"/>
        <v>3-5 Years</v>
      </c>
    </row>
    <row r="405" spans="1:44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t="s">
        <v>46</v>
      </c>
      <c r="L405">
        <v>49</v>
      </c>
      <c r="M405">
        <v>4</v>
      </c>
      <c r="N405">
        <v>3</v>
      </c>
      <c r="O405" t="s">
        <v>40</v>
      </c>
      <c r="P405">
        <v>1</v>
      </c>
      <c r="Q405" t="s">
        <v>48</v>
      </c>
      <c r="R405">
        <v>8392</v>
      </c>
      <c r="S405">
        <v>1</v>
      </c>
      <c r="T405" t="s">
        <v>43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  <c r="AF405">
        <f t="shared" si="78"/>
        <v>0</v>
      </c>
      <c r="AG405">
        <f t="shared" si="79"/>
        <v>0</v>
      </c>
      <c r="AH405" t="str">
        <f t="shared" si="80"/>
        <v>Bachelor</v>
      </c>
      <c r="AI405" t="str">
        <f t="shared" si="81"/>
        <v>Medium</v>
      </c>
      <c r="AJ405" t="str">
        <f t="shared" si="82"/>
        <v>Very High</v>
      </c>
      <c r="AK405" t="str">
        <f t="shared" si="83"/>
        <v>Mid-Level</v>
      </c>
      <c r="AL405" t="str">
        <f t="shared" si="84"/>
        <v>Low</v>
      </c>
      <c r="AM405" t="str">
        <f t="shared" si="85"/>
        <v>High</v>
      </c>
      <c r="AN405" t="str">
        <f t="shared" si="86"/>
        <v>Low</v>
      </c>
      <c r="AO405" t="str">
        <f t="shared" si="87"/>
        <v>Better</v>
      </c>
      <c r="AP405" t="str">
        <f t="shared" si="88"/>
        <v>35-44</v>
      </c>
      <c r="AQ405" t="str">
        <f t="shared" si="89"/>
        <v>Upper-Mid</v>
      </c>
      <c r="AR405" t="str">
        <f t="shared" si="90"/>
        <v>6-10 Years</v>
      </c>
    </row>
    <row r="406" spans="1:44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46</v>
      </c>
      <c r="L406">
        <v>79</v>
      </c>
      <c r="M406">
        <v>3</v>
      </c>
      <c r="N406">
        <v>2</v>
      </c>
      <c r="O406" t="s">
        <v>50</v>
      </c>
      <c r="P406">
        <v>1</v>
      </c>
      <c r="Q406" t="s">
        <v>52</v>
      </c>
      <c r="R406">
        <v>4558</v>
      </c>
      <c r="S406">
        <v>1</v>
      </c>
      <c r="T406" t="s">
        <v>43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  <c r="AF406">
        <f t="shared" si="78"/>
        <v>0</v>
      </c>
      <c r="AG406">
        <f t="shared" si="79"/>
        <v>0</v>
      </c>
      <c r="AH406" t="str">
        <f t="shared" si="80"/>
        <v>College</v>
      </c>
      <c r="AI406" t="str">
        <f t="shared" si="81"/>
        <v>High</v>
      </c>
      <c r="AJ406" t="str">
        <f t="shared" si="82"/>
        <v>High</v>
      </c>
      <c r="AK406" t="str">
        <f t="shared" si="83"/>
        <v>Junior</v>
      </c>
      <c r="AL406" t="str">
        <f t="shared" si="84"/>
        <v>Low</v>
      </c>
      <c r="AM406" t="str">
        <f t="shared" si="85"/>
        <v>Very High</v>
      </c>
      <c r="AN406" t="str">
        <f t="shared" si="86"/>
        <v>Low</v>
      </c>
      <c r="AO406" t="str">
        <f t="shared" si="87"/>
        <v>Better</v>
      </c>
      <c r="AP406" t="str">
        <f t="shared" si="88"/>
        <v>25-34</v>
      </c>
      <c r="AQ406" t="str">
        <f t="shared" si="89"/>
        <v>Lower-Mid</v>
      </c>
      <c r="AR406" t="str">
        <f t="shared" si="90"/>
        <v>6-10 Years</v>
      </c>
    </row>
    <row r="407" spans="1:44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46</v>
      </c>
      <c r="L407">
        <v>91</v>
      </c>
      <c r="M407">
        <v>3</v>
      </c>
      <c r="N407">
        <v>1</v>
      </c>
      <c r="O407" t="s">
        <v>50</v>
      </c>
      <c r="P407">
        <v>1</v>
      </c>
      <c r="Q407" t="s">
        <v>48</v>
      </c>
      <c r="R407">
        <v>4031</v>
      </c>
      <c r="S407">
        <v>5</v>
      </c>
      <c r="T407" t="s">
        <v>43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  <c r="AF407">
        <f t="shared" si="78"/>
        <v>1</v>
      </c>
      <c r="AG407">
        <f t="shared" si="79"/>
        <v>0</v>
      </c>
      <c r="AH407" t="str">
        <f t="shared" si="80"/>
        <v>Bachelor</v>
      </c>
      <c r="AI407" t="str">
        <f t="shared" si="81"/>
        <v>Low</v>
      </c>
      <c r="AJ407" t="str">
        <f t="shared" si="82"/>
        <v>High</v>
      </c>
      <c r="AK407" t="str">
        <f t="shared" si="83"/>
        <v>Entry</v>
      </c>
      <c r="AL407" t="str">
        <f t="shared" si="84"/>
        <v>Low</v>
      </c>
      <c r="AM407" t="str">
        <f t="shared" si="85"/>
        <v>High</v>
      </c>
      <c r="AN407" t="str">
        <f t="shared" si="86"/>
        <v>Low</v>
      </c>
      <c r="AO407" t="str">
        <f t="shared" si="87"/>
        <v>Better</v>
      </c>
      <c r="AP407" t="str">
        <f t="shared" si="88"/>
        <v>25-34</v>
      </c>
      <c r="AQ407" t="str">
        <f t="shared" si="89"/>
        <v>Lower-Mid</v>
      </c>
      <c r="AR407" t="str">
        <f t="shared" si="90"/>
        <v>0-2 Years</v>
      </c>
    </row>
    <row r="408" spans="1:44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46</v>
      </c>
      <c r="L408">
        <v>39</v>
      </c>
      <c r="M408">
        <v>2</v>
      </c>
      <c r="N408">
        <v>3</v>
      </c>
      <c r="O408" t="s">
        <v>53</v>
      </c>
      <c r="P408">
        <v>3</v>
      </c>
      <c r="Q408" t="s">
        <v>48</v>
      </c>
      <c r="R408">
        <v>7969</v>
      </c>
      <c r="S408">
        <v>2</v>
      </c>
      <c r="T408" t="s">
        <v>35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  <c r="AF408">
        <f t="shared" si="78"/>
        <v>0</v>
      </c>
      <c r="AG408">
        <f t="shared" si="79"/>
        <v>1</v>
      </c>
      <c r="AH408" t="str">
        <f t="shared" si="80"/>
        <v>Bachelor</v>
      </c>
      <c r="AI408" t="str">
        <f t="shared" si="81"/>
        <v>Very High</v>
      </c>
      <c r="AJ408" t="str">
        <f t="shared" si="82"/>
        <v>Medium</v>
      </c>
      <c r="AK408" t="str">
        <f t="shared" si="83"/>
        <v>Mid-Level</v>
      </c>
      <c r="AL408" t="str">
        <f t="shared" si="84"/>
        <v>High</v>
      </c>
      <c r="AM408" t="str">
        <f t="shared" si="85"/>
        <v>High</v>
      </c>
      <c r="AN408" t="str">
        <f t="shared" si="86"/>
        <v>No Options</v>
      </c>
      <c r="AO408" t="str">
        <f t="shared" si="87"/>
        <v>Better</v>
      </c>
      <c r="AP408" t="str">
        <f t="shared" si="88"/>
        <v>45-54</v>
      </c>
      <c r="AQ408" t="str">
        <f t="shared" si="89"/>
        <v>Upper-Mid</v>
      </c>
      <c r="AR408" t="str">
        <f t="shared" si="90"/>
        <v>3-5 Years</v>
      </c>
    </row>
    <row r="409" spans="1:44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46</v>
      </c>
      <c r="L409">
        <v>69</v>
      </c>
      <c r="M409">
        <v>3</v>
      </c>
      <c r="N409">
        <v>1</v>
      </c>
      <c r="O409" t="s">
        <v>47</v>
      </c>
      <c r="P409">
        <v>4</v>
      </c>
      <c r="Q409" t="s">
        <v>48</v>
      </c>
      <c r="R409">
        <v>2654</v>
      </c>
      <c r="S409">
        <v>3</v>
      </c>
      <c r="T409" t="s">
        <v>43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  <c r="AF409">
        <f t="shared" si="78"/>
        <v>0</v>
      </c>
      <c r="AG409">
        <f t="shared" si="79"/>
        <v>0</v>
      </c>
      <c r="AH409" t="str">
        <f t="shared" si="80"/>
        <v>College</v>
      </c>
      <c r="AI409" t="str">
        <f t="shared" si="81"/>
        <v>Low</v>
      </c>
      <c r="AJ409" t="str">
        <f t="shared" si="82"/>
        <v>High</v>
      </c>
      <c r="AK409" t="str">
        <f t="shared" si="83"/>
        <v>Entry</v>
      </c>
      <c r="AL409" t="str">
        <f t="shared" si="84"/>
        <v>Very High</v>
      </c>
      <c r="AM409" t="str">
        <f t="shared" si="85"/>
        <v>Very High</v>
      </c>
      <c r="AN409" t="str">
        <f t="shared" si="86"/>
        <v>Medium</v>
      </c>
      <c r="AO409" t="str">
        <f t="shared" si="87"/>
        <v>Good</v>
      </c>
      <c r="AP409" t="str">
        <f t="shared" si="88"/>
        <v>45-54</v>
      </c>
      <c r="AQ409" t="str">
        <f t="shared" si="89"/>
        <v>Low</v>
      </c>
      <c r="AR409" t="str">
        <f t="shared" si="90"/>
        <v>0-2 Years</v>
      </c>
    </row>
    <row r="410" spans="1:44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30</v>
      </c>
      <c r="M410">
        <v>3</v>
      </c>
      <c r="N410">
        <v>4</v>
      </c>
      <c r="O410" t="s">
        <v>56</v>
      </c>
      <c r="P410">
        <v>4</v>
      </c>
      <c r="Q410" t="s">
        <v>48</v>
      </c>
      <c r="R410">
        <v>16555</v>
      </c>
      <c r="S410">
        <v>2</v>
      </c>
      <c r="T410" t="s">
        <v>43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  <c r="AF410">
        <f t="shared" si="78"/>
        <v>0</v>
      </c>
      <c r="AG410">
        <f t="shared" si="79"/>
        <v>0</v>
      </c>
      <c r="AH410" t="str">
        <f t="shared" si="80"/>
        <v>College</v>
      </c>
      <c r="AI410" t="str">
        <f t="shared" si="81"/>
        <v>Very High</v>
      </c>
      <c r="AJ410" t="str">
        <f t="shared" si="82"/>
        <v>High</v>
      </c>
      <c r="AK410" t="str">
        <f t="shared" si="83"/>
        <v>Senior</v>
      </c>
      <c r="AL410" t="str">
        <f t="shared" si="84"/>
        <v>Very High</v>
      </c>
      <c r="AM410" t="str">
        <f t="shared" si="85"/>
        <v>Very High</v>
      </c>
      <c r="AN410" t="str">
        <f t="shared" si="86"/>
        <v>No Options</v>
      </c>
      <c r="AO410" t="str">
        <f t="shared" si="87"/>
        <v>Bad</v>
      </c>
      <c r="AP410" t="str">
        <f t="shared" si="88"/>
        <v>45-54</v>
      </c>
      <c r="AQ410" t="str">
        <f t="shared" si="89"/>
        <v>High</v>
      </c>
      <c r="AR410" t="str">
        <f t="shared" si="90"/>
        <v>3-5 Years</v>
      </c>
    </row>
    <row r="411" spans="1:44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92</v>
      </c>
      <c r="M411">
        <v>3</v>
      </c>
      <c r="N411">
        <v>2</v>
      </c>
      <c r="O411" t="s">
        <v>47</v>
      </c>
      <c r="P411">
        <v>3</v>
      </c>
      <c r="Q411" t="s">
        <v>52</v>
      </c>
      <c r="R411">
        <v>4556</v>
      </c>
      <c r="S411">
        <v>2</v>
      </c>
      <c r="T411" t="s">
        <v>43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  <c r="AF411">
        <f t="shared" si="78"/>
        <v>0</v>
      </c>
      <c r="AG411">
        <f t="shared" si="79"/>
        <v>0</v>
      </c>
      <c r="AH411" t="str">
        <f t="shared" si="80"/>
        <v>College</v>
      </c>
      <c r="AI411" t="str">
        <f t="shared" si="81"/>
        <v>Low</v>
      </c>
      <c r="AJ411" t="str">
        <f t="shared" si="82"/>
        <v>High</v>
      </c>
      <c r="AK411" t="str">
        <f t="shared" si="83"/>
        <v>Junior</v>
      </c>
      <c r="AL411" t="str">
        <f t="shared" si="84"/>
        <v>High</v>
      </c>
      <c r="AM411" t="str">
        <f t="shared" si="85"/>
        <v>Medium</v>
      </c>
      <c r="AN411" t="str">
        <f t="shared" si="86"/>
        <v>Low</v>
      </c>
      <c r="AO411" t="str">
        <f t="shared" si="87"/>
        <v>Better</v>
      </c>
      <c r="AP411" t="str">
        <f t="shared" si="88"/>
        <v>35-44</v>
      </c>
      <c r="AQ411" t="str">
        <f t="shared" si="89"/>
        <v>Lower-Mid</v>
      </c>
      <c r="AR411" t="str">
        <f t="shared" si="90"/>
        <v>3-5 Years</v>
      </c>
    </row>
    <row r="412" spans="1:44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43</v>
      </c>
      <c r="M412">
        <v>1</v>
      </c>
      <c r="N412">
        <v>2</v>
      </c>
      <c r="O412" t="s">
        <v>53</v>
      </c>
      <c r="P412">
        <v>4</v>
      </c>
      <c r="Q412" t="s">
        <v>41</v>
      </c>
      <c r="R412">
        <v>6091</v>
      </c>
      <c r="S412">
        <v>2</v>
      </c>
      <c r="T412" t="s">
        <v>43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  <c r="AF412">
        <f t="shared" si="78"/>
        <v>0</v>
      </c>
      <c r="AG412">
        <f t="shared" si="79"/>
        <v>0</v>
      </c>
      <c r="AH412" t="str">
        <f t="shared" si="80"/>
        <v>Bachelor</v>
      </c>
      <c r="AI412" t="str">
        <f t="shared" si="81"/>
        <v>High</v>
      </c>
      <c r="AJ412" t="str">
        <f t="shared" si="82"/>
        <v>Low</v>
      </c>
      <c r="AK412" t="str">
        <f t="shared" si="83"/>
        <v>Junior</v>
      </c>
      <c r="AL412" t="str">
        <f t="shared" si="84"/>
        <v>Very High</v>
      </c>
      <c r="AM412" t="str">
        <f t="shared" si="85"/>
        <v>High</v>
      </c>
      <c r="AN412" t="str">
        <f t="shared" si="86"/>
        <v>No Options</v>
      </c>
      <c r="AO412" t="str">
        <f t="shared" si="87"/>
        <v>Better</v>
      </c>
      <c r="AP412" t="str">
        <f t="shared" si="88"/>
        <v>25-34</v>
      </c>
      <c r="AQ412" t="str">
        <f t="shared" si="89"/>
        <v>Lower-Mid</v>
      </c>
      <c r="AR412" t="str">
        <f t="shared" si="90"/>
        <v>3-5 Years</v>
      </c>
    </row>
    <row r="413" spans="1:44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41</v>
      </c>
      <c r="M413">
        <v>3</v>
      </c>
      <c r="N413">
        <v>5</v>
      </c>
      <c r="O413" t="s">
        <v>56</v>
      </c>
      <c r="P413">
        <v>1</v>
      </c>
      <c r="Q413" t="s">
        <v>48</v>
      </c>
      <c r="R413">
        <v>19566</v>
      </c>
      <c r="S413">
        <v>5</v>
      </c>
      <c r="T413" t="s">
        <v>43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  <c r="AF413">
        <f t="shared" si="78"/>
        <v>0</v>
      </c>
      <c r="AG413">
        <f t="shared" si="79"/>
        <v>0</v>
      </c>
      <c r="AH413" t="str">
        <f t="shared" si="80"/>
        <v>Bachelor</v>
      </c>
      <c r="AI413" t="str">
        <f t="shared" si="81"/>
        <v>Low</v>
      </c>
      <c r="AJ413" t="str">
        <f t="shared" si="82"/>
        <v>High</v>
      </c>
      <c r="AK413" t="str">
        <f t="shared" si="83"/>
        <v>Executive</v>
      </c>
      <c r="AL413" t="str">
        <f t="shared" si="84"/>
        <v>Low</v>
      </c>
      <c r="AM413" t="str">
        <f t="shared" si="85"/>
        <v>Very High</v>
      </c>
      <c r="AN413" t="str">
        <f t="shared" si="86"/>
        <v>No Options</v>
      </c>
      <c r="AO413" t="str">
        <f t="shared" si="87"/>
        <v>Bad</v>
      </c>
      <c r="AP413" t="str">
        <f t="shared" si="88"/>
        <v>55+</v>
      </c>
      <c r="AQ413" t="str">
        <f t="shared" si="89"/>
        <v>High</v>
      </c>
      <c r="AR413" t="str">
        <f t="shared" si="90"/>
        <v>20+ Years</v>
      </c>
    </row>
    <row r="414" spans="1:44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39</v>
      </c>
      <c r="L414">
        <v>87</v>
      </c>
      <c r="M414">
        <v>3</v>
      </c>
      <c r="N414">
        <v>2</v>
      </c>
      <c r="O414" t="s">
        <v>53</v>
      </c>
      <c r="P414">
        <v>3</v>
      </c>
      <c r="Q414" t="s">
        <v>52</v>
      </c>
      <c r="R414">
        <v>4810</v>
      </c>
      <c r="S414">
        <v>2</v>
      </c>
      <c r="T414" t="s">
        <v>43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  <c r="AF414">
        <f t="shared" si="78"/>
        <v>0</v>
      </c>
      <c r="AG414">
        <f t="shared" si="79"/>
        <v>0</v>
      </c>
      <c r="AH414" t="str">
        <f t="shared" si="80"/>
        <v>Bachelor</v>
      </c>
      <c r="AI414" t="str">
        <f t="shared" si="81"/>
        <v>High</v>
      </c>
      <c r="AJ414" t="str">
        <f t="shared" si="82"/>
        <v>High</v>
      </c>
      <c r="AK414" t="str">
        <f t="shared" si="83"/>
        <v>Junior</v>
      </c>
      <c r="AL414" t="str">
        <f t="shared" si="84"/>
        <v>High</v>
      </c>
      <c r="AM414" t="str">
        <f t="shared" si="85"/>
        <v>High</v>
      </c>
      <c r="AN414" t="str">
        <f t="shared" si="86"/>
        <v>Low</v>
      </c>
      <c r="AO414" t="str">
        <f t="shared" si="87"/>
        <v>Good</v>
      </c>
      <c r="AP414" t="str">
        <f t="shared" si="88"/>
        <v>45-54</v>
      </c>
      <c r="AQ414" t="str">
        <f t="shared" si="89"/>
        <v>Lower-Mid</v>
      </c>
      <c r="AR414" t="str">
        <f t="shared" si="90"/>
        <v>6-10 Years</v>
      </c>
    </row>
    <row r="415" spans="1:44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t="s">
        <v>39</v>
      </c>
      <c r="L415">
        <v>88</v>
      </c>
      <c r="M415">
        <v>2</v>
      </c>
      <c r="N415">
        <v>2</v>
      </c>
      <c r="O415" t="s">
        <v>54</v>
      </c>
      <c r="P415">
        <v>4</v>
      </c>
      <c r="Q415" t="s">
        <v>48</v>
      </c>
      <c r="R415">
        <v>4523</v>
      </c>
      <c r="S415">
        <v>0</v>
      </c>
      <c r="T415" t="s">
        <v>43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  <c r="AF415">
        <f t="shared" si="78"/>
        <v>0</v>
      </c>
      <c r="AG415">
        <f t="shared" si="79"/>
        <v>0</v>
      </c>
      <c r="AH415" t="str">
        <f t="shared" si="80"/>
        <v>Master</v>
      </c>
      <c r="AI415" t="str">
        <f t="shared" si="81"/>
        <v>Very High</v>
      </c>
      <c r="AJ415" t="str">
        <f t="shared" si="82"/>
        <v>Medium</v>
      </c>
      <c r="AK415" t="str">
        <f t="shared" si="83"/>
        <v>Junior</v>
      </c>
      <c r="AL415" t="str">
        <f t="shared" si="84"/>
        <v>Very High</v>
      </c>
      <c r="AM415" t="str">
        <f t="shared" si="85"/>
        <v>Very High</v>
      </c>
      <c r="AN415" t="str">
        <f t="shared" si="86"/>
        <v>High</v>
      </c>
      <c r="AO415" t="str">
        <f t="shared" si="87"/>
        <v>Best</v>
      </c>
      <c r="AP415" t="str">
        <f t="shared" si="88"/>
        <v>35-44</v>
      </c>
      <c r="AQ415" t="str">
        <f t="shared" si="89"/>
        <v>Lower-Mid</v>
      </c>
      <c r="AR415" t="str">
        <f t="shared" si="90"/>
        <v>6-10 Years</v>
      </c>
    </row>
    <row r="416" spans="1:44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t="s">
        <v>39</v>
      </c>
      <c r="L416">
        <v>62</v>
      </c>
      <c r="M416">
        <v>3</v>
      </c>
      <c r="N416">
        <v>1</v>
      </c>
      <c r="O416" t="s">
        <v>57</v>
      </c>
      <c r="P416">
        <v>2</v>
      </c>
      <c r="Q416" t="s">
        <v>41</v>
      </c>
      <c r="R416">
        <v>3202</v>
      </c>
      <c r="S416">
        <v>1</v>
      </c>
      <c r="T416" t="s">
        <v>35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  <c r="AF416">
        <f t="shared" si="78"/>
        <v>1</v>
      </c>
      <c r="AG416">
        <f t="shared" si="79"/>
        <v>1</v>
      </c>
      <c r="AH416" t="str">
        <f t="shared" si="80"/>
        <v>Below College</v>
      </c>
      <c r="AI416" t="str">
        <f t="shared" si="81"/>
        <v>Low</v>
      </c>
      <c r="AJ416" t="str">
        <f t="shared" si="82"/>
        <v>High</v>
      </c>
      <c r="AK416" t="str">
        <f t="shared" si="83"/>
        <v>Entry</v>
      </c>
      <c r="AL416" t="str">
        <f t="shared" si="84"/>
        <v>Medium</v>
      </c>
      <c r="AM416" t="str">
        <f t="shared" si="85"/>
        <v>Medium</v>
      </c>
      <c r="AN416" t="str">
        <f t="shared" si="86"/>
        <v>No Options</v>
      </c>
      <c r="AO416" t="str">
        <f t="shared" si="87"/>
        <v>Better</v>
      </c>
      <c r="AP416" t="str">
        <f t="shared" si="88"/>
        <v>Under 25</v>
      </c>
      <c r="AQ416" t="str">
        <f t="shared" si="89"/>
        <v>Lower-Mid</v>
      </c>
      <c r="AR416" t="str">
        <f t="shared" si="90"/>
        <v>3-5 Years</v>
      </c>
    </row>
    <row r="417" spans="1:44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t="s">
        <v>39</v>
      </c>
      <c r="L417">
        <v>33</v>
      </c>
      <c r="M417">
        <v>1</v>
      </c>
      <c r="N417">
        <v>1</v>
      </c>
      <c r="O417" t="s">
        <v>57</v>
      </c>
      <c r="P417">
        <v>3</v>
      </c>
      <c r="Q417" t="s">
        <v>52</v>
      </c>
      <c r="R417">
        <v>2351</v>
      </c>
      <c r="S417">
        <v>0</v>
      </c>
      <c r="T417" t="s">
        <v>43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  <c r="AF417">
        <f t="shared" si="78"/>
        <v>1</v>
      </c>
      <c r="AG417">
        <f t="shared" si="79"/>
        <v>0</v>
      </c>
      <c r="AH417" t="str">
        <f t="shared" si="80"/>
        <v>College</v>
      </c>
      <c r="AI417" t="str">
        <f t="shared" si="81"/>
        <v>Very High</v>
      </c>
      <c r="AJ417" t="str">
        <f t="shared" si="82"/>
        <v>Low</v>
      </c>
      <c r="AK417" t="str">
        <f t="shared" si="83"/>
        <v>Entry</v>
      </c>
      <c r="AL417" t="str">
        <f t="shared" si="84"/>
        <v>High</v>
      </c>
      <c r="AM417" t="str">
        <f t="shared" si="85"/>
        <v>Very High</v>
      </c>
      <c r="AN417" t="str">
        <f t="shared" si="86"/>
        <v>Low</v>
      </c>
      <c r="AO417" t="str">
        <f t="shared" si="87"/>
        <v>Good</v>
      </c>
      <c r="AP417" t="str">
        <f t="shared" si="88"/>
        <v>25-34</v>
      </c>
      <c r="AQ417" t="str">
        <f t="shared" si="89"/>
        <v>Low</v>
      </c>
      <c r="AR417" t="str">
        <f t="shared" si="90"/>
        <v>0-2 Years</v>
      </c>
    </row>
    <row r="418" spans="1:44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46</v>
      </c>
      <c r="L418">
        <v>42</v>
      </c>
      <c r="M418">
        <v>3</v>
      </c>
      <c r="N418">
        <v>1</v>
      </c>
      <c r="O418" t="s">
        <v>50</v>
      </c>
      <c r="P418">
        <v>4</v>
      </c>
      <c r="Q418" t="s">
        <v>48</v>
      </c>
      <c r="R418">
        <v>1702</v>
      </c>
      <c r="S418">
        <v>1</v>
      </c>
      <c r="T418" t="s">
        <v>35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  <c r="AF418">
        <f t="shared" si="78"/>
        <v>0</v>
      </c>
      <c r="AG418">
        <f t="shared" si="79"/>
        <v>1</v>
      </c>
      <c r="AH418" t="str">
        <f t="shared" si="80"/>
        <v>College</v>
      </c>
      <c r="AI418" t="str">
        <f t="shared" si="81"/>
        <v>Very High</v>
      </c>
      <c r="AJ418" t="str">
        <f t="shared" si="82"/>
        <v>High</v>
      </c>
      <c r="AK418" t="str">
        <f t="shared" si="83"/>
        <v>Entry</v>
      </c>
      <c r="AL418" t="str">
        <f t="shared" si="84"/>
        <v>Very High</v>
      </c>
      <c r="AM418" t="str">
        <f t="shared" si="85"/>
        <v>High</v>
      </c>
      <c r="AN418" t="str">
        <f t="shared" si="86"/>
        <v>Low</v>
      </c>
      <c r="AO418" t="str">
        <f t="shared" si="87"/>
        <v>Better</v>
      </c>
      <c r="AP418" t="str">
        <f t="shared" si="88"/>
        <v>35-44</v>
      </c>
      <c r="AQ418" t="str">
        <f t="shared" si="89"/>
        <v>Low</v>
      </c>
      <c r="AR418" t="str">
        <f t="shared" si="90"/>
        <v>0-2 Years</v>
      </c>
    </row>
    <row r="419" spans="1:44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79</v>
      </c>
      <c r="M419">
        <v>3</v>
      </c>
      <c r="N419">
        <v>5</v>
      </c>
      <c r="O419" t="s">
        <v>56</v>
      </c>
      <c r="P419">
        <v>3</v>
      </c>
      <c r="Q419" t="s">
        <v>48</v>
      </c>
      <c r="R419">
        <v>18041</v>
      </c>
      <c r="S419">
        <v>0</v>
      </c>
      <c r="T419" t="s">
        <v>43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  <c r="AF419">
        <f t="shared" si="78"/>
        <v>0</v>
      </c>
      <c r="AG419">
        <f t="shared" si="79"/>
        <v>0</v>
      </c>
      <c r="AH419" t="str">
        <f t="shared" si="80"/>
        <v>Master</v>
      </c>
      <c r="AI419" t="str">
        <f t="shared" si="81"/>
        <v>High</v>
      </c>
      <c r="AJ419" t="str">
        <f t="shared" si="82"/>
        <v>High</v>
      </c>
      <c r="AK419" t="str">
        <f t="shared" si="83"/>
        <v>Executive</v>
      </c>
      <c r="AL419" t="str">
        <f t="shared" si="84"/>
        <v>High</v>
      </c>
      <c r="AM419" t="str">
        <f t="shared" si="85"/>
        <v>Very High</v>
      </c>
      <c r="AN419" t="str">
        <f t="shared" si="86"/>
        <v>No Options</v>
      </c>
      <c r="AO419" t="str">
        <f t="shared" si="87"/>
        <v>Better</v>
      </c>
      <c r="AP419" t="str">
        <f t="shared" si="88"/>
        <v>35-44</v>
      </c>
      <c r="AQ419" t="str">
        <f t="shared" si="89"/>
        <v>High</v>
      </c>
      <c r="AR419" t="str">
        <f t="shared" si="90"/>
        <v>11-20 Years</v>
      </c>
    </row>
    <row r="420" spans="1:44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90</v>
      </c>
      <c r="M420">
        <v>3</v>
      </c>
      <c r="N420">
        <v>1</v>
      </c>
      <c r="O420" t="s">
        <v>47</v>
      </c>
      <c r="P420">
        <v>4</v>
      </c>
      <c r="Q420" t="s">
        <v>52</v>
      </c>
      <c r="R420">
        <v>2886</v>
      </c>
      <c r="S420">
        <v>1</v>
      </c>
      <c r="T420" t="s">
        <v>43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  <c r="AF420">
        <f t="shared" si="78"/>
        <v>0</v>
      </c>
      <c r="AG420">
        <f t="shared" si="79"/>
        <v>0</v>
      </c>
      <c r="AH420" t="str">
        <f t="shared" si="80"/>
        <v>Bachelor</v>
      </c>
      <c r="AI420" t="str">
        <f t="shared" si="81"/>
        <v>Low</v>
      </c>
      <c r="AJ420" t="str">
        <f t="shared" si="82"/>
        <v>High</v>
      </c>
      <c r="AK420" t="str">
        <f t="shared" si="83"/>
        <v>Entry</v>
      </c>
      <c r="AL420" t="str">
        <f t="shared" si="84"/>
        <v>Very High</v>
      </c>
      <c r="AM420" t="str">
        <f t="shared" si="85"/>
        <v>Medium</v>
      </c>
      <c r="AN420" t="str">
        <f t="shared" si="86"/>
        <v>Medium</v>
      </c>
      <c r="AO420" t="str">
        <f t="shared" si="87"/>
        <v>Bad</v>
      </c>
      <c r="AP420" t="str">
        <f t="shared" si="88"/>
        <v>25-34</v>
      </c>
      <c r="AQ420" t="str">
        <f t="shared" si="89"/>
        <v>Low</v>
      </c>
      <c r="AR420" t="str">
        <f t="shared" si="90"/>
        <v>3-5 Years</v>
      </c>
    </row>
    <row r="421" spans="1:44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46</v>
      </c>
      <c r="L421">
        <v>53</v>
      </c>
      <c r="M421">
        <v>3</v>
      </c>
      <c r="N421">
        <v>1</v>
      </c>
      <c r="O421" t="s">
        <v>50</v>
      </c>
      <c r="P421">
        <v>4</v>
      </c>
      <c r="Q421" t="s">
        <v>48</v>
      </c>
      <c r="R421">
        <v>2097</v>
      </c>
      <c r="S421">
        <v>4</v>
      </c>
      <c r="T421" t="s">
        <v>43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  <c r="AF421">
        <f t="shared" si="78"/>
        <v>0</v>
      </c>
      <c r="AG421">
        <f t="shared" si="79"/>
        <v>0</v>
      </c>
      <c r="AH421" t="str">
        <f t="shared" si="80"/>
        <v>Bachelor</v>
      </c>
      <c r="AI421" t="str">
        <f t="shared" si="81"/>
        <v>High</v>
      </c>
      <c r="AJ421" t="str">
        <f t="shared" si="82"/>
        <v>High</v>
      </c>
      <c r="AK421" t="str">
        <f t="shared" si="83"/>
        <v>Entry</v>
      </c>
      <c r="AL421" t="str">
        <f t="shared" si="84"/>
        <v>Very High</v>
      </c>
      <c r="AM421" t="str">
        <f t="shared" si="85"/>
        <v>High</v>
      </c>
      <c r="AN421" t="str">
        <f t="shared" si="86"/>
        <v>Low</v>
      </c>
      <c r="AO421" t="str">
        <f t="shared" si="87"/>
        <v>Bad</v>
      </c>
      <c r="AP421" t="str">
        <f t="shared" si="88"/>
        <v>25-34</v>
      </c>
      <c r="AQ421" t="str">
        <f t="shared" si="89"/>
        <v>Low</v>
      </c>
      <c r="AR421" t="str">
        <f t="shared" si="90"/>
        <v>3-5 Years</v>
      </c>
    </row>
    <row r="422" spans="1:44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46</v>
      </c>
      <c r="L422">
        <v>93</v>
      </c>
      <c r="M422">
        <v>2</v>
      </c>
      <c r="N422">
        <v>3</v>
      </c>
      <c r="O422" t="s">
        <v>58</v>
      </c>
      <c r="P422">
        <v>3</v>
      </c>
      <c r="Q422" t="s">
        <v>48</v>
      </c>
      <c r="R422">
        <v>11935</v>
      </c>
      <c r="S422">
        <v>1</v>
      </c>
      <c r="T422" t="s">
        <v>43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  <c r="AF422">
        <f t="shared" si="78"/>
        <v>0</v>
      </c>
      <c r="AG422">
        <f t="shared" si="79"/>
        <v>0</v>
      </c>
      <c r="AH422" t="str">
        <f t="shared" si="80"/>
        <v>Master</v>
      </c>
      <c r="AI422" t="str">
        <f t="shared" si="81"/>
        <v>Medium</v>
      </c>
      <c r="AJ422" t="str">
        <f t="shared" si="82"/>
        <v>Medium</v>
      </c>
      <c r="AK422" t="str">
        <f t="shared" si="83"/>
        <v>Mid-Level</v>
      </c>
      <c r="AL422" t="str">
        <f t="shared" si="84"/>
        <v>High</v>
      </c>
      <c r="AM422" t="str">
        <f t="shared" si="85"/>
        <v>High</v>
      </c>
      <c r="AN422" t="str">
        <f t="shared" si="86"/>
        <v>No Options</v>
      </c>
      <c r="AO422" t="str">
        <f t="shared" si="87"/>
        <v>Better</v>
      </c>
      <c r="AP422" t="str">
        <f t="shared" si="88"/>
        <v>25-34</v>
      </c>
      <c r="AQ422" t="str">
        <f t="shared" si="89"/>
        <v>Upper-Mid</v>
      </c>
      <c r="AR422" t="str">
        <f t="shared" si="90"/>
        <v>6-10 Years</v>
      </c>
    </row>
    <row r="423" spans="1:44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t="s">
        <v>39</v>
      </c>
      <c r="L423">
        <v>71</v>
      </c>
      <c r="M423">
        <v>2</v>
      </c>
      <c r="N423">
        <v>1</v>
      </c>
      <c r="O423" t="s">
        <v>47</v>
      </c>
      <c r="P423">
        <v>2</v>
      </c>
      <c r="Q423" t="s">
        <v>48</v>
      </c>
      <c r="R423">
        <v>2546</v>
      </c>
      <c r="S423">
        <v>5</v>
      </c>
      <c r="T423" t="s">
        <v>43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  <c r="AF423">
        <f t="shared" si="78"/>
        <v>1</v>
      </c>
      <c r="AG423">
        <f t="shared" si="79"/>
        <v>0</v>
      </c>
      <c r="AH423" t="str">
        <f t="shared" si="80"/>
        <v>Doctor</v>
      </c>
      <c r="AI423" t="str">
        <f t="shared" si="81"/>
        <v>High</v>
      </c>
      <c r="AJ423" t="str">
        <f t="shared" si="82"/>
        <v>Medium</v>
      </c>
      <c r="AK423" t="str">
        <f t="shared" si="83"/>
        <v>Entry</v>
      </c>
      <c r="AL423" t="str">
        <f t="shared" si="84"/>
        <v>Medium</v>
      </c>
      <c r="AM423" t="str">
        <f t="shared" si="85"/>
        <v>Medium</v>
      </c>
      <c r="AN423" t="str">
        <f t="shared" si="86"/>
        <v>No Options</v>
      </c>
      <c r="AO423" t="str">
        <f t="shared" si="87"/>
        <v>Best</v>
      </c>
      <c r="AP423" t="str">
        <f t="shared" si="88"/>
        <v>25-34</v>
      </c>
      <c r="AQ423" t="str">
        <f t="shared" si="89"/>
        <v>Low</v>
      </c>
      <c r="AR423" t="str">
        <f t="shared" si="90"/>
        <v>0-2 Years</v>
      </c>
    </row>
    <row r="424" spans="1:44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t="s">
        <v>46</v>
      </c>
      <c r="L424">
        <v>52</v>
      </c>
      <c r="M424">
        <v>2</v>
      </c>
      <c r="N424">
        <v>1</v>
      </c>
      <c r="O424" t="s">
        <v>61</v>
      </c>
      <c r="P424">
        <v>4</v>
      </c>
      <c r="Q424" t="s">
        <v>41</v>
      </c>
      <c r="R424">
        <v>2564</v>
      </c>
      <c r="S424">
        <v>1</v>
      </c>
      <c r="T424" t="s">
        <v>43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  <c r="AF424">
        <f t="shared" si="78"/>
        <v>1</v>
      </c>
      <c r="AG424">
        <f t="shared" si="79"/>
        <v>0</v>
      </c>
      <c r="AH424" t="str">
        <f t="shared" si="80"/>
        <v>College</v>
      </c>
      <c r="AI424" t="str">
        <f t="shared" si="81"/>
        <v>Low</v>
      </c>
      <c r="AJ424" t="str">
        <f t="shared" si="82"/>
        <v>Medium</v>
      </c>
      <c r="AK424" t="str">
        <f t="shared" si="83"/>
        <v>Entry</v>
      </c>
      <c r="AL424" t="str">
        <f t="shared" si="84"/>
        <v>Very High</v>
      </c>
      <c r="AM424" t="str">
        <f t="shared" si="85"/>
        <v>High</v>
      </c>
      <c r="AN424" t="str">
        <f t="shared" si="86"/>
        <v>No Options</v>
      </c>
      <c r="AO424" t="str">
        <f t="shared" si="87"/>
        <v>Best</v>
      </c>
      <c r="AP424" t="str">
        <f t="shared" si="88"/>
        <v>Under 25</v>
      </c>
      <c r="AQ424" t="str">
        <f t="shared" si="89"/>
        <v>Low</v>
      </c>
      <c r="AR424" t="str">
        <f t="shared" si="90"/>
        <v>0-2 Years</v>
      </c>
    </row>
    <row r="425" spans="1:44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39</v>
      </c>
      <c r="L425">
        <v>69</v>
      </c>
      <c r="M425">
        <v>3</v>
      </c>
      <c r="N425">
        <v>3</v>
      </c>
      <c r="O425" t="s">
        <v>40</v>
      </c>
      <c r="P425">
        <v>1</v>
      </c>
      <c r="Q425" t="s">
        <v>48</v>
      </c>
      <c r="R425">
        <v>8412</v>
      </c>
      <c r="S425">
        <v>0</v>
      </c>
      <c r="T425" t="s">
        <v>43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  <c r="AF425">
        <f t="shared" si="78"/>
        <v>0</v>
      </c>
      <c r="AG425">
        <f t="shared" si="79"/>
        <v>0</v>
      </c>
      <c r="AH425" t="str">
        <f t="shared" si="80"/>
        <v>Master</v>
      </c>
      <c r="AI425" t="str">
        <f t="shared" si="81"/>
        <v>High</v>
      </c>
      <c r="AJ425" t="str">
        <f t="shared" si="82"/>
        <v>High</v>
      </c>
      <c r="AK425" t="str">
        <f t="shared" si="83"/>
        <v>Mid-Level</v>
      </c>
      <c r="AL425" t="str">
        <f t="shared" si="84"/>
        <v>Low</v>
      </c>
      <c r="AM425" t="str">
        <f t="shared" si="85"/>
        <v>High</v>
      </c>
      <c r="AN425" t="str">
        <f t="shared" si="86"/>
        <v>No Options</v>
      </c>
      <c r="AO425" t="str">
        <f t="shared" si="87"/>
        <v>Better</v>
      </c>
      <c r="AP425" t="str">
        <f t="shared" si="88"/>
        <v>25-34</v>
      </c>
      <c r="AQ425" t="str">
        <f t="shared" si="89"/>
        <v>Upper-Mid</v>
      </c>
      <c r="AR425" t="str">
        <f t="shared" si="90"/>
        <v>6-10 Years</v>
      </c>
    </row>
    <row r="426" spans="1:44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t="s">
        <v>46</v>
      </c>
      <c r="L426">
        <v>56</v>
      </c>
      <c r="M426">
        <v>2</v>
      </c>
      <c r="N426">
        <v>4</v>
      </c>
      <c r="O426" t="s">
        <v>56</v>
      </c>
      <c r="P426">
        <v>4</v>
      </c>
      <c r="Q426" t="s">
        <v>52</v>
      </c>
      <c r="R426">
        <v>14118</v>
      </c>
      <c r="S426">
        <v>3</v>
      </c>
      <c r="T426" t="s">
        <v>43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  <c r="AF426">
        <f t="shared" si="78"/>
        <v>0</v>
      </c>
      <c r="AG426">
        <f t="shared" si="79"/>
        <v>0</v>
      </c>
      <c r="AH426" t="str">
        <f t="shared" si="80"/>
        <v>Bachelor</v>
      </c>
      <c r="AI426" t="str">
        <f t="shared" si="81"/>
        <v>Low</v>
      </c>
      <c r="AJ426" t="str">
        <f t="shared" si="82"/>
        <v>Medium</v>
      </c>
      <c r="AK426" t="str">
        <f t="shared" si="83"/>
        <v>Senior</v>
      </c>
      <c r="AL426" t="str">
        <f t="shared" si="84"/>
        <v>Very High</v>
      </c>
      <c r="AM426" t="str">
        <f t="shared" si="85"/>
        <v>High</v>
      </c>
      <c r="AN426" t="str">
        <f t="shared" si="86"/>
        <v>Low</v>
      </c>
      <c r="AO426" t="str">
        <f t="shared" si="87"/>
        <v>Good</v>
      </c>
      <c r="AP426" t="str">
        <f t="shared" si="88"/>
        <v>55+</v>
      </c>
      <c r="AQ426" t="str">
        <f t="shared" si="89"/>
        <v>High</v>
      </c>
      <c r="AR426" t="str">
        <f t="shared" si="90"/>
        <v>0-2 Years</v>
      </c>
    </row>
    <row r="427" spans="1:44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46</v>
      </c>
      <c r="L427">
        <v>88</v>
      </c>
      <c r="M427">
        <v>2</v>
      </c>
      <c r="N427">
        <v>4</v>
      </c>
      <c r="O427" t="s">
        <v>56</v>
      </c>
      <c r="P427">
        <v>3</v>
      </c>
      <c r="Q427" t="s">
        <v>48</v>
      </c>
      <c r="R427">
        <v>17046</v>
      </c>
      <c r="S427">
        <v>0</v>
      </c>
      <c r="T427" t="s">
        <v>43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  <c r="AF427">
        <f t="shared" si="78"/>
        <v>0</v>
      </c>
      <c r="AG427">
        <f t="shared" si="79"/>
        <v>0</v>
      </c>
      <c r="AH427" t="str">
        <f t="shared" si="80"/>
        <v>Master</v>
      </c>
      <c r="AI427" t="str">
        <f t="shared" si="81"/>
        <v>Medium</v>
      </c>
      <c r="AJ427" t="str">
        <f t="shared" si="82"/>
        <v>Medium</v>
      </c>
      <c r="AK427" t="str">
        <f t="shared" si="83"/>
        <v>Senior</v>
      </c>
      <c r="AL427" t="str">
        <f t="shared" si="84"/>
        <v>High</v>
      </c>
      <c r="AM427" t="str">
        <f t="shared" si="85"/>
        <v>Medium</v>
      </c>
      <c r="AN427" t="str">
        <f t="shared" si="86"/>
        <v>Low</v>
      </c>
      <c r="AO427" t="str">
        <f t="shared" si="87"/>
        <v>Better</v>
      </c>
      <c r="AP427" t="str">
        <f t="shared" si="88"/>
        <v>45-54</v>
      </c>
      <c r="AQ427" t="str">
        <f t="shared" si="89"/>
        <v>High</v>
      </c>
      <c r="AR427" t="str">
        <f t="shared" si="90"/>
        <v>20+ Years</v>
      </c>
    </row>
    <row r="428" spans="1:44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39</v>
      </c>
      <c r="L428">
        <v>49</v>
      </c>
      <c r="M428">
        <v>3</v>
      </c>
      <c r="N428">
        <v>1</v>
      </c>
      <c r="O428" t="s">
        <v>50</v>
      </c>
      <c r="P428">
        <v>4</v>
      </c>
      <c r="Q428" t="s">
        <v>41</v>
      </c>
      <c r="R428">
        <v>2564</v>
      </c>
      <c r="S428">
        <v>0</v>
      </c>
      <c r="T428" t="s">
        <v>43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  <c r="AF428">
        <f t="shared" si="78"/>
        <v>0</v>
      </c>
      <c r="AG428">
        <f t="shared" si="79"/>
        <v>0</v>
      </c>
      <c r="AH428" t="str">
        <f t="shared" si="80"/>
        <v>Bachelor</v>
      </c>
      <c r="AI428" t="str">
        <f t="shared" si="81"/>
        <v>High</v>
      </c>
      <c r="AJ428" t="str">
        <f t="shared" si="82"/>
        <v>High</v>
      </c>
      <c r="AK428" t="str">
        <f t="shared" si="83"/>
        <v>Entry</v>
      </c>
      <c r="AL428" t="str">
        <f t="shared" si="84"/>
        <v>Very High</v>
      </c>
      <c r="AM428" t="str">
        <f t="shared" si="85"/>
        <v>High</v>
      </c>
      <c r="AN428" t="str">
        <f t="shared" si="86"/>
        <v>No Options</v>
      </c>
      <c r="AO428" t="str">
        <f t="shared" si="87"/>
        <v>Good</v>
      </c>
      <c r="AP428" t="str">
        <f t="shared" si="88"/>
        <v>25-34</v>
      </c>
      <c r="AQ428" t="str">
        <f t="shared" si="89"/>
        <v>Low</v>
      </c>
      <c r="AR428" t="str">
        <f t="shared" si="90"/>
        <v>11-20 Years</v>
      </c>
    </row>
    <row r="429" spans="1:44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t="s">
        <v>39</v>
      </c>
      <c r="L429">
        <v>80</v>
      </c>
      <c r="M429">
        <v>2</v>
      </c>
      <c r="N429">
        <v>3</v>
      </c>
      <c r="O429" t="s">
        <v>40</v>
      </c>
      <c r="P429">
        <v>1</v>
      </c>
      <c r="Q429" t="s">
        <v>48</v>
      </c>
      <c r="R429">
        <v>10266</v>
      </c>
      <c r="S429">
        <v>4</v>
      </c>
      <c r="T429" t="s">
        <v>43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  <c r="AF429">
        <f t="shared" si="78"/>
        <v>0</v>
      </c>
      <c r="AG429">
        <f t="shared" si="79"/>
        <v>0</v>
      </c>
      <c r="AH429" t="str">
        <f t="shared" si="80"/>
        <v>Bachelor</v>
      </c>
      <c r="AI429" t="str">
        <f t="shared" si="81"/>
        <v>High</v>
      </c>
      <c r="AJ429" t="str">
        <f t="shared" si="82"/>
        <v>Medium</v>
      </c>
      <c r="AK429" t="str">
        <f t="shared" si="83"/>
        <v>Mid-Level</v>
      </c>
      <c r="AL429" t="str">
        <f t="shared" si="84"/>
        <v>Low</v>
      </c>
      <c r="AM429" t="str">
        <f t="shared" si="85"/>
        <v>Very High</v>
      </c>
      <c r="AN429" t="str">
        <f t="shared" si="86"/>
        <v>No Options</v>
      </c>
      <c r="AO429" t="str">
        <f t="shared" si="87"/>
        <v>Best</v>
      </c>
      <c r="AP429" t="str">
        <f t="shared" si="88"/>
        <v>55+</v>
      </c>
      <c r="AQ429" t="str">
        <f t="shared" si="89"/>
        <v>Upper-Mid</v>
      </c>
      <c r="AR429" t="str">
        <f t="shared" si="90"/>
        <v>11-20 Years</v>
      </c>
    </row>
    <row r="430" spans="1:44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39</v>
      </c>
      <c r="L430">
        <v>65</v>
      </c>
      <c r="M430">
        <v>3</v>
      </c>
      <c r="N430">
        <v>2</v>
      </c>
      <c r="O430" t="s">
        <v>53</v>
      </c>
      <c r="P430">
        <v>4</v>
      </c>
      <c r="Q430" t="s">
        <v>52</v>
      </c>
      <c r="R430">
        <v>5070</v>
      </c>
      <c r="S430">
        <v>5</v>
      </c>
      <c r="T430" t="s">
        <v>43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  <c r="AF430">
        <f t="shared" si="78"/>
        <v>0</v>
      </c>
      <c r="AG430">
        <f t="shared" si="79"/>
        <v>0</v>
      </c>
      <c r="AH430" t="str">
        <f t="shared" si="80"/>
        <v>College</v>
      </c>
      <c r="AI430" t="str">
        <f t="shared" si="81"/>
        <v>Low</v>
      </c>
      <c r="AJ430" t="str">
        <f t="shared" si="82"/>
        <v>High</v>
      </c>
      <c r="AK430" t="str">
        <f t="shared" si="83"/>
        <v>Junior</v>
      </c>
      <c r="AL430" t="str">
        <f t="shared" si="84"/>
        <v>Very High</v>
      </c>
      <c r="AM430" t="str">
        <f t="shared" si="85"/>
        <v>High</v>
      </c>
      <c r="AN430" t="str">
        <f t="shared" si="86"/>
        <v>High</v>
      </c>
      <c r="AO430" t="str">
        <f t="shared" si="87"/>
        <v>Better</v>
      </c>
      <c r="AP430" t="str">
        <f t="shared" si="88"/>
        <v>45-54</v>
      </c>
      <c r="AQ430" t="str">
        <f t="shared" si="89"/>
        <v>Lower-Mid</v>
      </c>
      <c r="AR430" t="str">
        <f t="shared" si="90"/>
        <v>3-5 Years</v>
      </c>
    </row>
    <row r="431" spans="1:44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46</v>
      </c>
      <c r="L431">
        <v>51</v>
      </c>
      <c r="M431">
        <v>3</v>
      </c>
      <c r="N431">
        <v>4</v>
      </c>
      <c r="O431" t="s">
        <v>58</v>
      </c>
      <c r="P431">
        <v>3</v>
      </c>
      <c r="Q431" t="s">
        <v>48</v>
      </c>
      <c r="R431">
        <v>17861</v>
      </c>
      <c r="S431">
        <v>6</v>
      </c>
      <c r="T431" t="s">
        <v>43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  <c r="AF431">
        <f t="shared" si="78"/>
        <v>0</v>
      </c>
      <c r="AG431">
        <f t="shared" si="79"/>
        <v>0</v>
      </c>
      <c r="AH431" t="str">
        <f t="shared" si="80"/>
        <v>Bachelor</v>
      </c>
      <c r="AI431" t="str">
        <f t="shared" si="81"/>
        <v>Low</v>
      </c>
      <c r="AJ431" t="str">
        <f t="shared" si="82"/>
        <v>High</v>
      </c>
      <c r="AK431" t="str">
        <f t="shared" si="83"/>
        <v>Senior</v>
      </c>
      <c r="AL431" t="str">
        <f t="shared" si="84"/>
        <v>High</v>
      </c>
      <c r="AM431" t="str">
        <f t="shared" si="85"/>
        <v>High</v>
      </c>
      <c r="AN431" t="str">
        <f t="shared" si="86"/>
        <v>No Options</v>
      </c>
      <c r="AO431" t="str">
        <f t="shared" si="87"/>
        <v>Bad</v>
      </c>
      <c r="AP431" t="str">
        <f t="shared" si="88"/>
        <v>45-54</v>
      </c>
      <c r="AQ431" t="str">
        <f t="shared" si="89"/>
        <v>High</v>
      </c>
      <c r="AR431" t="str">
        <f t="shared" si="90"/>
        <v>3-5 Years</v>
      </c>
    </row>
    <row r="432" spans="1:44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46</v>
      </c>
      <c r="L432">
        <v>46</v>
      </c>
      <c r="M432">
        <v>1</v>
      </c>
      <c r="N432">
        <v>1</v>
      </c>
      <c r="O432" t="s">
        <v>50</v>
      </c>
      <c r="P432">
        <v>3</v>
      </c>
      <c r="Q432" t="s">
        <v>41</v>
      </c>
      <c r="R432">
        <v>4230</v>
      </c>
      <c r="S432">
        <v>0</v>
      </c>
      <c r="T432" t="s">
        <v>43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  <c r="AF432">
        <f t="shared" si="78"/>
        <v>0</v>
      </c>
      <c r="AG432">
        <f t="shared" si="79"/>
        <v>0</v>
      </c>
      <c r="AH432" t="str">
        <f t="shared" si="80"/>
        <v>Bachelor</v>
      </c>
      <c r="AI432" t="str">
        <f t="shared" si="81"/>
        <v>Very High</v>
      </c>
      <c r="AJ432" t="str">
        <f t="shared" si="82"/>
        <v>Low</v>
      </c>
      <c r="AK432" t="str">
        <f t="shared" si="83"/>
        <v>Entry</v>
      </c>
      <c r="AL432" t="str">
        <f t="shared" si="84"/>
        <v>High</v>
      </c>
      <c r="AM432" t="str">
        <f t="shared" si="85"/>
        <v>High</v>
      </c>
      <c r="AN432" t="str">
        <f t="shared" si="86"/>
        <v>No Options</v>
      </c>
      <c r="AO432" t="str">
        <f t="shared" si="87"/>
        <v>Better</v>
      </c>
      <c r="AP432" t="str">
        <f t="shared" si="88"/>
        <v>35-44</v>
      </c>
      <c r="AQ432" t="str">
        <f t="shared" si="89"/>
        <v>Lower-Mid</v>
      </c>
      <c r="AR432" t="str">
        <f t="shared" si="90"/>
        <v>3-5 Years</v>
      </c>
    </row>
    <row r="433" spans="1:44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42</v>
      </c>
      <c r="M433">
        <v>3</v>
      </c>
      <c r="N433">
        <v>2</v>
      </c>
      <c r="O433" t="s">
        <v>50</v>
      </c>
      <c r="P433">
        <v>3</v>
      </c>
      <c r="Q433" t="s">
        <v>41</v>
      </c>
      <c r="R433">
        <v>3780</v>
      </c>
      <c r="S433">
        <v>7</v>
      </c>
      <c r="T433" t="s">
        <v>43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  <c r="AF433">
        <f t="shared" si="78"/>
        <v>0</v>
      </c>
      <c r="AG433">
        <f t="shared" si="79"/>
        <v>0</v>
      </c>
      <c r="AH433" t="str">
        <f t="shared" si="80"/>
        <v>Master</v>
      </c>
      <c r="AI433" t="str">
        <f t="shared" si="81"/>
        <v>High</v>
      </c>
      <c r="AJ433" t="str">
        <f t="shared" si="82"/>
        <v>High</v>
      </c>
      <c r="AK433" t="str">
        <f t="shared" si="83"/>
        <v>Junior</v>
      </c>
      <c r="AL433" t="str">
        <f t="shared" si="84"/>
        <v>High</v>
      </c>
      <c r="AM433" t="str">
        <f t="shared" si="85"/>
        <v>High</v>
      </c>
      <c r="AN433" t="str">
        <f t="shared" si="86"/>
        <v>No Options</v>
      </c>
      <c r="AO433" t="str">
        <f t="shared" si="87"/>
        <v>Better</v>
      </c>
      <c r="AP433" t="str">
        <f t="shared" si="88"/>
        <v>45-54</v>
      </c>
      <c r="AQ433" t="str">
        <f t="shared" si="89"/>
        <v>Lower-Mid</v>
      </c>
      <c r="AR433" t="str">
        <f t="shared" si="90"/>
        <v>0-2 Years</v>
      </c>
    </row>
    <row r="434" spans="1:44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46</v>
      </c>
      <c r="L434">
        <v>62</v>
      </c>
      <c r="M434">
        <v>2</v>
      </c>
      <c r="N434">
        <v>1</v>
      </c>
      <c r="O434" t="s">
        <v>47</v>
      </c>
      <c r="P434">
        <v>3</v>
      </c>
      <c r="Q434" t="s">
        <v>52</v>
      </c>
      <c r="R434">
        <v>2768</v>
      </c>
      <c r="S434">
        <v>3</v>
      </c>
      <c r="T434" t="s">
        <v>43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  <c r="AF434">
        <f t="shared" si="78"/>
        <v>0</v>
      </c>
      <c r="AG434">
        <f t="shared" si="79"/>
        <v>0</v>
      </c>
      <c r="AH434" t="str">
        <f t="shared" si="80"/>
        <v>Master</v>
      </c>
      <c r="AI434" t="str">
        <f t="shared" si="81"/>
        <v>Very High</v>
      </c>
      <c r="AJ434" t="str">
        <f t="shared" si="82"/>
        <v>Medium</v>
      </c>
      <c r="AK434" t="str">
        <f t="shared" si="83"/>
        <v>Entry</v>
      </c>
      <c r="AL434" t="str">
        <f t="shared" si="84"/>
        <v>High</v>
      </c>
      <c r="AM434" t="str">
        <f t="shared" si="85"/>
        <v>High</v>
      </c>
      <c r="AN434" t="str">
        <f t="shared" si="86"/>
        <v>Low</v>
      </c>
      <c r="AO434" t="str">
        <f t="shared" si="87"/>
        <v>Better</v>
      </c>
      <c r="AP434" t="str">
        <f t="shared" si="88"/>
        <v>25-34</v>
      </c>
      <c r="AQ434" t="str">
        <f t="shared" si="89"/>
        <v>Low</v>
      </c>
      <c r="AR434" t="str">
        <f t="shared" si="90"/>
        <v>6-10 Years</v>
      </c>
    </row>
    <row r="435" spans="1:44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t="s">
        <v>39</v>
      </c>
      <c r="L435">
        <v>94</v>
      </c>
      <c r="M435">
        <v>2</v>
      </c>
      <c r="N435">
        <v>3</v>
      </c>
      <c r="O435" t="s">
        <v>40</v>
      </c>
      <c r="P435">
        <v>4</v>
      </c>
      <c r="Q435" t="s">
        <v>48</v>
      </c>
      <c r="R435">
        <v>9071</v>
      </c>
      <c r="S435">
        <v>2</v>
      </c>
      <c r="T435" t="s">
        <v>35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  <c r="AF435">
        <f t="shared" si="78"/>
        <v>0</v>
      </c>
      <c r="AG435">
        <f t="shared" si="79"/>
        <v>1</v>
      </c>
      <c r="AH435" t="str">
        <f t="shared" si="80"/>
        <v>Bachelor</v>
      </c>
      <c r="AI435" t="str">
        <f t="shared" si="81"/>
        <v>High</v>
      </c>
      <c r="AJ435" t="str">
        <f t="shared" si="82"/>
        <v>Medium</v>
      </c>
      <c r="AK435" t="str">
        <f t="shared" si="83"/>
        <v>Mid-Level</v>
      </c>
      <c r="AL435" t="str">
        <f t="shared" si="84"/>
        <v>Very High</v>
      </c>
      <c r="AM435" t="str">
        <f t="shared" si="85"/>
        <v>High</v>
      </c>
      <c r="AN435" t="str">
        <f t="shared" si="86"/>
        <v>Low</v>
      </c>
      <c r="AO435" t="str">
        <f t="shared" si="87"/>
        <v>Better</v>
      </c>
      <c r="AP435" t="str">
        <f t="shared" si="88"/>
        <v>45-54</v>
      </c>
      <c r="AQ435" t="str">
        <f t="shared" si="89"/>
        <v>Upper-Mid</v>
      </c>
      <c r="AR435" t="str">
        <f t="shared" si="90"/>
        <v>3-5 Years</v>
      </c>
    </row>
    <row r="436" spans="1:44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46</v>
      </c>
      <c r="L436">
        <v>33</v>
      </c>
      <c r="M436">
        <v>3</v>
      </c>
      <c r="N436">
        <v>3</v>
      </c>
      <c r="O436" t="s">
        <v>53</v>
      </c>
      <c r="P436">
        <v>2</v>
      </c>
      <c r="Q436" t="s">
        <v>52</v>
      </c>
      <c r="R436">
        <v>10648</v>
      </c>
      <c r="S436">
        <v>1</v>
      </c>
      <c r="T436" t="s">
        <v>43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  <c r="AF436">
        <f t="shared" si="78"/>
        <v>0</v>
      </c>
      <c r="AG436">
        <f t="shared" si="79"/>
        <v>0</v>
      </c>
      <c r="AH436" t="str">
        <f t="shared" si="80"/>
        <v>Below College</v>
      </c>
      <c r="AI436" t="str">
        <f t="shared" si="81"/>
        <v>High</v>
      </c>
      <c r="AJ436" t="str">
        <f t="shared" si="82"/>
        <v>High</v>
      </c>
      <c r="AK436" t="str">
        <f t="shared" si="83"/>
        <v>Mid-Level</v>
      </c>
      <c r="AL436" t="str">
        <f t="shared" si="84"/>
        <v>Medium</v>
      </c>
      <c r="AM436" t="str">
        <f t="shared" si="85"/>
        <v>Very High</v>
      </c>
      <c r="AN436" t="str">
        <f t="shared" si="86"/>
        <v>Low</v>
      </c>
      <c r="AO436" t="str">
        <f t="shared" si="87"/>
        <v>Best</v>
      </c>
      <c r="AP436" t="str">
        <f t="shared" si="88"/>
        <v>25-34</v>
      </c>
      <c r="AQ436" t="str">
        <f t="shared" si="89"/>
        <v>Upper-Mid</v>
      </c>
      <c r="AR436" t="str">
        <f t="shared" si="90"/>
        <v>11-20 Years</v>
      </c>
    </row>
    <row r="437" spans="1:44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46</v>
      </c>
      <c r="L437">
        <v>56</v>
      </c>
      <c r="M437">
        <v>3</v>
      </c>
      <c r="N437">
        <v>3</v>
      </c>
      <c r="O437" t="s">
        <v>56</v>
      </c>
      <c r="P437">
        <v>3</v>
      </c>
      <c r="Q437" t="s">
        <v>48</v>
      </c>
      <c r="R437">
        <v>13610</v>
      </c>
      <c r="S437">
        <v>7</v>
      </c>
      <c r="T437" t="s">
        <v>35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  <c r="AF437">
        <f t="shared" si="78"/>
        <v>1</v>
      </c>
      <c r="AG437">
        <f t="shared" si="79"/>
        <v>1</v>
      </c>
      <c r="AH437" t="str">
        <f t="shared" si="80"/>
        <v>Below College</v>
      </c>
      <c r="AI437" t="str">
        <f t="shared" si="81"/>
        <v>Medium</v>
      </c>
      <c r="AJ437" t="str">
        <f t="shared" si="82"/>
        <v>High</v>
      </c>
      <c r="AK437" t="str">
        <f t="shared" si="83"/>
        <v>Mid-Level</v>
      </c>
      <c r="AL437" t="str">
        <f t="shared" si="84"/>
        <v>High</v>
      </c>
      <c r="AM437" t="str">
        <f t="shared" si="85"/>
        <v>Very High</v>
      </c>
      <c r="AN437" t="str">
        <f t="shared" si="86"/>
        <v>No Options</v>
      </c>
      <c r="AO437" t="str">
        <f t="shared" si="87"/>
        <v>Best</v>
      </c>
      <c r="AP437" t="str">
        <f t="shared" si="88"/>
        <v>25-34</v>
      </c>
      <c r="AQ437" t="str">
        <f t="shared" si="89"/>
        <v>High</v>
      </c>
      <c r="AR437" t="str">
        <f t="shared" si="90"/>
        <v>6-10 Years</v>
      </c>
    </row>
    <row r="438" spans="1:44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46</v>
      </c>
      <c r="L438">
        <v>38</v>
      </c>
      <c r="M438">
        <v>1</v>
      </c>
      <c r="N438">
        <v>1</v>
      </c>
      <c r="O438" t="s">
        <v>50</v>
      </c>
      <c r="P438">
        <v>4</v>
      </c>
      <c r="Q438" t="s">
        <v>52</v>
      </c>
      <c r="R438">
        <v>3408</v>
      </c>
      <c r="S438">
        <v>7</v>
      </c>
      <c r="T438" t="s">
        <v>43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  <c r="AF438">
        <f t="shared" si="78"/>
        <v>1</v>
      </c>
      <c r="AG438">
        <f t="shared" si="79"/>
        <v>0</v>
      </c>
      <c r="AH438" t="str">
        <f t="shared" si="80"/>
        <v>Below College</v>
      </c>
      <c r="AI438" t="str">
        <f t="shared" si="81"/>
        <v>Low</v>
      </c>
      <c r="AJ438" t="str">
        <f t="shared" si="82"/>
        <v>Low</v>
      </c>
      <c r="AK438" t="str">
        <f t="shared" si="83"/>
        <v>Entry</v>
      </c>
      <c r="AL438" t="str">
        <f t="shared" si="84"/>
        <v>Very High</v>
      </c>
      <c r="AM438" t="str">
        <f t="shared" si="85"/>
        <v>Low</v>
      </c>
      <c r="AN438" t="str">
        <f t="shared" si="86"/>
        <v>High</v>
      </c>
      <c r="AO438" t="str">
        <f t="shared" si="87"/>
        <v>Better</v>
      </c>
      <c r="AP438" t="str">
        <f t="shared" si="88"/>
        <v>25-34</v>
      </c>
      <c r="AQ438" t="str">
        <f t="shared" si="89"/>
        <v>Lower-Mid</v>
      </c>
      <c r="AR438" t="str">
        <f t="shared" si="90"/>
        <v>3-5 Years</v>
      </c>
    </row>
    <row r="439" spans="1:44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t="s">
        <v>46</v>
      </c>
      <c r="L439">
        <v>57</v>
      </c>
      <c r="M439">
        <v>3</v>
      </c>
      <c r="N439">
        <v>1</v>
      </c>
      <c r="O439" t="s">
        <v>57</v>
      </c>
      <c r="P439">
        <v>2</v>
      </c>
      <c r="Q439" t="s">
        <v>41</v>
      </c>
      <c r="R439">
        <v>2983</v>
      </c>
      <c r="S439">
        <v>0</v>
      </c>
      <c r="T439" t="s">
        <v>43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  <c r="AF439">
        <f t="shared" si="78"/>
        <v>0</v>
      </c>
      <c r="AG439">
        <f t="shared" si="79"/>
        <v>0</v>
      </c>
      <c r="AH439" t="str">
        <f t="shared" si="80"/>
        <v>Below College</v>
      </c>
      <c r="AI439" t="str">
        <f t="shared" si="81"/>
        <v>Very High</v>
      </c>
      <c r="AJ439" t="str">
        <f t="shared" si="82"/>
        <v>High</v>
      </c>
      <c r="AK439" t="str">
        <f t="shared" si="83"/>
        <v>Entry</v>
      </c>
      <c r="AL439" t="str">
        <f t="shared" si="84"/>
        <v>Medium</v>
      </c>
      <c r="AM439" t="str">
        <f t="shared" si="85"/>
        <v>Low</v>
      </c>
      <c r="AN439" t="str">
        <f t="shared" si="86"/>
        <v>No Options</v>
      </c>
      <c r="AO439" t="str">
        <f t="shared" si="87"/>
        <v>Better</v>
      </c>
      <c r="AP439" t="str">
        <f t="shared" si="88"/>
        <v>25-34</v>
      </c>
      <c r="AQ439" t="str">
        <f t="shared" si="89"/>
        <v>Low</v>
      </c>
      <c r="AR439" t="str">
        <f t="shared" si="90"/>
        <v>3-5 Years</v>
      </c>
    </row>
    <row r="440" spans="1:44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46</v>
      </c>
      <c r="L440">
        <v>72</v>
      </c>
      <c r="M440">
        <v>3</v>
      </c>
      <c r="N440">
        <v>3</v>
      </c>
      <c r="O440" t="s">
        <v>54</v>
      </c>
      <c r="P440">
        <v>3</v>
      </c>
      <c r="Q440" t="s">
        <v>48</v>
      </c>
      <c r="R440">
        <v>7632</v>
      </c>
      <c r="S440">
        <v>4</v>
      </c>
      <c r="T440" t="s">
        <v>35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  <c r="AF440">
        <f t="shared" si="78"/>
        <v>0</v>
      </c>
      <c r="AG440">
        <f t="shared" si="79"/>
        <v>1</v>
      </c>
      <c r="AH440" t="str">
        <f t="shared" si="80"/>
        <v>Bachelor</v>
      </c>
      <c r="AI440" t="str">
        <f t="shared" si="81"/>
        <v>Very High</v>
      </c>
      <c r="AJ440" t="str">
        <f t="shared" si="82"/>
        <v>High</v>
      </c>
      <c r="AK440" t="str">
        <f t="shared" si="83"/>
        <v>Mid-Level</v>
      </c>
      <c r="AL440" t="str">
        <f t="shared" si="84"/>
        <v>High</v>
      </c>
      <c r="AM440" t="str">
        <f t="shared" si="85"/>
        <v>High</v>
      </c>
      <c r="AN440" t="str">
        <f t="shared" si="86"/>
        <v>No Options</v>
      </c>
      <c r="AO440" t="str">
        <f t="shared" si="87"/>
        <v>Better</v>
      </c>
      <c r="AP440" t="str">
        <f t="shared" si="88"/>
        <v>35-44</v>
      </c>
      <c r="AQ440" t="str">
        <f t="shared" si="89"/>
        <v>Upper-Mid</v>
      </c>
      <c r="AR440" t="str">
        <f t="shared" si="90"/>
        <v>6-10 Years</v>
      </c>
    </row>
    <row r="441" spans="1:44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46</v>
      </c>
      <c r="L441">
        <v>66</v>
      </c>
      <c r="M441">
        <v>3</v>
      </c>
      <c r="N441">
        <v>3</v>
      </c>
      <c r="O441" t="s">
        <v>54</v>
      </c>
      <c r="P441">
        <v>3</v>
      </c>
      <c r="Q441" t="s">
        <v>48</v>
      </c>
      <c r="R441">
        <v>9824</v>
      </c>
      <c r="S441">
        <v>3</v>
      </c>
      <c r="T441" t="s">
        <v>43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  <c r="AF441">
        <f t="shared" si="78"/>
        <v>1</v>
      </c>
      <c r="AG441">
        <f t="shared" si="79"/>
        <v>0</v>
      </c>
      <c r="AH441" t="str">
        <f t="shared" si="80"/>
        <v>Bachelor</v>
      </c>
      <c r="AI441" t="str">
        <f t="shared" si="81"/>
        <v>Low</v>
      </c>
      <c r="AJ441" t="str">
        <f t="shared" si="82"/>
        <v>High</v>
      </c>
      <c r="AK441" t="str">
        <f t="shared" si="83"/>
        <v>Mid-Level</v>
      </c>
      <c r="AL441" t="str">
        <f t="shared" si="84"/>
        <v>High</v>
      </c>
      <c r="AM441" t="str">
        <f t="shared" si="85"/>
        <v>Low</v>
      </c>
      <c r="AN441" t="str">
        <f t="shared" si="86"/>
        <v>No Options</v>
      </c>
      <c r="AO441" t="str">
        <f t="shared" si="87"/>
        <v>Better</v>
      </c>
      <c r="AP441" t="str">
        <f t="shared" si="88"/>
        <v>25-34</v>
      </c>
      <c r="AQ441" t="str">
        <f t="shared" si="89"/>
        <v>Upper-Mid</v>
      </c>
      <c r="AR441" t="str">
        <f t="shared" si="90"/>
        <v>0-2 Years</v>
      </c>
    </row>
    <row r="442" spans="1:44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t="s">
        <v>39</v>
      </c>
      <c r="L442">
        <v>43</v>
      </c>
      <c r="M442">
        <v>3</v>
      </c>
      <c r="N442">
        <v>3</v>
      </c>
      <c r="O442" t="s">
        <v>61</v>
      </c>
      <c r="P442">
        <v>1</v>
      </c>
      <c r="Q442" t="s">
        <v>52</v>
      </c>
      <c r="R442">
        <v>9950</v>
      </c>
      <c r="S442">
        <v>9</v>
      </c>
      <c r="T442" t="s">
        <v>35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  <c r="AF442">
        <f t="shared" si="78"/>
        <v>1</v>
      </c>
      <c r="AG442">
        <f t="shared" si="79"/>
        <v>1</v>
      </c>
      <c r="AH442" t="str">
        <f t="shared" si="80"/>
        <v>Bachelor</v>
      </c>
      <c r="AI442" t="str">
        <f t="shared" si="81"/>
        <v>Medium</v>
      </c>
      <c r="AJ442" t="str">
        <f t="shared" si="82"/>
        <v>High</v>
      </c>
      <c r="AK442" t="str">
        <f t="shared" si="83"/>
        <v>Mid-Level</v>
      </c>
      <c r="AL442" t="str">
        <f t="shared" si="84"/>
        <v>Low</v>
      </c>
      <c r="AM442" t="str">
        <f t="shared" si="85"/>
        <v>High</v>
      </c>
      <c r="AN442" t="str">
        <f t="shared" si="86"/>
        <v>High</v>
      </c>
      <c r="AO442" t="str">
        <f t="shared" si="87"/>
        <v>Better</v>
      </c>
      <c r="AP442" t="str">
        <f t="shared" si="88"/>
        <v>25-34</v>
      </c>
      <c r="AQ442" t="str">
        <f t="shared" si="89"/>
        <v>Upper-Mid</v>
      </c>
      <c r="AR442" t="str">
        <f t="shared" si="90"/>
        <v>3-5 Years</v>
      </c>
    </row>
    <row r="443" spans="1:44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97</v>
      </c>
      <c r="M443">
        <v>3</v>
      </c>
      <c r="N443">
        <v>1</v>
      </c>
      <c r="O443" t="s">
        <v>50</v>
      </c>
      <c r="P443">
        <v>3</v>
      </c>
      <c r="Q443" t="s">
        <v>48</v>
      </c>
      <c r="R443">
        <v>2093</v>
      </c>
      <c r="S443">
        <v>4</v>
      </c>
      <c r="T443" t="s">
        <v>43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  <c r="AF443">
        <f t="shared" si="78"/>
        <v>0</v>
      </c>
      <c r="AG443">
        <f t="shared" si="79"/>
        <v>0</v>
      </c>
      <c r="AH443" t="str">
        <f t="shared" si="80"/>
        <v>College</v>
      </c>
      <c r="AI443" t="str">
        <f t="shared" si="81"/>
        <v>Medium</v>
      </c>
      <c r="AJ443" t="str">
        <f t="shared" si="82"/>
        <v>High</v>
      </c>
      <c r="AK443" t="str">
        <f t="shared" si="83"/>
        <v>Entry</v>
      </c>
      <c r="AL443" t="str">
        <f t="shared" si="84"/>
        <v>High</v>
      </c>
      <c r="AM443" t="str">
        <f t="shared" si="85"/>
        <v>Very High</v>
      </c>
      <c r="AN443" t="str">
        <f t="shared" si="86"/>
        <v>Low</v>
      </c>
      <c r="AO443" t="str">
        <f t="shared" si="87"/>
        <v>Better</v>
      </c>
      <c r="AP443" t="str">
        <f t="shared" si="88"/>
        <v>35-44</v>
      </c>
      <c r="AQ443" t="str">
        <f t="shared" si="89"/>
        <v>Low</v>
      </c>
      <c r="AR443" t="str">
        <f t="shared" si="90"/>
        <v>0-2 Years</v>
      </c>
    </row>
    <row r="444" spans="1:44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46</v>
      </c>
      <c r="L444">
        <v>32</v>
      </c>
      <c r="M444">
        <v>3</v>
      </c>
      <c r="N444">
        <v>3</v>
      </c>
      <c r="O444" t="s">
        <v>40</v>
      </c>
      <c r="P444">
        <v>4</v>
      </c>
      <c r="Q444" t="s">
        <v>41</v>
      </c>
      <c r="R444">
        <v>9980</v>
      </c>
      <c r="S444">
        <v>1</v>
      </c>
      <c r="T444" t="s">
        <v>43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  <c r="AF444">
        <f t="shared" si="78"/>
        <v>0</v>
      </c>
      <c r="AG444">
        <f t="shared" si="79"/>
        <v>0</v>
      </c>
      <c r="AH444" t="str">
        <f t="shared" si="80"/>
        <v>Master</v>
      </c>
      <c r="AI444" t="str">
        <f t="shared" si="81"/>
        <v>Medium</v>
      </c>
      <c r="AJ444" t="str">
        <f t="shared" si="82"/>
        <v>High</v>
      </c>
      <c r="AK444" t="str">
        <f t="shared" si="83"/>
        <v>Mid-Level</v>
      </c>
      <c r="AL444" t="str">
        <f t="shared" si="84"/>
        <v>Very High</v>
      </c>
      <c r="AM444" t="str">
        <f t="shared" si="85"/>
        <v>Very High</v>
      </c>
      <c r="AN444" t="str">
        <f t="shared" si="86"/>
        <v>No Options</v>
      </c>
      <c r="AO444" t="str">
        <f t="shared" si="87"/>
        <v>Good</v>
      </c>
      <c r="AP444" t="str">
        <f t="shared" si="88"/>
        <v>35-44</v>
      </c>
      <c r="AQ444" t="str">
        <f t="shared" si="89"/>
        <v>Upper-Mid</v>
      </c>
      <c r="AR444" t="str">
        <f t="shared" si="90"/>
        <v>6-10 Years</v>
      </c>
    </row>
    <row r="445" spans="1:44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t="s">
        <v>46</v>
      </c>
      <c r="L445">
        <v>99</v>
      </c>
      <c r="M445">
        <v>2</v>
      </c>
      <c r="N445">
        <v>1</v>
      </c>
      <c r="O445" t="s">
        <v>50</v>
      </c>
      <c r="P445">
        <v>3</v>
      </c>
      <c r="Q445" t="s">
        <v>41</v>
      </c>
      <c r="R445">
        <v>3894</v>
      </c>
      <c r="S445">
        <v>5</v>
      </c>
      <c r="T445" t="s">
        <v>43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  <c r="AF445">
        <f t="shared" si="78"/>
        <v>1</v>
      </c>
      <c r="AG445">
        <f t="shared" si="79"/>
        <v>0</v>
      </c>
      <c r="AH445" t="str">
        <f t="shared" si="80"/>
        <v>Below College</v>
      </c>
      <c r="AI445" t="str">
        <f t="shared" si="81"/>
        <v>High</v>
      </c>
      <c r="AJ445" t="str">
        <f t="shared" si="82"/>
        <v>Medium</v>
      </c>
      <c r="AK445" t="str">
        <f t="shared" si="83"/>
        <v>Entry</v>
      </c>
      <c r="AL445" t="str">
        <f t="shared" si="84"/>
        <v>High</v>
      </c>
      <c r="AM445" t="str">
        <f t="shared" si="85"/>
        <v>High</v>
      </c>
      <c r="AN445" t="str">
        <f t="shared" si="86"/>
        <v>No Options</v>
      </c>
      <c r="AO445" t="str">
        <f t="shared" si="87"/>
        <v>Better</v>
      </c>
      <c r="AP445" t="str">
        <f t="shared" si="88"/>
        <v>Under 25</v>
      </c>
      <c r="AQ445" t="str">
        <f t="shared" si="89"/>
        <v>Lower-Mid</v>
      </c>
      <c r="AR445" t="str">
        <f t="shared" si="90"/>
        <v>0-2 Years</v>
      </c>
    </row>
    <row r="446" spans="1:44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t="s">
        <v>39</v>
      </c>
      <c r="L446">
        <v>37</v>
      </c>
      <c r="M446">
        <v>3</v>
      </c>
      <c r="N446">
        <v>2</v>
      </c>
      <c r="O446" t="s">
        <v>40</v>
      </c>
      <c r="P446">
        <v>4</v>
      </c>
      <c r="Q446" t="s">
        <v>48</v>
      </c>
      <c r="R446">
        <v>4051</v>
      </c>
      <c r="S446">
        <v>2</v>
      </c>
      <c r="T446" t="s">
        <v>43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  <c r="AF446">
        <f t="shared" si="78"/>
        <v>0</v>
      </c>
      <c r="AG446">
        <f t="shared" si="79"/>
        <v>0</v>
      </c>
      <c r="AH446" t="str">
        <f t="shared" si="80"/>
        <v>Doctor</v>
      </c>
      <c r="AI446" t="str">
        <f t="shared" si="81"/>
        <v>Medium</v>
      </c>
      <c r="AJ446" t="str">
        <f t="shared" si="82"/>
        <v>High</v>
      </c>
      <c r="AK446" t="str">
        <f t="shared" si="83"/>
        <v>Junior</v>
      </c>
      <c r="AL446" t="str">
        <f t="shared" si="84"/>
        <v>Very High</v>
      </c>
      <c r="AM446" t="str">
        <f t="shared" si="85"/>
        <v>Low</v>
      </c>
      <c r="AN446" t="str">
        <f t="shared" si="86"/>
        <v>Low</v>
      </c>
      <c r="AO446" t="str">
        <f t="shared" si="87"/>
        <v>Better</v>
      </c>
      <c r="AP446" t="str">
        <f t="shared" si="88"/>
        <v>45-54</v>
      </c>
      <c r="AQ446" t="str">
        <f t="shared" si="89"/>
        <v>Lower-Mid</v>
      </c>
      <c r="AR446" t="str">
        <f t="shared" si="90"/>
        <v>6-10 Years</v>
      </c>
    </row>
    <row r="447" spans="1:44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83</v>
      </c>
      <c r="M447">
        <v>3</v>
      </c>
      <c r="N447">
        <v>4</v>
      </c>
      <c r="O447" t="s">
        <v>56</v>
      </c>
      <c r="P447">
        <v>2</v>
      </c>
      <c r="Q447" t="s">
        <v>41</v>
      </c>
      <c r="R447">
        <v>16835</v>
      </c>
      <c r="S447">
        <v>3</v>
      </c>
      <c r="T447" t="s">
        <v>43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  <c r="AF447">
        <f t="shared" si="78"/>
        <v>0</v>
      </c>
      <c r="AG447">
        <f t="shared" si="79"/>
        <v>0</v>
      </c>
      <c r="AH447" t="str">
        <f t="shared" si="80"/>
        <v>Doctor</v>
      </c>
      <c r="AI447" t="str">
        <f t="shared" si="81"/>
        <v>Low</v>
      </c>
      <c r="AJ447" t="str">
        <f t="shared" si="82"/>
        <v>High</v>
      </c>
      <c r="AK447" t="str">
        <f t="shared" si="83"/>
        <v>Senior</v>
      </c>
      <c r="AL447" t="str">
        <f t="shared" si="84"/>
        <v>Medium</v>
      </c>
      <c r="AM447" t="str">
        <f t="shared" si="85"/>
        <v>Very High</v>
      </c>
      <c r="AN447" t="str">
        <f t="shared" si="86"/>
        <v>No Options</v>
      </c>
      <c r="AO447" t="str">
        <f t="shared" si="87"/>
        <v>Better</v>
      </c>
      <c r="AP447" t="str">
        <f t="shared" si="88"/>
        <v>55+</v>
      </c>
      <c r="AQ447" t="str">
        <f t="shared" si="89"/>
        <v>High</v>
      </c>
      <c r="AR447" t="str">
        <f t="shared" si="90"/>
        <v>6-10 Years</v>
      </c>
    </row>
    <row r="448" spans="1:44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46</v>
      </c>
      <c r="L448">
        <v>56</v>
      </c>
      <c r="M448">
        <v>3</v>
      </c>
      <c r="N448">
        <v>2</v>
      </c>
      <c r="O448" t="s">
        <v>40</v>
      </c>
      <c r="P448">
        <v>4</v>
      </c>
      <c r="Q448" t="s">
        <v>41</v>
      </c>
      <c r="R448">
        <v>6230</v>
      </c>
      <c r="S448">
        <v>7</v>
      </c>
      <c r="T448" t="s">
        <v>43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  <c r="AF448">
        <f t="shared" si="78"/>
        <v>0</v>
      </c>
      <c r="AG448">
        <f t="shared" si="79"/>
        <v>0</v>
      </c>
      <c r="AH448" t="str">
        <f t="shared" si="80"/>
        <v>College</v>
      </c>
      <c r="AI448" t="str">
        <f t="shared" si="81"/>
        <v>Very High</v>
      </c>
      <c r="AJ448" t="str">
        <f t="shared" si="82"/>
        <v>High</v>
      </c>
      <c r="AK448" t="str">
        <f t="shared" si="83"/>
        <v>Junior</v>
      </c>
      <c r="AL448" t="str">
        <f t="shared" si="84"/>
        <v>Very High</v>
      </c>
      <c r="AM448" t="str">
        <f t="shared" si="85"/>
        <v>Very High</v>
      </c>
      <c r="AN448" t="str">
        <f t="shared" si="86"/>
        <v>No Options</v>
      </c>
      <c r="AO448" t="str">
        <f t="shared" si="87"/>
        <v>Better</v>
      </c>
      <c r="AP448" t="str">
        <f t="shared" si="88"/>
        <v>35-44</v>
      </c>
      <c r="AQ448" t="str">
        <f t="shared" si="89"/>
        <v>Lower-Mid</v>
      </c>
      <c r="AR448" t="str">
        <f t="shared" si="90"/>
        <v>11-20 Years</v>
      </c>
    </row>
    <row r="449" spans="1:44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t="s">
        <v>46</v>
      </c>
      <c r="L449">
        <v>85</v>
      </c>
      <c r="M449">
        <v>3</v>
      </c>
      <c r="N449">
        <v>2</v>
      </c>
      <c r="O449" t="s">
        <v>40</v>
      </c>
      <c r="P449">
        <v>3</v>
      </c>
      <c r="Q449" t="s">
        <v>48</v>
      </c>
      <c r="R449">
        <v>4717</v>
      </c>
      <c r="S449">
        <v>9</v>
      </c>
      <c r="T449" t="s">
        <v>43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  <c r="AF449">
        <f t="shared" si="78"/>
        <v>0</v>
      </c>
      <c r="AG449">
        <f t="shared" si="79"/>
        <v>0</v>
      </c>
      <c r="AH449" t="str">
        <f t="shared" si="80"/>
        <v>Bachelor</v>
      </c>
      <c r="AI449" t="str">
        <f t="shared" si="81"/>
        <v>Medium</v>
      </c>
      <c r="AJ449" t="str">
        <f t="shared" si="82"/>
        <v>High</v>
      </c>
      <c r="AK449" t="str">
        <f t="shared" si="83"/>
        <v>Junior</v>
      </c>
      <c r="AL449" t="str">
        <f t="shared" si="84"/>
        <v>High</v>
      </c>
      <c r="AM449" t="str">
        <f t="shared" si="85"/>
        <v>High</v>
      </c>
      <c r="AN449" t="str">
        <f t="shared" si="86"/>
        <v>No Options</v>
      </c>
      <c r="AO449" t="str">
        <f t="shared" si="87"/>
        <v>Better</v>
      </c>
      <c r="AP449" t="str">
        <f t="shared" si="88"/>
        <v>35-44</v>
      </c>
      <c r="AQ449" t="str">
        <f t="shared" si="89"/>
        <v>Lower-Mid</v>
      </c>
      <c r="AR449" t="str">
        <f t="shared" si="90"/>
        <v>11-20 Years</v>
      </c>
    </row>
    <row r="450" spans="1:44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75</v>
      </c>
      <c r="M450">
        <v>3</v>
      </c>
      <c r="N450">
        <v>4</v>
      </c>
      <c r="O450" t="s">
        <v>53</v>
      </c>
      <c r="P450">
        <v>3</v>
      </c>
      <c r="Q450" t="s">
        <v>41</v>
      </c>
      <c r="R450">
        <v>13237</v>
      </c>
      <c r="S450">
        <v>7</v>
      </c>
      <c r="T450" t="s">
        <v>43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  <c r="AF450">
        <f t="shared" si="78"/>
        <v>0</v>
      </c>
      <c r="AG450">
        <f t="shared" si="79"/>
        <v>0</v>
      </c>
      <c r="AH450" t="str">
        <f t="shared" si="80"/>
        <v>Bachelor</v>
      </c>
      <c r="AI450" t="str">
        <f t="shared" si="81"/>
        <v>Medium</v>
      </c>
      <c r="AJ450" t="str">
        <f t="shared" si="82"/>
        <v>High</v>
      </c>
      <c r="AK450" t="str">
        <f t="shared" si="83"/>
        <v>Senior</v>
      </c>
      <c r="AL450" t="str">
        <f t="shared" si="84"/>
        <v>High</v>
      </c>
      <c r="AM450" t="str">
        <f t="shared" si="85"/>
        <v>High</v>
      </c>
      <c r="AN450" t="str">
        <f t="shared" si="86"/>
        <v>No Options</v>
      </c>
      <c r="AO450" t="str">
        <f t="shared" si="87"/>
        <v>Better</v>
      </c>
      <c r="AP450" t="str">
        <f t="shared" si="88"/>
        <v>35-44</v>
      </c>
      <c r="AQ450" t="str">
        <f t="shared" si="89"/>
        <v>High</v>
      </c>
      <c r="AR450" t="str">
        <f t="shared" si="90"/>
        <v>11-20 Years</v>
      </c>
    </row>
    <row r="451" spans="1:44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48</v>
      </c>
      <c r="M451">
        <v>3</v>
      </c>
      <c r="N451">
        <v>1</v>
      </c>
      <c r="O451" t="s">
        <v>50</v>
      </c>
      <c r="P451">
        <v>3</v>
      </c>
      <c r="Q451" t="s">
        <v>48</v>
      </c>
      <c r="R451">
        <v>3755</v>
      </c>
      <c r="S451">
        <v>1</v>
      </c>
      <c r="T451" t="s">
        <v>43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  <c r="AF451">
        <f t="shared" ref="AF451:AF514" si="91">IF(B451="Yes",1,0)</f>
        <v>0</v>
      </c>
      <c r="AG451">
        <f t="shared" ref="AG451:AG514" si="92">IF(T451="Yes",1,0)</f>
        <v>0</v>
      </c>
      <c r="AH451" t="str">
        <f t="shared" ref="AH451:AH514" si="93">CHOOSE(G451,"Below College","College","Bachelor","Master","Doctor")</f>
        <v>Below College</v>
      </c>
      <c r="AI451" t="str">
        <f t="shared" ref="AI451:AI514" si="94">CHOOSE(J451,"Low","Medium","High","Very High")</f>
        <v>High</v>
      </c>
      <c r="AJ451" t="str">
        <f t="shared" ref="AJ451:AJ514" si="95">CHOOSE(M451,"Low","Medium","High","Very High")</f>
        <v>High</v>
      </c>
      <c r="AK451" t="str">
        <f t="shared" ref="AK451:AK514" si="96">CHOOSE(N451,"Entry","Junior","Mid-Level","Senior","Executive")</f>
        <v>Entry</v>
      </c>
      <c r="AL451" t="str">
        <f t="shared" ref="AL451:AL514" si="97">CHOOSE(P451,"Low","Medium","High","Very High")</f>
        <v>High</v>
      </c>
      <c r="AM451" t="str">
        <f t="shared" ref="AM451:AM514" si="98">CHOOSE(W451,"Low","Medium","High","Very High")</f>
        <v>Low</v>
      </c>
      <c r="AN451" t="str">
        <f t="shared" ref="AN451:AN514" si="99">CHOOSE(X451+1,"No Options","Low","Medium","High")</f>
        <v>Low</v>
      </c>
      <c r="AO451" t="str">
        <f t="shared" ref="AO451:AO514" si="100">CHOOSE(AA451,"Bad","Good","Better","Best")</f>
        <v>Better</v>
      </c>
      <c r="AP451" t="str">
        <f t="shared" ref="AP451:AP514" si="101">IF(A451&lt;=24,"Under 25",IF(A451&lt;=34,"25-34",IF(A451&lt;=44,"35-44",IF(A451&lt;=54,"45-54","55+"))))</f>
        <v>35-44</v>
      </c>
      <c r="AQ451" t="str">
        <f t="shared" ref="AQ451:AQ514" si="102">IF(R451&lt;3000,"Low",IF(R451&lt;7000,"Lower-Mid",IF(R451&lt;13000,"Upper-Mid","High")))</f>
        <v>Lower-Mid</v>
      </c>
      <c r="AR451" t="str">
        <f t="shared" ref="AR451:AR514" si="103">IF(AB451&lt;=2,"0-2 Years",IF(AB451&lt;=5,"3-5 Years",IF(AB451&lt;=10,"6-10 Years",IF(AB451&lt;=20,"11-20 Years","20+ Years"))))</f>
        <v>6-10 Years</v>
      </c>
    </row>
    <row r="452" spans="1:44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46</v>
      </c>
      <c r="L452">
        <v>77</v>
      </c>
      <c r="M452">
        <v>3</v>
      </c>
      <c r="N452">
        <v>2</v>
      </c>
      <c r="O452" t="s">
        <v>40</v>
      </c>
      <c r="P452">
        <v>4</v>
      </c>
      <c r="Q452" t="s">
        <v>41</v>
      </c>
      <c r="R452">
        <v>6582</v>
      </c>
      <c r="S452">
        <v>4</v>
      </c>
      <c r="T452" t="s">
        <v>35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  <c r="AF452">
        <f t="shared" si="91"/>
        <v>0</v>
      </c>
      <c r="AG452">
        <f t="shared" si="92"/>
        <v>1</v>
      </c>
      <c r="AH452" t="str">
        <f t="shared" si="93"/>
        <v>Below College</v>
      </c>
      <c r="AI452" t="str">
        <f t="shared" si="94"/>
        <v>Medium</v>
      </c>
      <c r="AJ452" t="str">
        <f t="shared" si="95"/>
        <v>High</v>
      </c>
      <c r="AK452" t="str">
        <f t="shared" si="96"/>
        <v>Junior</v>
      </c>
      <c r="AL452" t="str">
        <f t="shared" si="97"/>
        <v>Very High</v>
      </c>
      <c r="AM452" t="str">
        <f t="shared" si="98"/>
        <v>High</v>
      </c>
      <c r="AN452" t="str">
        <f t="shared" si="99"/>
        <v>No Options</v>
      </c>
      <c r="AO452" t="str">
        <f t="shared" si="100"/>
        <v>Best</v>
      </c>
      <c r="AP452" t="str">
        <f t="shared" si="101"/>
        <v>25-34</v>
      </c>
      <c r="AQ452" t="str">
        <f t="shared" si="102"/>
        <v>Lower-Mid</v>
      </c>
      <c r="AR452" t="str">
        <f t="shared" si="103"/>
        <v>6-10 Years</v>
      </c>
    </row>
    <row r="453" spans="1:44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46</v>
      </c>
      <c r="L453">
        <v>56</v>
      </c>
      <c r="M453">
        <v>3</v>
      </c>
      <c r="N453">
        <v>3</v>
      </c>
      <c r="O453" t="s">
        <v>53</v>
      </c>
      <c r="P453">
        <v>1</v>
      </c>
      <c r="Q453" t="s">
        <v>48</v>
      </c>
      <c r="R453">
        <v>7406</v>
      </c>
      <c r="S453">
        <v>1</v>
      </c>
      <c r="T453" t="s">
        <v>35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  <c r="AF453">
        <f t="shared" si="91"/>
        <v>0</v>
      </c>
      <c r="AG453">
        <f t="shared" si="92"/>
        <v>1</v>
      </c>
      <c r="AH453" t="str">
        <f t="shared" si="93"/>
        <v>Bachelor</v>
      </c>
      <c r="AI453" t="str">
        <f t="shared" si="94"/>
        <v>Very High</v>
      </c>
      <c r="AJ453" t="str">
        <f t="shared" si="95"/>
        <v>High</v>
      </c>
      <c r="AK453" t="str">
        <f t="shared" si="96"/>
        <v>Mid-Level</v>
      </c>
      <c r="AL453" t="str">
        <f t="shared" si="97"/>
        <v>Low</v>
      </c>
      <c r="AM453" t="str">
        <f t="shared" si="98"/>
        <v>Very High</v>
      </c>
      <c r="AN453" t="str">
        <f t="shared" si="99"/>
        <v>Low</v>
      </c>
      <c r="AO453" t="str">
        <f t="shared" si="100"/>
        <v>Good</v>
      </c>
      <c r="AP453" t="str">
        <f t="shared" si="101"/>
        <v>35-44</v>
      </c>
      <c r="AQ453" t="str">
        <f t="shared" si="102"/>
        <v>Upper-Mid</v>
      </c>
      <c r="AR453" t="str">
        <f t="shared" si="103"/>
        <v>6-10 Years</v>
      </c>
    </row>
    <row r="454" spans="1:44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61</v>
      </c>
      <c r="M454">
        <v>3</v>
      </c>
      <c r="N454">
        <v>2</v>
      </c>
      <c r="O454" t="s">
        <v>40</v>
      </c>
      <c r="P454">
        <v>2</v>
      </c>
      <c r="Q454" t="s">
        <v>48</v>
      </c>
      <c r="R454">
        <v>4805</v>
      </c>
      <c r="S454">
        <v>0</v>
      </c>
      <c r="T454" t="s">
        <v>43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  <c r="AF454">
        <f t="shared" si="91"/>
        <v>0</v>
      </c>
      <c r="AG454">
        <f t="shared" si="92"/>
        <v>0</v>
      </c>
      <c r="AH454" t="str">
        <f t="shared" si="93"/>
        <v>Bachelor</v>
      </c>
      <c r="AI454" t="str">
        <f t="shared" si="94"/>
        <v>Very High</v>
      </c>
      <c r="AJ454" t="str">
        <f t="shared" si="95"/>
        <v>High</v>
      </c>
      <c r="AK454" t="str">
        <f t="shared" si="96"/>
        <v>Junior</v>
      </c>
      <c r="AL454" t="str">
        <f t="shared" si="97"/>
        <v>Medium</v>
      </c>
      <c r="AM454" t="str">
        <f t="shared" si="98"/>
        <v>Medium</v>
      </c>
      <c r="AN454" t="str">
        <f t="shared" si="99"/>
        <v>Low</v>
      </c>
      <c r="AO454" t="str">
        <f t="shared" si="100"/>
        <v>Best</v>
      </c>
      <c r="AP454" t="str">
        <f t="shared" si="101"/>
        <v>45-54</v>
      </c>
      <c r="AQ454" t="str">
        <f t="shared" si="102"/>
        <v>Lower-Mid</v>
      </c>
      <c r="AR454" t="str">
        <f t="shared" si="103"/>
        <v>6-10 Years</v>
      </c>
    </row>
    <row r="455" spans="1:44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58</v>
      </c>
      <c r="M455">
        <v>3</v>
      </c>
      <c r="N455">
        <v>1</v>
      </c>
      <c r="O455" t="s">
        <v>61</v>
      </c>
      <c r="P455">
        <v>3</v>
      </c>
      <c r="Q455" t="s">
        <v>52</v>
      </c>
      <c r="R455">
        <v>2741</v>
      </c>
      <c r="S455">
        <v>0</v>
      </c>
      <c r="T455" t="s">
        <v>35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  <c r="AF455">
        <f t="shared" si="91"/>
        <v>1</v>
      </c>
      <c r="AG455">
        <f t="shared" si="92"/>
        <v>1</v>
      </c>
      <c r="AH455" t="str">
        <f t="shared" si="93"/>
        <v>Master</v>
      </c>
      <c r="AI455" t="str">
        <f t="shared" si="94"/>
        <v>Medium</v>
      </c>
      <c r="AJ455" t="str">
        <f t="shared" si="95"/>
        <v>High</v>
      </c>
      <c r="AK455" t="str">
        <f t="shared" si="96"/>
        <v>Entry</v>
      </c>
      <c r="AL455" t="str">
        <f t="shared" si="97"/>
        <v>High</v>
      </c>
      <c r="AM455" t="str">
        <f t="shared" si="98"/>
        <v>Medium</v>
      </c>
      <c r="AN455" t="str">
        <f t="shared" si="99"/>
        <v>Low</v>
      </c>
      <c r="AO455" t="str">
        <f t="shared" si="100"/>
        <v>Good</v>
      </c>
      <c r="AP455" t="str">
        <f t="shared" si="101"/>
        <v>25-34</v>
      </c>
      <c r="AQ455" t="str">
        <f t="shared" si="102"/>
        <v>Low</v>
      </c>
      <c r="AR455" t="str">
        <f t="shared" si="103"/>
        <v>6-10 Years</v>
      </c>
    </row>
    <row r="456" spans="1:44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t="s">
        <v>46</v>
      </c>
      <c r="L456">
        <v>34</v>
      </c>
      <c r="M456">
        <v>3</v>
      </c>
      <c r="N456">
        <v>2</v>
      </c>
      <c r="O456" t="s">
        <v>53</v>
      </c>
      <c r="P456">
        <v>4</v>
      </c>
      <c r="Q456" t="s">
        <v>52</v>
      </c>
      <c r="R456">
        <v>4262</v>
      </c>
      <c r="S456">
        <v>4</v>
      </c>
      <c r="T456" t="s">
        <v>43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  <c r="AF456">
        <f t="shared" si="91"/>
        <v>0</v>
      </c>
      <c r="AG456">
        <f t="shared" si="92"/>
        <v>0</v>
      </c>
      <c r="AH456" t="str">
        <f t="shared" si="93"/>
        <v>Bachelor</v>
      </c>
      <c r="AI456" t="str">
        <f t="shared" si="94"/>
        <v>Very High</v>
      </c>
      <c r="AJ456" t="str">
        <f t="shared" si="95"/>
        <v>High</v>
      </c>
      <c r="AK456" t="str">
        <f t="shared" si="96"/>
        <v>Junior</v>
      </c>
      <c r="AL456" t="str">
        <f t="shared" si="97"/>
        <v>Very High</v>
      </c>
      <c r="AM456" t="str">
        <f t="shared" si="98"/>
        <v>Medium</v>
      </c>
      <c r="AN456" t="str">
        <f t="shared" si="99"/>
        <v>Medium</v>
      </c>
      <c r="AO456" t="str">
        <f t="shared" si="100"/>
        <v>Best</v>
      </c>
      <c r="AP456" t="str">
        <f t="shared" si="101"/>
        <v>25-34</v>
      </c>
      <c r="AQ456" t="str">
        <f t="shared" si="102"/>
        <v>Lower-Mid</v>
      </c>
      <c r="AR456" t="str">
        <f t="shared" si="103"/>
        <v>3-5 Years</v>
      </c>
    </row>
    <row r="457" spans="1:44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39</v>
      </c>
      <c r="L457">
        <v>95</v>
      </c>
      <c r="M457">
        <v>4</v>
      </c>
      <c r="N457">
        <v>4</v>
      </c>
      <c r="O457" t="s">
        <v>58</v>
      </c>
      <c r="P457">
        <v>3</v>
      </c>
      <c r="Q457" t="s">
        <v>52</v>
      </c>
      <c r="R457">
        <v>16184</v>
      </c>
      <c r="S457">
        <v>4</v>
      </c>
      <c r="T457" t="s">
        <v>43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  <c r="AF457">
        <f t="shared" si="91"/>
        <v>0</v>
      </c>
      <c r="AG457">
        <f t="shared" si="92"/>
        <v>0</v>
      </c>
      <c r="AH457" t="str">
        <f t="shared" si="93"/>
        <v>Doctor</v>
      </c>
      <c r="AI457" t="str">
        <f t="shared" si="94"/>
        <v>Low</v>
      </c>
      <c r="AJ457" t="str">
        <f t="shared" si="95"/>
        <v>Very High</v>
      </c>
      <c r="AK457" t="str">
        <f t="shared" si="96"/>
        <v>Senior</v>
      </c>
      <c r="AL457" t="str">
        <f t="shared" si="97"/>
        <v>High</v>
      </c>
      <c r="AM457" t="str">
        <f t="shared" si="98"/>
        <v>High</v>
      </c>
      <c r="AN457" t="str">
        <f t="shared" si="99"/>
        <v>Low</v>
      </c>
      <c r="AO457" t="str">
        <f t="shared" si="100"/>
        <v>Better</v>
      </c>
      <c r="AP457" t="str">
        <f t="shared" si="101"/>
        <v>25-34</v>
      </c>
      <c r="AQ457" t="str">
        <f t="shared" si="102"/>
        <v>High</v>
      </c>
      <c r="AR457" t="str">
        <f t="shared" si="103"/>
        <v>6-10 Years</v>
      </c>
    </row>
    <row r="458" spans="1:44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46</v>
      </c>
      <c r="L458">
        <v>44</v>
      </c>
      <c r="M458">
        <v>2</v>
      </c>
      <c r="N458">
        <v>3</v>
      </c>
      <c r="O458" t="s">
        <v>56</v>
      </c>
      <c r="P458">
        <v>4</v>
      </c>
      <c r="Q458" t="s">
        <v>52</v>
      </c>
      <c r="R458">
        <v>11557</v>
      </c>
      <c r="S458">
        <v>9</v>
      </c>
      <c r="T458" t="s">
        <v>43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  <c r="AF458">
        <f t="shared" si="91"/>
        <v>0</v>
      </c>
      <c r="AG458">
        <f t="shared" si="92"/>
        <v>0</v>
      </c>
      <c r="AH458" t="str">
        <f t="shared" si="93"/>
        <v>Bachelor</v>
      </c>
      <c r="AI458" t="str">
        <f t="shared" si="94"/>
        <v>High</v>
      </c>
      <c r="AJ458" t="str">
        <f t="shared" si="95"/>
        <v>Medium</v>
      </c>
      <c r="AK458" t="str">
        <f t="shared" si="96"/>
        <v>Mid-Level</v>
      </c>
      <c r="AL458" t="str">
        <f t="shared" si="97"/>
        <v>Very High</v>
      </c>
      <c r="AM458" t="str">
        <f t="shared" si="98"/>
        <v>High</v>
      </c>
      <c r="AN458" t="str">
        <f t="shared" si="99"/>
        <v>Low</v>
      </c>
      <c r="AO458" t="str">
        <f t="shared" si="100"/>
        <v>Good</v>
      </c>
      <c r="AP458" t="str">
        <f t="shared" si="101"/>
        <v>25-34</v>
      </c>
      <c r="AQ458" t="str">
        <f t="shared" si="102"/>
        <v>Upper-Mid</v>
      </c>
      <c r="AR458" t="str">
        <f t="shared" si="103"/>
        <v>3-5 Years</v>
      </c>
    </row>
    <row r="459" spans="1:44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t="s">
        <v>46</v>
      </c>
      <c r="L459">
        <v>69</v>
      </c>
      <c r="M459">
        <v>3</v>
      </c>
      <c r="N459">
        <v>1</v>
      </c>
      <c r="O459" t="s">
        <v>57</v>
      </c>
      <c r="P459">
        <v>2</v>
      </c>
      <c r="Q459" t="s">
        <v>41</v>
      </c>
      <c r="R459">
        <v>1878</v>
      </c>
      <c r="S459">
        <v>1</v>
      </c>
      <c r="T459" t="s">
        <v>35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  <c r="AF459">
        <f t="shared" si="91"/>
        <v>1</v>
      </c>
      <c r="AG459">
        <f t="shared" si="92"/>
        <v>1</v>
      </c>
      <c r="AH459" t="str">
        <f t="shared" si="93"/>
        <v>Bachelor</v>
      </c>
      <c r="AI459" t="str">
        <f t="shared" si="94"/>
        <v>Medium</v>
      </c>
      <c r="AJ459" t="str">
        <f t="shared" si="95"/>
        <v>High</v>
      </c>
      <c r="AK459" t="str">
        <f t="shared" si="96"/>
        <v>Entry</v>
      </c>
      <c r="AL459" t="str">
        <f t="shared" si="97"/>
        <v>Medium</v>
      </c>
      <c r="AM459" t="str">
        <f t="shared" si="98"/>
        <v>Very High</v>
      </c>
      <c r="AN459" t="str">
        <f t="shared" si="99"/>
        <v>No Options</v>
      </c>
      <c r="AO459" t="str">
        <f t="shared" si="100"/>
        <v>Better</v>
      </c>
      <c r="AP459" t="str">
        <f t="shared" si="101"/>
        <v>Under 25</v>
      </c>
      <c r="AQ459" t="str">
        <f t="shared" si="102"/>
        <v>Low</v>
      </c>
      <c r="AR459" t="str">
        <f t="shared" si="103"/>
        <v>0-2 Years</v>
      </c>
    </row>
    <row r="460" spans="1:44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58</v>
      </c>
      <c r="M460">
        <v>1</v>
      </c>
      <c r="N460">
        <v>3</v>
      </c>
      <c r="O460" t="s">
        <v>40</v>
      </c>
      <c r="P460">
        <v>1</v>
      </c>
      <c r="Q460" t="s">
        <v>52</v>
      </c>
      <c r="R460">
        <v>10932</v>
      </c>
      <c r="S460">
        <v>3</v>
      </c>
      <c r="T460" t="s">
        <v>43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  <c r="AF460">
        <f t="shared" si="91"/>
        <v>0</v>
      </c>
      <c r="AG460">
        <f t="shared" si="92"/>
        <v>0</v>
      </c>
      <c r="AH460" t="str">
        <f t="shared" si="93"/>
        <v>Bachelor</v>
      </c>
      <c r="AI460" t="str">
        <f t="shared" si="94"/>
        <v>High</v>
      </c>
      <c r="AJ460" t="str">
        <f t="shared" si="95"/>
        <v>Low</v>
      </c>
      <c r="AK460" t="str">
        <f t="shared" si="96"/>
        <v>Mid-Level</v>
      </c>
      <c r="AL460" t="str">
        <f t="shared" si="97"/>
        <v>Low</v>
      </c>
      <c r="AM460" t="str">
        <f t="shared" si="98"/>
        <v>High</v>
      </c>
      <c r="AN460" t="str">
        <f t="shared" si="99"/>
        <v>Low</v>
      </c>
      <c r="AO460" t="str">
        <f t="shared" si="100"/>
        <v>Better</v>
      </c>
      <c r="AP460" t="str">
        <f t="shared" si="101"/>
        <v>35-44</v>
      </c>
      <c r="AQ460" t="str">
        <f t="shared" si="102"/>
        <v>Upper-Mid</v>
      </c>
      <c r="AR460" t="str">
        <f t="shared" si="103"/>
        <v>0-2 Years</v>
      </c>
    </row>
    <row r="461" spans="1:44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39</v>
      </c>
      <c r="L461">
        <v>62</v>
      </c>
      <c r="M461">
        <v>2</v>
      </c>
      <c r="N461">
        <v>2</v>
      </c>
      <c r="O461" t="s">
        <v>54</v>
      </c>
      <c r="P461">
        <v>3</v>
      </c>
      <c r="Q461" t="s">
        <v>41</v>
      </c>
      <c r="R461">
        <v>6811</v>
      </c>
      <c r="S461">
        <v>2</v>
      </c>
      <c r="T461" t="s">
        <v>35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  <c r="AF461">
        <f t="shared" si="91"/>
        <v>0</v>
      </c>
      <c r="AG461">
        <f t="shared" si="92"/>
        <v>1</v>
      </c>
      <c r="AH461" t="str">
        <f t="shared" si="93"/>
        <v>Master</v>
      </c>
      <c r="AI461" t="str">
        <f t="shared" si="94"/>
        <v>Low</v>
      </c>
      <c r="AJ461" t="str">
        <f t="shared" si="95"/>
        <v>Medium</v>
      </c>
      <c r="AK461" t="str">
        <f t="shared" si="96"/>
        <v>Junior</v>
      </c>
      <c r="AL461" t="str">
        <f t="shared" si="97"/>
        <v>High</v>
      </c>
      <c r="AM461" t="str">
        <f t="shared" si="98"/>
        <v>Low</v>
      </c>
      <c r="AN461" t="str">
        <f t="shared" si="99"/>
        <v>No Options</v>
      </c>
      <c r="AO461" t="str">
        <f t="shared" si="100"/>
        <v>Better</v>
      </c>
      <c r="AP461" t="str">
        <f t="shared" si="101"/>
        <v>35-44</v>
      </c>
      <c r="AQ461" t="str">
        <f t="shared" si="102"/>
        <v>Lower-Mid</v>
      </c>
      <c r="AR461" t="str">
        <f t="shared" si="103"/>
        <v>6-10 Years</v>
      </c>
    </row>
    <row r="462" spans="1:44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46</v>
      </c>
      <c r="L462">
        <v>45</v>
      </c>
      <c r="M462">
        <v>3</v>
      </c>
      <c r="N462">
        <v>2</v>
      </c>
      <c r="O462" t="s">
        <v>40</v>
      </c>
      <c r="P462">
        <v>3</v>
      </c>
      <c r="Q462" t="s">
        <v>52</v>
      </c>
      <c r="R462">
        <v>4306</v>
      </c>
      <c r="S462">
        <v>5</v>
      </c>
      <c r="T462" t="s">
        <v>43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  <c r="AF462">
        <f t="shared" si="91"/>
        <v>0</v>
      </c>
      <c r="AG462">
        <f t="shared" si="92"/>
        <v>0</v>
      </c>
      <c r="AH462" t="str">
        <f t="shared" si="93"/>
        <v>College</v>
      </c>
      <c r="AI462" t="str">
        <f t="shared" si="94"/>
        <v>Low</v>
      </c>
      <c r="AJ462" t="str">
        <f t="shared" si="95"/>
        <v>High</v>
      </c>
      <c r="AK462" t="str">
        <f t="shared" si="96"/>
        <v>Junior</v>
      </c>
      <c r="AL462" t="str">
        <f t="shared" si="97"/>
        <v>High</v>
      </c>
      <c r="AM462" t="str">
        <f t="shared" si="98"/>
        <v>Low</v>
      </c>
      <c r="AN462" t="str">
        <f t="shared" si="99"/>
        <v>Medium</v>
      </c>
      <c r="AO462" t="str">
        <f t="shared" si="100"/>
        <v>Better</v>
      </c>
      <c r="AP462" t="str">
        <f t="shared" si="101"/>
        <v>25-34</v>
      </c>
      <c r="AQ462" t="str">
        <f t="shared" si="102"/>
        <v>Lower-Mid</v>
      </c>
      <c r="AR462" t="str">
        <f t="shared" si="103"/>
        <v>0-2 Years</v>
      </c>
    </row>
    <row r="463" spans="1:44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39</v>
      </c>
      <c r="L463">
        <v>80</v>
      </c>
      <c r="M463">
        <v>3</v>
      </c>
      <c r="N463">
        <v>2</v>
      </c>
      <c r="O463" t="s">
        <v>40</v>
      </c>
      <c r="P463">
        <v>3</v>
      </c>
      <c r="Q463" t="s">
        <v>41</v>
      </c>
      <c r="R463">
        <v>4859</v>
      </c>
      <c r="S463">
        <v>1</v>
      </c>
      <c r="T463" t="s">
        <v>43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  <c r="AF463">
        <f t="shared" si="91"/>
        <v>0</v>
      </c>
      <c r="AG463">
        <f t="shared" si="92"/>
        <v>0</v>
      </c>
      <c r="AH463" t="str">
        <f t="shared" si="93"/>
        <v>Bachelor</v>
      </c>
      <c r="AI463" t="str">
        <f t="shared" si="94"/>
        <v>Low</v>
      </c>
      <c r="AJ463" t="str">
        <f t="shared" si="95"/>
        <v>High</v>
      </c>
      <c r="AK463" t="str">
        <f t="shared" si="96"/>
        <v>Junior</v>
      </c>
      <c r="AL463" t="str">
        <f t="shared" si="97"/>
        <v>High</v>
      </c>
      <c r="AM463" t="str">
        <f t="shared" si="98"/>
        <v>Very High</v>
      </c>
      <c r="AN463" t="str">
        <f t="shared" si="99"/>
        <v>No Options</v>
      </c>
      <c r="AO463" t="str">
        <f t="shared" si="100"/>
        <v>Better</v>
      </c>
      <c r="AP463" t="str">
        <f t="shared" si="101"/>
        <v>35-44</v>
      </c>
      <c r="AQ463" t="str">
        <f t="shared" si="102"/>
        <v>Lower-Mid</v>
      </c>
      <c r="AR463" t="str">
        <f t="shared" si="103"/>
        <v>3-5 Years</v>
      </c>
    </row>
    <row r="464" spans="1:44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46</v>
      </c>
      <c r="L464">
        <v>74</v>
      </c>
      <c r="M464">
        <v>4</v>
      </c>
      <c r="N464">
        <v>2</v>
      </c>
      <c r="O464" t="s">
        <v>40</v>
      </c>
      <c r="P464">
        <v>4</v>
      </c>
      <c r="Q464" t="s">
        <v>41</v>
      </c>
      <c r="R464">
        <v>5337</v>
      </c>
      <c r="S464">
        <v>1</v>
      </c>
      <c r="T464" t="s">
        <v>43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  <c r="AF464">
        <f t="shared" si="91"/>
        <v>0</v>
      </c>
      <c r="AG464">
        <f t="shared" si="92"/>
        <v>0</v>
      </c>
      <c r="AH464" t="str">
        <f t="shared" si="93"/>
        <v>Master</v>
      </c>
      <c r="AI464" t="str">
        <f t="shared" si="94"/>
        <v>Very High</v>
      </c>
      <c r="AJ464" t="str">
        <f t="shared" si="95"/>
        <v>Very High</v>
      </c>
      <c r="AK464" t="str">
        <f t="shared" si="96"/>
        <v>Junior</v>
      </c>
      <c r="AL464" t="str">
        <f t="shared" si="97"/>
        <v>Very High</v>
      </c>
      <c r="AM464" t="str">
        <f t="shared" si="98"/>
        <v>Very High</v>
      </c>
      <c r="AN464" t="str">
        <f t="shared" si="99"/>
        <v>No Options</v>
      </c>
      <c r="AO464" t="str">
        <f t="shared" si="100"/>
        <v>Better</v>
      </c>
      <c r="AP464" t="str">
        <f t="shared" si="101"/>
        <v>25-34</v>
      </c>
      <c r="AQ464" t="str">
        <f t="shared" si="102"/>
        <v>Lower-Mid</v>
      </c>
      <c r="AR464" t="str">
        <f t="shared" si="103"/>
        <v>6-10 Years</v>
      </c>
    </row>
    <row r="465" spans="1:44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t="s">
        <v>46</v>
      </c>
      <c r="L465">
        <v>66</v>
      </c>
      <c r="M465">
        <v>1</v>
      </c>
      <c r="N465">
        <v>1</v>
      </c>
      <c r="O465" t="s">
        <v>50</v>
      </c>
      <c r="P465">
        <v>4</v>
      </c>
      <c r="Q465" t="s">
        <v>41</v>
      </c>
      <c r="R465">
        <v>2340</v>
      </c>
      <c r="S465">
        <v>1</v>
      </c>
      <c r="T465" t="s">
        <v>35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  <c r="AF465">
        <f t="shared" si="91"/>
        <v>1</v>
      </c>
      <c r="AG465">
        <f t="shared" si="92"/>
        <v>1</v>
      </c>
      <c r="AH465" t="str">
        <f t="shared" si="93"/>
        <v>Bachelor</v>
      </c>
      <c r="AI465" t="str">
        <f t="shared" si="94"/>
        <v>High</v>
      </c>
      <c r="AJ465" t="str">
        <f t="shared" si="95"/>
        <v>Low</v>
      </c>
      <c r="AK465" t="str">
        <f t="shared" si="96"/>
        <v>Entry</v>
      </c>
      <c r="AL465" t="str">
        <f t="shared" si="97"/>
        <v>Very High</v>
      </c>
      <c r="AM465" t="str">
        <f t="shared" si="98"/>
        <v>Medium</v>
      </c>
      <c r="AN465" t="str">
        <f t="shared" si="99"/>
        <v>No Options</v>
      </c>
      <c r="AO465" t="str">
        <f t="shared" si="100"/>
        <v>Bad</v>
      </c>
      <c r="AP465" t="str">
        <f t="shared" si="101"/>
        <v>25-34</v>
      </c>
      <c r="AQ465" t="str">
        <f t="shared" si="102"/>
        <v>Low</v>
      </c>
      <c r="AR465" t="str">
        <f t="shared" si="103"/>
        <v>0-2 Years</v>
      </c>
    </row>
    <row r="466" spans="1:44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t="s">
        <v>39</v>
      </c>
      <c r="L466">
        <v>59</v>
      </c>
      <c r="M466">
        <v>3</v>
      </c>
      <c r="N466">
        <v>3</v>
      </c>
      <c r="O466" t="s">
        <v>53</v>
      </c>
      <c r="P466">
        <v>4</v>
      </c>
      <c r="Q466" t="s">
        <v>41</v>
      </c>
      <c r="R466">
        <v>7491</v>
      </c>
      <c r="S466">
        <v>4</v>
      </c>
      <c r="T466" t="s">
        <v>43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  <c r="AF466">
        <f t="shared" si="91"/>
        <v>0</v>
      </c>
      <c r="AG466">
        <f t="shared" si="92"/>
        <v>0</v>
      </c>
      <c r="AH466" t="str">
        <f t="shared" si="93"/>
        <v>Bachelor</v>
      </c>
      <c r="AI466" t="str">
        <f t="shared" si="94"/>
        <v>Medium</v>
      </c>
      <c r="AJ466" t="str">
        <f t="shared" si="95"/>
        <v>High</v>
      </c>
      <c r="AK466" t="str">
        <f t="shared" si="96"/>
        <v>Mid-Level</v>
      </c>
      <c r="AL466" t="str">
        <f t="shared" si="97"/>
        <v>Very High</v>
      </c>
      <c r="AM466" t="str">
        <f t="shared" si="98"/>
        <v>Very High</v>
      </c>
      <c r="AN466" t="str">
        <f t="shared" si="99"/>
        <v>No Options</v>
      </c>
      <c r="AO466" t="str">
        <f t="shared" si="100"/>
        <v>Best</v>
      </c>
      <c r="AP466" t="str">
        <f t="shared" si="101"/>
        <v>35-44</v>
      </c>
      <c r="AQ466" t="str">
        <f t="shared" si="102"/>
        <v>Upper-Mid</v>
      </c>
      <c r="AR466" t="str">
        <f t="shared" si="103"/>
        <v>6-10 Years</v>
      </c>
    </row>
    <row r="467" spans="1:44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39</v>
      </c>
      <c r="L467">
        <v>86</v>
      </c>
      <c r="M467">
        <v>3</v>
      </c>
      <c r="N467">
        <v>3</v>
      </c>
      <c r="O467" t="s">
        <v>54</v>
      </c>
      <c r="P467">
        <v>3</v>
      </c>
      <c r="Q467" t="s">
        <v>48</v>
      </c>
      <c r="R467">
        <v>10527</v>
      </c>
      <c r="S467">
        <v>5</v>
      </c>
      <c r="T467" t="s">
        <v>43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  <c r="AF467">
        <f t="shared" si="91"/>
        <v>0</v>
      </c>
      <c r="AG467">
        <f t="shared" si="92"/>
        <v>0</v>
      </c>
      <c r="AH467" t="str">
        <f t="shared" si="93"/>
        <v>Below College</v>
      </c>
      <c r="AI467" t="str">
        <f t="shared" si="94"/>
        <v>Low</v>
      </c>
      <c r="AJ467" t="str">
        <f t="shared" si="95"/>
        <v>High</v>
      </c>
      <c r="AK467" t="str">
        <f t="shared" si="96"/>
        <v>Mid-Level</v>
      </c>
      <c r="AL467" t="str">
        <f t="shared" si="97"/>
        <v>High</v>
      </c>
      <c r="AM467" t="str">
        <f t="shared" si="98"/>
        <v>Very High</v>
      </c>
      <c r="AN467" t="str">
        <f t="shared" si="99"/>
        <v>No Options</v>
      </c>
      <c r="AO467" t="str">
        <f t="shared" si="100"/>
        <v>Good</v>
      </c>
      <c r="AP467" t="str">
        <f t="shared" si="101"/>
        <v>45-54</v>
      </c>
      <c r="AQ467" t="str">
        <f t="shared" si="102"/>
        <v>Upper-Mid</v>
      </c>
      <c r="AR467" t="str">
        <f t="shared" si="103"/>
        <v>0-2 Years</v>
      </c>
    </row>
    <row r="468" spans="1:44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91</v>
      </c>
      <c r="M468">
        <v>3</v>
      </c>
      <c r="N468">
        <v>4</v>
      </c>
      <c r="O468" t="s">
        <v>56</v>
      </c>
      <c r="P468">
        <v>1</v>
      </c>
      <c r="Q468" t="s">
        <v>48</v>
      </c>
      <c r="R468">
        <v>16595</v>
      </c>
      <c r="S468">
        <v>7</v>
      </c>
      <c r="T468" t="s">
        <v>43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  <c r="AF468">
        <f t="shared" si="91"/>
        <v>0</v>
      </c>
      <c r="AG468">
        <f t="shared" si="92"/>
        <v>0</v>
      </c>
      <c r="AH468" t="str">
        <f t="shared" si="93"/>
        <v>Doctor</v>
      </c>
      <c r="AI468" t="str">
        <f t="shared" si="94"/>
        <v>Medium</v>
      </c>
      <c r="AJ468" t="str">
        <f t="shared" si="95"/>
        <v>High</v>
      </c>
      <c r="AK468" t="str">
        <f t="shared" si="96"/>
        <v>Senior</v>
      </c>
      <c r="AL468" t="str">
        <f t="shared" si="97"/>
        <v>Low</v>
      </c>
      <c r="AM468" t="str">
        <f t="shared" si="98"/>
        <v>Medium</v>
      </c>
      <c r="AN468" t="str">
        <f t="shared" si="99"/>
        <v>Low</v>
      </c>
      <c r="AO468" t="str">
        <f t="shared" si="100"/>
        <v>Better</v>
      </c>
      <c r="AP468" t="str">
        <f t="shared" si="101"/>
        <v>35-44</v>
      </c>
      <c r="AQ468" t="str">
        <f t="shared" si="102"/>
        <v>High</v>
      </c>
      <c r="AR468" t="str">
        <f t="shared" si="103"/>
        <v>11-20 Years</v>
      </c>
    </row>
    <row r="469" spans="1:44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46</v>
      </c>
      <c r="L469">
        <v>69</v>
      </c>
      <c r="M469">
        <v>3</v>
      </c>
      <c r="N469">
        <v>3</v>
      </c>
      <c r="O469" t="s">
        <v>40</v>
      </c>
      <c r="P469">
        <v>2</v>
      </c>
      <c r="Q469" t="s">
        <v>52</v>
      </c>
      <c r="R469">
        <v>8834</v>
      </c>
      <c r="S469">
        <v>1</v>
      </c>
      <c r="T469" t="s">
        <v>43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  <c r="AF469">
        <f t="shared" si="91"/>
        <v>0</v>
      </c>
      <c r="AG469">
        <f t="shared" si="92"/>
        <v>0</v>
      </c>
      <c r="AH469" t="str">
        <f t="shared" si="93"/>
        <v>Master</v>
      </c>
      <c r="AI469" t="str">
        <f t="shared" si="94"/>
        <v>Low</v>
      </c>
      <c r="AJ469" t="str">
        <f t="shared" si="95"/>
        <v>High</v>
      </c>
      <c r="AK469" t="str">
        <f t="shared" si="96"/>
        <v>Mid-Level</v>
      </c>
      <c r="AL469" t="str">
        <f t="shared" si="97"/>
        <v>Medium</v>
      </c>
      <c r="AM469" t="str">
        <f t="shared" si="98"/>
        <v>Very High</v>
      </c>
      <c r="AN469" t="str">
        <f t="shared" si="99"/>
        <v>Low</v>
      </c>
      <c r="AO469" t="str">
        <f t="shared" si="100"/>
        <v>Better</v>
      </c>
      <c r="AP469" t="str">
        <f t="shared" si="101"/>
        <v>35-44</v>
      </c>
      <c r="AQ469" t="str">
        <f t="shared" si="102"/>
        <v>Upper-Mid</v>
      </c>
      <c r="AR469" t="str">
        <f t="shared" si="103"/>
        <v>6-10 Years</v>
      </c>
    </row>
    <row r="470" spans="1:44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t="s">
        <v>46</v>
      </c>
      <c r="L470">
        <v>78</v>
      </c>
      <c r="M470">
        <v>3</v>
      </c>
      <c r="N470">
        <v>2</v>
      </c>
      <c r="O470" t="s">
        <v>47</v>
      </c>
      <c r="P470">
        <v>1</v>
      </c>
      <c r="Q470" t="s">
        <v>52</v>
      </c>
      <c r="R470">
        <v>5577</v>
      </c>
      <c r="S470">
        <v>3</v>
      </c>
      <c r="T470" t="s">
        <v>35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  <c r="AF470">
        <f t="shared" si="91"/>
        <v>0</v>
      </c>
      <c r="AG470">
        <f t="shared" si="92"/>
        <v>1</v>
      </c>
      <c r="AH470" t="str">
        <f t="shared" si="93"/>
        <v>College</v>
      </c>
      <c r="AI470" t="str">
        <f t="shared" si="94"/>
        <v>Very High</v>
      </c>
      <c r="AJ470" t="str">
        <f t="shared" si="95"/>
        <v>High</v>
      </c>
      <c r="AK470" t="str">
        <f t="shared" si="96"/>
        <v>Junior</v>
      </c>
      <c r="AL470" t="str">
        <f t="shared" si="97"/>
        <v>Low</v>
      </c>
      <c r="AM470" t="str">
        <f t="shared" si="98"/>
        <v>Medium</v>
      </c>
      <c r="AN470" t="str">
        <f t="shared" si="99"/>
        <v>Medium</v>
      </c>
      <c r="AO470" t="str">
        <f t="shared" si="100"/>
        <v>Better</v>
      </c>
      <c r="AP470" t="str">
        <f t="shared" si="101"/>
        <v>45-54</v>
      </c>
      <c r="AQ470" t="str">
        <f t="shared" si="102"/>
        <v>Lower-Mid</v>
      </c>
      <c r="AR470" t="str">
        <f t="shared" si="103"/>
        <v>6-10 Years</v>
      </c>
    </row>
    <row r="471" spans="1:44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60</v>
      </c>
      <c r="M471">
        <v>4</v>
      </c>
      <c r="N471">
        <v>2</v>
      </c>
      <c r="O471" t="s">
        <v>40</v>
      </c>
      <c r="P471">
        <v>3</v>
      </c>
      <c r="Q471" t="s">
        <v>48</v>
      </c>
      <c r="R471">
        <v>4707</v>
      </c>
      <c r="S471">
        <v>8</v>
      </c>
      <c r="T471" t="s">
        <v>43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  <c r="AF471">
        <f t="shared" si="91"/>
        <v>1</v>
      </c>
      <c r="AG471">
        <f t="shared" si="92"/>
        <v>0</v>
      </c>
      <c r="AH471" t="str">
        <f t="shared" si="93"/>
        <v>Master</v>
      </c>
      <c r="AI471" t="str">
        <f t="shared" si="94"/>
        <v>Very High</v>
      </c>
      <c r="AJ471" t="str">
        <f t="shared" si="95"/>
        <v>Very High</v>
      </c>
      <c r="AK471" t="str">
        <f t="shared" si="96"/>
        <v>Junior</v>
      </c>
      <c r="AL471" t="str">
        <f t="shared" si="97"/>
        <v>High</v>
      </c>
      <c r="AM471" t="str">
        <f t="shared" si="98"/>
        <v>Very High</v>
      </c>
      <c r="AN471" t="str">
        <f t="shared" si="99"/>
        <v>No Options</v>
      </c>
      <c r="AO471" t="str">
        <f t="shared" si="100"/>
        <v>Better</v>
      </c>
      <c r="AP471" t="str">
        <f t="shared" si="101"/>
        <v>25-34</v>
      </c>
      <c r="AQ471" t="str">
        <f t="shared" si="102"/>
        <v>Lower-Mid</v>
      </c>
      <c r="AR471" t="str">
        <f t="shared" si="103"/>
        <v>3-5 Years</v>
      </c>
    </row>
    <row r="472" spans="1:44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46</v>
      </c>
      <c r="L472">
        <v>38</v>
      </c>
      <c r="M472">
        <v>3</v>
      </c>
      <c r="N472">
        <v>1</v>
      </c>
      <c r="O472" t="s">
        <v>57</v>
      </c>
      <c r="P472">
        <v>4</v>
      </c>
      <c r="Q472" t="s">
        <v>48</v>
      </c>
      <c r="R472">
        <v>2400</v>
      </c>
      <c r="S472">
        <v>0</v>
      </c>
      <c r="T472" t="s">
        <v>43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  <c r="AF472">
        <f t="shared" si="91"/>
        <v>0</v>
      </c>
      <c r="AG472">
        <f t="shared" si="92"/>
        <v>0</v>
      </c>
      <c r="AH472" t="str">
        <f t="shared" si="93"/>
        <v>Bachelor</v>
      </c>
      <c r="AI472" t="str">
        <f t="shared" si="94"/>
        <v>Very High</v>
      </c>
      <c r="AJ472" t="str">
        <f t="shared" si="95"/>
        <v>High</v>
      </c>
      <c r="AK472" t="str">
        <f t="shared" si="96"/>
        <v>Entry</v>
      </c>
      <c r="AL472" t="str">
        <f t="shared" si="97"/>
        <v>Very High</v>
      </c>
      <c r="AM472" t="str">
        <f t="shared" si="98"/>
        <v>High</v>
      </c>
      <c r="AN472" t="str">
        <f t="shared" si="99"/>
        <v>Medium</v>
      </c>
      <c r="AO472" t="str">
        <f t="shared" si="100"/>
        <v>Better</v>
      </c>
      <c r="AP472" t="str">
        <f t="shared" si="101"/>
        <v>Under 25</v>
      </c>
      <c r="AQ472" t="str">
        <f t="shared" si="102"/>
        <v>Low</v>
      </c>
      <c r="AR472" t="str">
        <f t="shared" si="103"/>
        <v>0-2 Years</v>
      </c>
    </row>
    <row r="473" spans="1:44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39</v>
      </c>
      <c r="L473">
        <v>76</v>
      </c>
      <c r="M473">
        <v>3</v>
      </c>
      <c r="N473">
        <v>2</v>
      </c>
      <c r="O473" t="s">
        <v>54</v>
      </c>
      <c r="P473">
        <v>3</v>
      </c>
      <c r="Q473" t="s">
        <v>48</v>
      </c>
      <c r="R473">
        <v>9824</v>
      </c>
      <c r="S473">
        <v>3</v>
      </c>
      <c r="T473" t="s">
        <v>43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  <c r="AF473">
        <f t="shared" si="91"/>
        <v>0</v>
      </c>
      <c r="AG473">
        <f t="shared" si="92"/>
        <v>0</v>
      </c>
      <c r="AH473" t="str">
        <f t="shared" si="93"/>
        <v>Bachelor</v>
      </c>
      <c r="AI473" t="str">
        <f t="shared" si="94"/>
        <v>High</v>
      </c>
      <c r="AJ473" t="str">
        <f t="shared" si="95"/>
        <v>High</v>
      </c>
      <c r="AK473" t="str">
        <f t="shared" si="96"/>
        <v>Junior</v>
      </c>
      <c r="AL473" t="str">
        <f t="shared" si="97"/>
        <v>High</v>
      </c>
      <c r="AM473" t="str">
        <f t="shared" si="98"/>
        <v>High</v>
      </c>
      <c r="AN473" t="str">
        <f t="shared" si="99"/>
        <v>Low</v>
      </c>
      <c r="AO473" t="str">
        <f t="shared" si="100"/>
        <v>Better</v>
      </c>
      <c r="AP473" t="str">
        <f t="shared" si="101"/>
        <v>35-44</v>
      </c>
      <c r="AQ473" t="str">
        <f t="shared" si="102"/>
        <v>Upper-Mid</v>
      </c>
      <c r="AR473" t="str">
        <f t="shared" si="103"/>
        <v>0-2 Years</v>
      </c>
    </row>
    <row r="474" spans="1:44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65</v>
      </c>
      <c r="M474">
        <v>3</v>
      </c>
      <c r="N474">
        <v>2</v>
      </c>
      <c r="O474" t="s">
        <v>53</v>
      </c>
      <c r="P474">
        <v>2</v>
      </c>
      <c r="Q474" t="s">
        <v>48</v>
      </c>
      <c r="R474">
        <v>6447</v>
      </c>
      <c r="S474">
        <v>6</v>
      </c>
      <c r="T474" t="s">
        <v>43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  <c r="AF474">
        <f t="shared" si="91"/>
        <v>0</v>
      </c>
      <c r="AG474">
        <f t="shared" si="92"/>
        <v>0</v>
      </c>
      <c r="AH474" t="str">
        <f t="shared" si="93"/>
        <v>Master</v>
      </c>
      <c r="AI474" t="str">
        <f t="shared" si="94"/>
        <v>Medium</v>
      </c>
      <c r="AJ474" t="str">
        <f t="shared" si="95"/>
        <v>High</v>
      </c>
      <c r="AK474" t="str">
        <f t="shared" si="96"/>
        <v>Junior</v>
      </c>
      <c r="AL474" t="str">
        <f t="shared" si="97"/>
        <v>Medium</v>
      </c>
      <c r="AM474" t="str">
        <f t="shared" si="98"/>
        <v>Medium</v>
      </c>
      <c r="AN474" t="str">
        <f t="shared" si="99"/>
        <v>Low</v>
      </c>
      <c r="AO474" t="str">
        <f t="shared" si="100"/>
        <v>Good</v>
      </c>
      <c r="AP474" t="str">
        <f t="shared" si="101"/>
        <v>35-44</v>
      </c>
      <c r="AQ474" t="str">
        <f t="shared" si="102"/>
        <v>Lower-Mid</v>
      </c>
      <c r="AR474" t="str">
        <f t="shared" si="103"/>
        <v>6-10 Years</v>
      </c>
    </row>
    <row r="475" spans="1:44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46</v>
      </c>
      <c r="L475">
        <v>58</v>
      </c>
      <c r="M475">
        <v>2</v>
      </c>
      <c r="N475">
        <v>5</v>
      </c>
      <c r="O475" t="s">
        <v>58</v>
      </c>
      <c r="P475">
        <v>3</v>
      </c>
      <c r="Q475" t="s">
        <v>52</v>
      </c>
      <c r="R475">
        <v>19502</v>
      </c>
      <c r="S475">
        <v>1</v>
      </c>
      <c r="T475" t="s">
        <v>35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  <c r="AF475">
        <f t="shared" si="91"/>
        <v>0</v>
      </c>
      <c r="AG475">
        <f t="shared" si="92"/>
        <v>1</v>
      </c>
      <c r="AH475" t="str">
        <f t="shared" si="93"/>
        <v>Master</v>
      </c>
      <c r="AI475" t="str">
        <f t="shared" si="94"/>
        <v>Very High</v>
      </c>
      <c r="AJ475" t="str">
        <f t="shared" si="95"/>
        <v>Medium</v>
      </c>
      <c r="AK475" t="str">
        <f t="shared" si="96"/>
        <v>Executive</v>
      </c>
      <c r="AL475" t="str">
        <f t="shared" si="97"/>
        <v>High</v>
      </c>
      <c r="AM475" t="str">
        <f t="shared" si="98"/>
        <v>High</v>
      </c>
      <c r="AN475" t="str">
        <f t="shared" si="99"/>
        <v>Low</v>
      </c>
      <c r="AO475" t="str">
        <f t="shared" si="100"/>
        <v>Better</v>
      </c>
      <c r="AP475" t="str">
        <f t="shared" si="101"/>
        <v>45-54</v>
      </c>
      <c r="AQ475" t="str">
        <f t="shared" si="102"/>
        <v>High</v>
      </c>
      <c r="AR475" t="str">
        <f t="shared" si="103"/>
        <v>20+ Years</v>
      </c>
    </row>
    <row r="476" spans="1:44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46</v>
      </c>
      <c r="L476">
        <v>89</v>
      </c>
      <c r="M476">
        <v>4</v>
      </c>
      <c r="N476">
        <v>1</v>
      </c>
      <c r="O476" t="s">
        <v>47</v>
      </c>
      <c r="P476">
        <v>4</v>
      </c>
      <c r="Q476" t="s">
        <v>48</v>
      </c>
      <c r="R476">
        <v>2725</v>
      </c>
      <c r="S476">
        <v>1</v>
      </c>
      <c r="T476" t="s">
        <v>35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  <c r="AF476">
        <f t="shared" si="91"/>
        <v>0</v>
      </c>
      <c r="AG476">
        <f t="shared" si="92"/>
        <v>1</v>
      </c>
      <c r="AH476" t="str">
        <f t="shared" si="93"/>
        <v>Bachelor</v>
      </c>
      <c r="AI476" t="str">
        <f t="shared" si="94"/>
        <v>Medium</v>
      </c>
      <c r="AJ476" t="str">
        <f t="shared" si="95"/>
        <v>Very High</v>
      </c>
      <c r="AK476" t="str">
        <f t="shared" si="96"/>
        <v>Entry</v>
      </c>
      <c r="AL476" t="str">
        <f t="shared" si="97"/>
        <v>Very High</v>
      </c>
      <c r="AM476" t="str">
        <f t="shared" si="98"/>
        <v>Medium</v>
      </c>
      <c r="AN476" t="str">
        <f t="shared" si="99"/>
        <v>Medium</v>
      </c>
      <c r="AO476" t="str">
        <f t="shared" si="100"/>
        <v>Better</v>
      </c>
      <c r="AP476" t="str">
        <f t="shared" si="101"/>
        <v>Under 25</v>
      </c>
      <c r="AQ476" t="str">
        <f t="shared" si="102"/>
        <v>Low</v>
      </c>
      <c r="AR476" t="str">
        <f t="shared" si="103"/>
        <v>6-10 Years</v>
      </c>
    </row>
    <row r="477" spans="1:44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t="s">
        <v>46</v>
      </c>
      <c r="L477">
        <v>66</v>
      </c>
      <c r="M477">
        <v>3</v>
      </c>
      <c r="N477">
        <v>2</v>
      </c>
      <c r="O477" t="s">
        <v>40</v>
      </c>
      <c r="P477">
        <v>2</v>
      </c>
      <c r="Q477" t="s">
        <v>48</v>
      </c>
      <c r="R477">
        <v>6272</v>
      </c>
      <c r="S477">
        <v>1</v>
      </c>
      <c r="T477" t="s">
        <v>43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  <c r="AF477">
        <f t="shared" si="91"/>
        <v>0</v>
      </c>
      <c r="AG477">
        <f t="shared" si="92"/>
        <v>0</v>
      </c>
      <c r="AH477" t="str">
        <f t="shared" si="93"/>
        <v>College</v>
      </c>
      <c r="AI477" t="str">
        <f t="shared" si="94"/>
        <v>Low</v>
      </c>
      <c r="AJ477" t="str">
        <f t="shared" si="95"/>
        <v>High</v>
      </c>
      <c r="AK477" t="str">
        <f t="shared" si="96"/>
        <v>Junior</v>
      </c>
      <c r="AL477" t="str">
        <f t="shared" si="97"/>
        <v>Medium</v>
      </c>
      <c r="AM477" t="str">
        <f t="shared" si="98"/>
        <v>Very High</v>
      </c>
      <c r="AN477" t="str">
        <f t="shared" si="99"/>
        <v>Medium</v>
      </c>
      <c r="AO477" t="str">
        <f t="shared" si="100"/>
        <v>Best</v>
      </c>
      <c r="AP477" t="str">
        <f t="shared" si="101"/>
        <v>25-34</v>
      </c>
      <c r="AQ477" t="str">
        <f t="shared" si="102"/>
        <v>Lower-Mid</v>
      </c>
      <c r="AR477" t="str">
        <f t="shared" si="103"/>
        <v>3-5 Years</v>
      </c>
    </row>
    <row r="478" spans="1:44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94</v>
      </c>
      <c r="M478">
        <v>2</v>
      </c>
      <c r="N478">
        <v>1</v>
      </c>
      <c r="O478" t="s">
        <v>50</v>
      </c>
      <c r="P478">
        <v>2</v>
      </c>
      <c r="Q478" t="s">
        <v>48</v>
      </c>
      <c r="R478">
        <v>2127</v>
      </c>
      <c r="S478">
        <v>1</v>
      </c>
      <c r="T478" t="s">
        <v>43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  <c r="AF478">
        <f t="shared" si="91"/>
        <v>0</v>
      </c>
      <c r="AG478">
        <f t="shared" si="92"/>
        <v>0</v>
      </c>
      <c r="AH478" t="str">
        <f t="shared" si="93"/>
        <v>College</v>
      </c>
      <c r="AI478" t="str">
        <f t="shared" si="94"/>
        <v>Very High</v>
      </c>
      <c r="AJ478" t="str">
        <f t="shared" si="95"/>
        <v>Medium</v>
      </c>
      <c r="AK478" t="str">
        <f t="shared" si="96"/>
        <v>Entry</v>
      </c>
      <c r="AL478" t="str">
        <f t="shared" si="97"/>
        <v>Medium</v>
      </c>
      <c r="AM478" t="str">
        <f t="shared" si="98"/>
        <v>Very High</v>
      </c>
      <c r="AN478" t="str">
        <f t="shared" si="99"/>
        <v>Low</v>
      </c>
      <c r="AO478" t="str">
        <f t="shared" si="100"/>
        <v>Better</v>
      </c>
      <c r="AP478" t="str">
        <f t="shared" si="101"/>
        <v>Under 25</v>
      </c>
      <c r="AQ478" t="str">
        <f t="shared" si="102"/>
        <v>Low</v>
      </c>
      <c r="AR478" t="str">
        <f t="shared" si="103"/>
        <v>0-2 Years</v>
      </c>
    </row>
    <row r="479" spans="1:44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46</v>
      </c>
      <c r="L479">
        <v>99</v>
      </c>
      <c r="M479">
        <v>3</v>
      </c>
      <c r="N479">
        <v>5</v>
      </c>
      <c r="O479" t="s">
        <v>56</v>
      </c>
      <c r="P479">
        <v>2</v>
      </c>
      <c r="Q479" t="s">
        <v>48</v>
      </c>
      <c r="R479">
        <v>18200</v>
      </c>
      <c r="S479">
        <v>1</v>
      </c>
      <c r="T479" t="s">
        <v>43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  <c r="AF479">
        <f t="shared" si="91"/>
        <v>0</v>
      </c>
      <c r="AG479">
        <f t="shared" si="92"/>
        <v>0</v>
      </c>
      <c r="AH479" t="str">
        <f t="shared" si="93"/>
        <v>Bachelor</v>
      </c>
      <c r="AI479" t="str">
        <f t="shared" si="94"/>
        <v>Low</v>
      </c>
      <c r="AJ479" t="str">
        <f t="shared" si="95"/>
        <v>High</v>
      </c>
      <c r="AK479" t="str">
        <f t="shared" si="96"/>
        <v>Executive</v>
      </c>
      <c r="AL479" t="str">
        <f t="shared" si="97"/>
        <v>Medium</v>
      </c>
      <c r="AM479" t="str">
        <f t="shared" si="98"/>
        <v>High</v>
      </c>
      <c r="AN479" t="str">
        <f t="shared" si="99"/>
        <v>Low</v>
      </c>
      <c r="AO479" t="str">
        <f t="shared" si="100"/>
        <v>Better</v>
      </c>
      <c r="AP479" t="str">
        <f t="shared" si="101"/>
        <v>45-54</v>
      </c>
      <c r="AQ479" t="str">
        <f t="shared" si="102"/>
        <v>High</v>
      </c>
      <c r="AR479" t="str">
        <f t="shared" si="103"/>
        <v>20+ Years</v>
      </c>
    </row>
    <row r="480" spans="1:44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46</v>
      </c>
      <c r="L480">
        <v>40</v>
      </c>
      <c r="M480">
        <v>3</v>
      </c>
      <c r="N480">
        <v>1</v>
      </c>
      <c r="O480" t="s">
        <v>57</v>
      </c>
      <c r="P480">
        <v>3</v>
      </c>
      <c r="Q480" t="s">
        <v>48</v>
      </c>
      <c r="R480">
        <v>2096</v>
      </c>
      <c r="S480">
        <v>1</v>
      </c>
      <c r="T480" t="s">
        <v>43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  <c r="AF480">
        <f t="shared" si="91"/>
        <v>0</v>
      </c>
      <c r="AG480">
        <f t="shared" si="92"/>
        <v>0</v>
      </c>
      <c r="AH480" t="str">
        <f t="shared" si="93"/>
        <v>Below College</v>
      </c>
      <c r="AI480" t="str">
        <f t="shared" si="94"/>
        <v>Medium</v>
      </c>
      <c r="AJ480" t="str">
        <f t="shared" si="95"/>
        <v>High</v>
      </c>
      <c r="AK480" t="str">
        <f t="shared" si="96"/>
        <v>Entry</v>
      </c>
      <c r="AL480" t="str">
        <f t="shared" si="97"/>
        <v>High</v>
      </c>
      <c r="AM480" t="str">
        <f t="shared" si="98"/>
        <v>High</v>
      </c>
      <c r="AN480" t="str">
        <f t="shared" si="99"/>
        <v>No Options</v>
      </c>
      <c r="AO480" t="str">
        <f t="shared" si="100"/>
        <v>Better</v>
      </c>
      <c r="AP480" t="str">
        <f t="shared" si="101"/>
        <v>25-34</v>
      </c>
      <c r="AQ480" t="str">
        <f t="shared" si="102"/>
        <v>Low</v>
      </c>
      <c r="AR480" t="str">
        <f t="shared" si="103"/>
        <v>6-10 Years</v>
      </c>
    </row>
    <row r="481" spans="1:44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55</v>
      </c>
      <c r="M481">
        <v>3</v>
      </c>
      <c r="N481">
        <v>1</v>
      </c>
      <c r="O481" t="s">
        <v>50</v>
      </c>
      <c r="P481">
        <v>3</v>
      </c>
      <c r="Q481" t="s">
        <v>48</v>
      </c>
      <c r="R481">
        <v>2886</v>
      </c>
      <c r="S481">
        <v>1</v>
      </c>
      <c r="T481" t="s">
        <v>35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  <c r="AF481">
        <f t="shared" si="91"/>
        <v>1</v>
      </c>
      <c r="AG481">
        <f t="shared" si="92"/>
        <v>1</v>
      </c>
      <c r="AH481" t="str">
        <f t="shared" si="93"/>
        <v>Bachelor</v>
      </c>
      <c r="AI481" t="str">
        <f t="shared" si="94"/>
        <v>Low</v>
      </c>
      <c r="AJ481" t="str">
        <f t="shared" si="95"/>
        <v>High</v>
      </c>
      <c r="AK481" t="str">
        <f t="shared" si="96"/>
        <v>Entry</v>
      </c>
      <c r="AL481" t="str">
        <f t="shared" si="97"/>
        <v>High</v>
      </c>
      <c r="AM481" t="str">
        <f t="shared" si="98"/>
        <v>Very High</v>
      </c>
      <c r="AN481" t="str">
        <f t="shared" si="99"/>
        <v>Low</v>
      </c>
      <c r="AO481" t="str">
        <f t="shared" si="100"/>
        <v>Better</v>
      </c>
      <c r="AP481" t="str">
        <f t="shared" si="101"/>
        <v>Under 25</v>
      </c>
      <c r="AQ481" t="str">
        <f t="shared" si="102"/>
        <v>Low</v>
      </c>
      <c r="AR481" t="str">
        <f t="shared" si="103"/>
        <v>6-10 Years</v>
      </c>
    </row>
    <row r="482" spans="1:44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46</v>
      </c>
      <c r="L482">
        <v>74</v>
      </c>
      <c r="M482">
        <v>2</v>
      </c>
      <c r="N482">
        <v>1</v>
      </c>
      <c r="O482" t="s">
        <v>57</v>
      </c>
      <c r="P482">
        <v>1</v>
      </c>
      <c r="Q482" t="s">
        <v>48</v>
      </c>
      <c r="R482">
        <v>2033</v>
      </c>
      <c r="S482">
        <v>1</v>
      </c>
      <c r="T482" t="s">
        <v>43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  <c r="AF482">
        <f t="shared" si="91"/>
        <v>1</v>
      </c>
      <c r="AG482">
        <f t="shared" si="92"/>
        <v>0</v>
      </c>
      <c r="AH482" t="str">
        <f t="shared" si="93"/>
        <v>Master</v>
      </c>
      <c r="AI482" t="str">
        <f t="shared" si="94"/>
        <v>Medium</v>
      </c>
      <c r="AJ482" t="str">
        <f t="shared" si="95"/>
        <v>Medium</v>
      </c>
      <c r="AK482" t="str">
        <f t="shared" si="96"/>
        <v>Entry</v>
      </c>
      <c r="AL482" t="str">
        <f t="shared" si="97"/>
        <v>Low</v>
      </c>
      <c r="AM482" t="str">
        <f t="shared" si="98"/>
        <v>High</v>
      </c>
      <c r="AN482" t="str">
        <f t="shared" si="99"/>
        <v>Low</v>
      </c>
      <c r="AO482" t="str">
        <f t="shared" si="100"/>
        <v>Best</v>
      </c>
      <c r="AP482" t="str">
        <f t="shared" si="101"/>
        <v>25-34</v>
      </c>
      <c r="AQ482" t="str">
        <f t="shared" si="102"/>
        <v>Low</v>
      </c>
      <c r="AR482" t="str">
        <f t="shared" si="103"/>
        <v>0-2 Years</v>
      </c>
    </row>
    <row r="483" spans="1:44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46</v>
      </c>
      <c r="L483">
        <v>83</v>
      </c>
      <c r="M483">
        <v>2</v>
      </c>
      <c r="N483">
        <v>1</v>
      </c>
      <c r="O483" t="s">
        <v>47</v>
      </c>
      <c r="P483">
        <v>4</v>
      </c>
      <c r="Q483" t="s">
        <v>48</v>
      </c>
      <c r="R483">
        <v>3622</v>
      </c>
      <c r="S483">
        <v>1</v>
      </c>
      <c r="T483" t="s">
        <v>35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  <c r="AF483">
        <f t="shared" si="91"/>
        <v>0</v>
      </c>
      <c r="AG483">
        <f t="shared" si="92"/>
        <v>1</v>
      </c>
      <c r="AH483" t="str">
        <f t="shared" si="93"/>
        <v>College</v>
      </c>
      <c r="AI483" t="str">
        <f t="shared" si="94"/>
        <v>Medium</v>
      </c>
      <c r="AJ483" t="str">
        <f t="shared" si="95"/>
        <v>Medium</v>
      </c>
      <c r="AK483" t="str">
        <f t="shared" si="96"/>
        <v>Entry</v>
      </c>
      <c r="AL483" t="str">
        <f t="shared" si="97"/>
        <v>Very High</v>
      </c>
      <c r="AM483" t="str">
        <f t="shared" si="98"/>
        <v>Very High</v>
      </c>
      <c r="AN483" t="str">
        <f t="shared" si="99"/>
        <v>Low</v>
      </c>
      <c r="AO483" t="str">
        <f t="shared" si="100"/>
        <v>Better</v>
      </c>
      <c r="AP483" t="str">
        <f t="shared" si="101"/>
        <v>25-34</v>
      </c>
      <c r="AQ483" t="str">
        <f t="shared" si="102"/>
        <v>Lower-Mid</v>
      </c>
      <c r="AR483" t="str">
        <f t="shared" si="103"/>
        <v>6-10 Years</v>
      </c>
    </row>
    <row r="484" spans="1:44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46</v>
      </c>
      <c r="L484">
        <v>46</v>
      </c>
      <c r="M484">
        <v>3</v>
      </c>
      <c r="N484">
        <v>2</v>
      </c>
      <c r="O484" t="s">
        <v>40</v>
      </c>
      <c r="P484">
        <v>1</v>
      </c>
      <c r="Q484" t="s">
        <v>52</v>
      </c>
      <c r="R484">
        <v>4233</v>
      </c>
      <c r="S484">
        <v>2</v>
      </c>
      <c r="T484" t="s">
        <v>43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  <c r="AF484">
        <f t="shared" si="91"/>
        <v>1</v>
      </c>
      <c r="AG484">
        <f t="shared" si="92"/>
        <v>0</v>
      </c>
      <c r="AH484" t="str">
        <f t="shared" si="93"/>
        <v>Master</v>
      </c>
      <c r="AI484" t="str">
        <f t="shared" si="94"/>
        <v>Medium</v>
      </c>
      <c r="AJ484" t="str">
        <f t="shared" si="95"/>
        <v>High</v>
      </c>
      <c r="AK484" t="str">
        <f t="shared" si="96"/>
        <v>Junior</v>
      </c>
      <c r="AL484" t="str">
        <f t="shared" si="97"/>
        <v>Low</v>
      </c>
      <c r="AM484" t="str">
        <f t="shared" si="98"/>
        <v>High</v>
      </c>
      <c r="AN484" t="str">
        <f t="shared" si="99"/>
        <v>No Options</v>
      </c>
      <c r="AO484" t="str">
        <f t="shared" si="100"/>
        <v>Bad</v>
      </c>
      <c r="AP484" t="str">
        <f t="shared" si="101"/>
        <v>25-34</v>
      </c>
      <c r="AQ484" t="str">
        <f t="shared" si="102"/>
        <v>Lower-Mid</v>
      </c>
      <c r="AR484" t="str">
        <f t="shared" si="103"/>
        <v>3-5 Years</v>
      </c>
    </row>
    <row r="485" spans="1:44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54</v>
      </c>
      <c r="M485">
        <v>2</v>
      </c>
      <c r="N485">
        <v>2</v>
      </c>
      <c r="O485" t="s">
        <v>50</v>
      </c>
      <c r="P485">
        <v>4</v>
      </c>
      <c r="Q485" t="s">
        <v>41</v>
      </c>
      <c r="R485">
        <v>3681</v>
      </c>
      <c r="S485">
        <v>4</v>
      </c>
      <c r="T485" t="s">
        <v>43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  <c r="AF485">
        <f t="shared" si="91"/>
        <v>0</v>
      </c>
      <c r="AG485">
        <f t="shared" si="92"/>
        <v>0</v>
      </c>
      <c r="AH485" t="str">
        <f t="shared" si="93"/>
        <v>College</v>
      </c>
      <c r="AI485" t="str">
        <f t="shared" si="94"/>
        <v>Low</v>
      </c>
      <c r="AJ485" t="str">
        <f t="shared" si="95"/>
        <v>Medium</v>
      </c>
      <c r="AK485" t="str">
        <f t="shared" si="96"/>
        <v>Junior</v>
      </c>
      <c r="AL485" t="str">
        <f t="shared" si="97"/>
        <v>Very High</v>
      </c>
      <c r="AM485" t="str">
        <f t="shared" si="98"/>
        <v>Very High</v>
      </c>
      <c r="AN485" t="str">
        <f t="shared" si="99"/>
        <v>No Options</v>
      </c>
      <c r="AO485" t="str">
        <f t="shared" si="100"/>
        <v>Better</v>
      </c>
      <c r="AP485" t="str">
        <f t="shared" si="101"/>
        <v>35-44</v>
      </c>
      <c r="AQ485" t="str">
        <f t="shared" si="102"/>
        <v>Lower-Mid</v>
      </c>
      <c r="AR485" t="str">
        <f t="shared" si="103"/>
        <v>3-5 Years</v>
      </c>
    </row>
    <row r="486" spans="1:44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46</v>
      </c>
      <c r="L486">
        <v>66</v>
      </c>
      <c r="M486">
        <v>4</v>
      </c>
      <c r="N486">
        <v>2</v>
      </c>
      <c r="O486" t="s">
        <v>40</v>
      </c>
      <c r="P486">
        <v>4</v>
      </c>
      <c r="Q486" t="s">
        <v>52</v>
      </c>
      <c r="R486">
        <v>5460</v>
      </c>
      <c r="S486">
        <v>4</v>
      </c>
      <c r="T486" t="s">
        <v>43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  <c r="AF486">
        <f t="shared" si="91"/>
        <v>0</v>
      </c>
      <c r="AG486">
        <f t="shared" si="92"/>
        <v>0</v>
      </c>
      <c r="AH486" t="str">
        <f t="shared" si="93"/>
        <v>Master</v>
      </c>
      <c r="AI486" t="str">
        <f t="shared" si="94"/>
        <v>Low</v>
      </c>
      <c r="AJ486" t="str">
        <f t="shared" si="95"/>
        <v>Very High</v>
      </c>
      <c r="AK486" t="str">
        <f t="shared" si="96"/>
        <v>Junior</v>
      </c>
      <c r="AL486" t="str">
        <f t="shared" si="97"/>
        <v>Very High</v>
      </c>
      <c r="AM486" t="str">
        <f t="shared" si="98"/>
        <v>Very High</v>
      </c>
      <c r="AN486" t="str">
        <f t="shared" si="99"/>
        <v>Medium</v>
      </c>
      <c r="AO486" t="str">
        <f t="shared" si="100"/>
        <v>Best</v>
      </c>
      <c r="AP486" t="str">
        <f t="shared" si="101"/>
        <v>25-34</v>
      </c>
      <c r="AQ486" t="str">
        <f t="shared" si="102"/>
        <v>Lower-Mid</v>
      </c>
      <c r="AR486" t="str">
        <f t="shared" si="103"/>
        <v>6-10 Years</v>
      </c>
    </row>
    <row r="487" spans="1:44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39</v>
      </c>
      <c r="L487">
        <v>66</v>
      </c>
      <c r="M487">
        <v>2</v>
      </c>
      <c r="N487">
        <v>1</v>
      </c>
      <c r="O487" t="s">
        <v>47</v>
      </c>
      <c r="P487">
        <v>3</v>
      </c>
      <c r="Q487" t="s">
        <v>52</v>
      </c>
      <c r="R487">
        <v>2187</v>
      </c>
      <c r="S487">
        <v>0</v>
      </c>
      <c r="T487" t="s">
        <v>43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  <c r="AF487">
        <f t="shared" si="91"/>
        <v>0</v>
      </c>
      <c r="AG487">
        <f t="shared" si="92"/>
        <v>0</v>
      </c>
      <c r="AH487" t="str">
        <f t="shared" si="93"/>
        <v>Master</v>
      </c>
      <c r="AI487" t="str">
        <f t="shared" si="94"/>
        <v>Low</v>
      </c>
      <c r="AJ487" t="str">
        <f t="shared" si="95"/>
        <v>Medium</v>
      </c>
      <c r="AK487" t="str">
        <f t="shared" si="96"/>
        <v>Entry</v>
      </c>
      <c r="AL487" t="str">
        <f t="shared" si="97"/>
        <v>High</v>
      </c>
      <c r="AM487" t="str">
        <f t="shared" si="98"/>
        <v>High</v>
      </c>
      <c r="AN487" t="str">
        <f t="shared" si="99"/>
        <v>Medium</v>
      </c>
      <c r="AO487" t="str">
        <f t="shared" si="100"/>
        <v>Good</v>
      </c>
      <c r="AP487" t="str">
        <f t="shared" si="101"/>
        <v>25-34</v>
      </c>
      <c r="AQ487" t="str">
        <f t="shared" si="102"/>
        <v>Low</v>
      </c>
      <c r="AR487" t="str">
        <f t="shared" si="103"/>
        <v>3-5 Years</v>
      </c>
    </row>
    <row r="488" spans="1:44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t="s">
        <v>46</v>
      </c>
      <c r="L488">
        <v>75</v>
      </c>
      <c r="M488">
        <v>3</v>
      </c>
      <c r="N488">
        <v>2</v>
      </c>
      <c r="O488" t="s">
        <v>40</v>
      </c>
      <c r="P488">
        <v>3</v>
      </c>
      <c r="Q488" t="s">
        <v>48</v>
      </c>
      <c r="R488">
        <v>9602</v>
      </c>
      <c r="S488">
        <v>4</v>
      </c>
      <c r="T488" t="s">
        <v>35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  <c r="AF488">
        <f t="shared" si="91"/>
        <v>0</v>
      </c>
      <c r="AG488">
        <f t="shared" si="92"/>
        <v>1</v>
      </c>
      <c r="AH488" t="str">
        <f t="shared" si="93"/>
        <v>Bachelor</v>
      </c>
      <c r="AI488" t="str">
        <f t="shared" si="94"/>
        <v>Very High</v>
      </c>
      <c r="AJ488" t="str">
        <f t="shared" si="95"/>
        <v>High</v>
      </c>
      <c r="AK488" t="str">
        <f t="shared" si="96"/>
        <v>Junior</v>
      </c>
      <c r="AL488" t="str">
        <f t="shared" si="97"/>
        <v>High</v>
      </c>
      <c r="AM488" t="str">
        <f t="shared" si="98"/>
        <v>High</v>
      </c>
      <c r="AN488" t="str">
        <f t="shared" si="99"/>
        <v>Low</v>
      </c>
      <c r="AO488" t="str">
        <f t="shared" si="100"/>
        <v>Good</v>
      </c>
      <c r="AP488" t="str">
        <f t="shared" si="101"/>
        <v>35-44</v>
      </c>
      <c r="AQ488" t="str">
        <f t="shared" si="102"/>
        <v>Upper-Mid</v>
      </c>
      <c r="AR488" t="str">
        <f t="shared" si="103"/>
        <v>3-5 Years</v>
      </c>
    </row>
    <row r="489" spans="1:44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83</v>
      </c>
      <c r="M489">
        <v>2</v>
      </c>
      <c r="N489">
        <v>1</v>
      </c>
      <c r="O489" t="s">
        <v>47</v>
      </c>
      <c r="P489">
        <v>2</v>
      </c>
      <c r="Q489" t="s">
        <v>41</v>
      </c>
      <c r="R489">
        <v>2836</v>
      </c>
      <c r="S489">
        <v>1</v>
      </c>
      <c r="T489" t="s">
        <v>43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  <c r="AF489">
        <f t="shared" si="91"/>
        <v>0</v>
      </c>
      <c r="AG489">
        <f t="shared" si="92"/>
        <v>0</v>
      </c>
      <c r="AH489" t="str">
        <f t="shared" si="93"/>
        <v>Bachelor</v>
      </c>
      <c r="AI489" t="str">
        <f t="shared" si="94"/>
        <v>Very High</v>
      </c>
      <c r="AJ489" t="str">
        <f t="shared" si="95"/>
        <v>Medium</v>
      </c>
      <c r="AK489" t="str">
        <f t="shared" si="96"/>
        <v>Entry</v>
      </c>
      <c r="AL489" t="str">
        <f t="shared" si="97"/>
        <v>Medium</v>
      </c>
      <c r="AM489" t="str">
        <f t="shared" si="98"/>
        <v>Very High</v>
      </c>
      <c r="AN489" t="str">
        <f t="shared" si="99"/>
        <v>No Options</v>
      </c>
      <c r="AO489" t="str">
        <f t="shared" si="100"/>
        <v>Best</v>
      </c>
      <c r="AP489" t="str">
        <f t="shared" si="101"/>
        <v>Under 25</v>
      </c>
      <c r="AQ489" t="str">
        <f t="shared" si="102"/>
        <v>Low</v>
      </c>
      <c r="AR489" t="str">
        <f t="shared" si="103"/>
        <v>0-2 Years</v>
      </c>
    </row>
    <row r="490" spans="1:44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81</v>
      </c>
      <c r="M490">
        <v>3</v>
      </c>
      <c r="N490">
        <v>2</v>
      </c>
      <c r="O490" t="s">
        <v>54</v>
      </c>
      <c r="P490">
        <v>4</v>
      </c>
      <c r="Q490" t="s">
        <v>48</v>
      </c>
      <c r="R490">
        <v>4089</v>
      </c>
      <c r="S490">
        <v>1</v>
      </c>
      <c r="T490" t="s">
        <v>43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  <c r="AF490">
        <f t="shared" si="91"/>
        <v>0</v>
      </c>
      <c r="AG490">
        <f t="shared" si="92"/>
        <v>0</v>
      </c>
      <c r="AH490" t="str">
        <f t="shared" si="93"/>
        <v>Master</v>
      </c>
      <c r="AI490" t="str">
        <f t="shared" si="94"/>
        <v>High</v>
      </c>
      <c r="AJ490" t="str">
        <f t="shared" si="95"/>
        <v>High</v>
      </c>
      <c r="AK490" t="str">
        <f t="shared" si="96"/>
        <v>Junior</v>
      </c>
      <c r="AL490" t="str">
        <f t="shared" si="97"/>
        <v>Very High</v>
      </c>
      <c r="AM490" t="str">
        <f t="shared" si="98"/>
        <v>Medium</v>
      </c>
      <c r="AN490" t="str">
        <f t="shared" si="99"/>
        <v>Medium</v>
      </c>
      <c r="AO490" t="str">
        <f t="shared" si="100"/>
        <v>Better</v>
      </c>
      <c r="AP490" t="str">
        <f t="shared" si="101"/>
        <v>35-44</v>
      </c>
      <c r="AQ490" t="str">
        <f t="shared" si="102"/>
        <v>Lower-Mid</v>
      </c>
      <c r="AR490" t="str">
        <f t="shared" si="103"/>
        <v>6-10 Years</v>
      </c>
    </row>
    <row r="491" spans="1:44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50</v>
      </c>
      <c r="M491">
        <v>2</v>
      </c>
      <c r="N491">
        <v>4</v>
      </c>
      <c r="O491" t="s">
        <v>58</v>
      </c>
      <c r="P491">
        <v>4</v>
      </c>
      <c r="Q491" t="s">
        <v>52</v>
      </c>
      <c r="R491">
        <v>16627</v>
      </c>
      <c r="S491">
        <v>4</v>
      </c>
      <c r="T491" t="s">
        <v>35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  <c r="AF491">
        <f t="shared" si="91"/>
        <v>0</v>
      </c>
      <c r="AG491">
        <f t="shared" si="92"/>
        <v>1</v>
      </c>
      <c r="AH491" t="str">
        <f t="shared" si="93"/>
        <v>Master</v>
      </c>
      <c r="AI491" t="str">
        <f t="shared" si="94"/>
        <v>Medium</v>
      </c>
      <c r="AJ491" t="str">
        <f t="shared" si="95"/>
        <v>Medium</v>
      </c>
      <c r="AK491" t="str">
        <f t="shared" si="96"/>
        <v>Senior</v>
      </c>
      <c r="AL491" t="str">
        <f t="shared" si="97"/>
        <v>Very High</v>
      </c>
      <c r="AM491" t="str">
        <f t="shared" si="98"/>
        <v>High</v>
      </c>
      <c r="AN491" t="str">
        <f t="shared" si="99"/>
        <v>Low</v>
      </c>
      <c r="AO491" t="str">
        <f t="shared" si="100"/>
        <v>Good</v>
      </c>
      <c r="AP491" t="str">
        <f t="shared" si="101"/>
        <v>35-44</v>
      </c>
      <c r="AQ491" t="str">
        <f t="shared" si="102"/>
        <v>High</v>
      </c>
      <c r="AR491" t="str">
        <f t="shared" si="103"/>
        <v>0-2 Years</v>
      </c>
    </row>
    <row r="492" spans="1:44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43</v>
      </c>
      <c r="M492">
        <v>3</v>
      </c>
      <c r="N492">
        <v>1</v>
      </c>
      <c r="O492" t="s">
        <v>47</v>
      </c>
      <c r="P492">
        <v>1</v>
      </c>
      <c r="Q492" t="s">
        <v>41</v>
      </c>
      <c r="R492">
        <v>2619</v>
      </c>
      <c r="S492">
        <v>3</v>
      </c>
      <c r="T492" t="s">
        <v>43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  <c r="AF492">
        <f t="shared" si="91"/>
        <v>0</v>
      </c>
      <c r="AG492">
        <f t="shared" si="92"/>
        <v>0</v>
      </c>
      <c r="AH492" t="str">
        <f t="shared" si="93"/>
        <v>Below College</v>
      </c>
      <c r="AI492" t="str">
        <f t="shared" si="94"/>
        <v>High</v>
      </c>
      <c r="AJ492" t="str">
        <f t="shared" si="95"/>
        <v>High</v>
      </c>
      <c r="AK492" t="str">
        <f t="shared" si="96"/>
        <v>Entry</v>
      </c>
      <c r="AL492" t="str">
        <f t="shared" si="97"/>
        <v>Low</v>
      </c>
      <c r="AM492" t="str">
        <f t="shared" si="98"/>
        <v>Very High</v>
      </c>
      <c r="AN492" t="str">
        <f t="shared" si="99"/>
        <v>No Options</v>
      </c>
      <c r="AO492" t="str">
        <f t="shared" si="100"/>
        <v>Good</v>
      </c>
      <c r="AP492" t="str">
        <f t="shared" si="101"/>
        <v>35-44</v>
      </c>
      <c r="AQ492" t="str">
        <f t="shared" si="102"/>
        <v>Low</v>
      </c>
      <c r="AR492" t="str">
        <f t="shared" si="103"/>
        <v>0-2 Years</v>
      </c>
    </row>
    <row r="493" spans="1:44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46</v>
      </c>
      <c r="L493">
        <v>72</v>
      </c>
      <c r="M493">
        <v>3</v>
      </c>
      <c r="N493">
        <v>2</v>
      </c>
      <c r="O493" t="s">
        <v>50</v>
      </c>
      <c r="P493">
        <v>3</v>
      </c>
      <c r="Q493" t="s">
        <v>52</v>
      </c>
      <c r="R493">
        <v>5679</v>
      </c>
      <c r="S493">
        <v>3</v>
      </c>
      <c r="T493" t="s">
        <v>35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  <c r="AF493">
        <f t="shared" si="91"/>
        <v>0</v>
      </c>
      <c r="AG493">
        <f t="shared" si="92"/>
        <v>1</v>
      </c>
      <c r="AH493" t="str">
        <f t="shared" si="93"/>
        <v>Doctor</v>
      </c>
      <c r="AI493" t="str">
        <f t="shared" si="94"/>
        <v>Very High</v>
      </c>
      <c r="AJ493" t="str">
        <f t="shared" si="95"/>
        <v>High</v>
      </c>
      <c r="AK493" t="str">
        <f t="shared" si="96"/>
        <v>Junior</v>
      </c>
      <c r="AL493" t="str">
        <f t="shared" si="97"/>
        <v>High</v>
      </c>
      <c r="AM493" t="str">
        <f t="shared" si="98"/>
        <v>Medium</v>
      </c>
      <c r="AN493" t="str">
        <f t="shared" si="99"/>
        <v>Low</v>
      </c>
      <c r="AO493" t="str">
        <f t="shared" si="100"/>
        <v>Better</v>
      </c>
      <c r="AP493" t="str">
        <f t="shared" si="101"/>
        <v>35-44</v>
      </c>
      <c r="AQ493" t="str">
        <f t="shared" si="102"/>
        <v>Lower-Mid</v>
      </c>
      <c r="AR493" t="str">
        <f t="shared" si="103"/>
        <v>6-10 Years</v>
      </c>
    </row>
    <row r="494" spans="1:44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40</v>
      </c>
      <c r="M494">
        <v>2</v>
      </c>
      <c r="N494">
        <v>4</v>
      </c>
      <c r="O494" t="s">
        <v>56</v>
      </c>
      <c r="P494">
        <v>1</v>
      </c>
      <c r="Q494" t="s">
        <v>48</v>
      </c>
      <c r="R494">
        <v>15402</v>
      </c>
      <c r="S494">
        <v>7</v>
      </c>
      <c r="T494" t="s">
        <v>43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  <c r="AF494">
        <f t="shared" si="91"/>
        <v>0</v>
      </c>
      <c r="AG494">
        <f t="shared" si="92"/>
        <v>0</v>
      </c>
      <c r="AH494" t="str">
        <f t="shared" si="93"/>
        <v>Master</v>
      </c>
      <c r="AI494" t="str">
        <f t="shared" si="94"/>
        <v>Very High</v>
      </c>
      <c r="AJ494" t="str">
        <f t="shared" si="95"/>
        <v>Medium</v>
      </c>
      <c r="AK494" t="str">
        <f t="shared" si="96"/>
        <v>Senior</v>
      </c>
      <c r="AL494" t="str">
        <f t="shared" si="97"/>
        <v>Low</v>
      </c>
      <c r="AM494" t="str">
        <f t="shared" si="98"/>
        <v>Low</v>
      </c>
      <c r="AN494" t="str">
        <f t="shared" si="99"/>
        <v>Low</v>
      </c>
      <c r="AO494" t="str">
        <f t="shared" si="100"/>
        <v>Bad</v>
      </c>
      <c r="AP494" t="str">
        <f t="shared" si="101"/>
        <v>45-54</v>
      </c>
      <c r="AQ494" t="str">
        <f t="shared" si="102"/>
        <v>High</v>
      </c>
      <c r="AR494" t="str">
        <f t="shared" si="103"/>
        <v>3-5 Years</v>
      </c>
    </row>
    <row r="495" spans="1:44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50</v>
      </c>
      <c r="M495">
        <v>2</v>
      </c>
      <c r="N495">
        <v>2</v>
      </c>
      <c r="O495" t="s">
        <v>61</v>
      </c>
      <c r="P495">
        <v>3</v>
      </c>
      <c r="Q495" t="s">
        <v>41</v>
      </c>
      <c r="R495">
        <v>5985</v>
      </c>
      <c r="S495">
        <v>4</v>
      </c>
      <c r="T495" t="s">
        <v>43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  <c r="AF495">
        <f t="shared" si="91"/>
        <v>0</v>
      </c>
      <c r="AG495">
        <f t="shared" si="92"/>
        <v>0</v>
      </c>
      <c r="AH495" t="str">
        <f t="shared" si="93"/>
        <v>Master</v>
      </c>
      <c r="AI495" t="str">
        <f t="shared" si="94"/>
        <v>Low</v>
      </c>
      <c r="AJ495" t="str">
        <f t="shared" si="95"/>
        <v>Medium</v>
      </c>
      <c r="AK495" t="str">
        <f t="shared" si="96"/>
        <v>Junior</v>
      </c>
      <c r="AL495" t="str">
        <f t="shared" si="97"/>
        <v>High</v>
      </c>
      <c r="AM495" t="str">
        <f t="shared" si="98"/>
        <v>Medium</v>
      </c>
      <c r="AN495" t="str">
        <f t="shared" si="99"/>
        <v>No Options</v>
      </c>
      <c r="AO495" t="str">
        <f t="shared" si="100"/>
        <v>Best</v>
      </c>
      <c r="AP495" t="str">
        <f t="shared" si="101"/>
        <v>35-44</v>
      </c>
      <c r="AQ495" t="str">
        <f t="shared" si="102"/>
        <v>Lower-Mid</v>
      </c>
      <c r="AR495" t="str">
        <f t="shared" si="103"/>
        <v>0-2 Years</v>
      </c>
    </row>
    <row r="496" spans="1:44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t="s">
        <v>39</v>
      </c>
      <c r="L496">
        <v>31</v>
      </c>
      <c r="M496">
        <v>3</v>
      </c>
      <c r="N496">
        <v>1</v>
      </c>
      <c r="O496" t="s">
        <v>57</v>
      </c>
      <c r="P496">
        <v>3</v>
      </c>
      <c r="Q496" t="s">
        <v>52</v>
      </c>
      <c r="R496">
        <v>2579</v>
      </c>
      <c r="S496">
        <v>1</v>
      </c>
      <c r="T496" t="s">
        <v>35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  <c r="AF496">
        <f t="shared" si="91"/>
        <v>0</v>
      </c>
      <c r="AG496">
        <f t="shared" si="92"/>
        <v>1</v>
      </c>
      <c r="AH496" t="str">
        <f t="shared" si="93"/>
        <v>Bachelor</v>
      </c>
      <c r="AI496" t="str">
        <f t="shared" si="94"/>
        <v>High</v>
      </c>
      <c r="AJ496" t="str">
        <f t="shared" si="95"/>
        <v>High</v>
      </c>
      <c r="AK496" t="str">
        <f t="shared" si="96"/>
        <v>Entry</v>
      </c>
      <c r="AL496" t="str">
        <f t="shared" si="97"/>
        <v>High</v>
      </c>
      <c r="AM496" t="str">
        <f t="shared" si="98"/>
        <v>Very High</v>
      </c>
      <c r="AN496" t="str">
        <f t="shared" si="99"/>
        <v>Medium</v>
      </c>
      <c r="AO496" t="str">
        <f t="shared" si="100"/>
        <v>Better</v>
      </c>
      <c r="AP496" t="str">
        <f t="shared" si="101"/>
        <v>25-34</v>
      </c>
      <c r="AQ496" t="str">
        <f t="shared" si="102"/>
        <v>Low</v>
      </c>
      <c r="AR496" t="str">
        <f t="shared" si="103"/>
        <v>6-10 Years</v>
      </c>
    </row>
    <row r="497" spans="1:44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t="s">
        <v>46</v>
      </c>
      <c r="L497">
        <v>85</v>
      </c>
      <c r="M497">
        <v>3</v>
      </c>
      <c r="N497">
        <v>1</v>
      </c>
      <c r="O497" t="s">
        <v>57</v>
      </c>
      <c r="P497">
        <v>1</v>
      </c>
      <c r="Q497" t="s">
        <v>52</v>
      </c>
      <c r="R497">
        <v>3041</v>
      </c>
      <c r="S497">
        <v>0</v>
      </c>
      <c r="T497" t="s">
        <v>43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  <c r="AF497">
        <f t="shared" si="91"/>
        <v>1</v>
      </c>
      <c r="AG497">
        <f t="shared" si="92"/>
        <v>0</v>
      </c>
      <c r="AH497" t="str">
        <f t="shared" si="93"/>
        <v>Below College</v>
      </c>
      <c r="AI497" t="str">
        <f t="shared" si="94"/>
        <v>High</v>
      </c>
      <c r="AJ497" t="str">
        <f t="shared" si="95"/>
        <v>High</v>
      </c>
      <c r="AK497" t="str">
        <f t="shared" si="96"/>
        <v>Entry</v>
      </c>
      <c r="AL497" t="str">
        <f t="shared" si="97"/>
        <v>Low</v>
      </c>
      <c r="AM497" t="str">
        <f t="shared" si="98"/>
        <v>Medium</v>
      </c>
      <c r="AN497" t="str">
        <f t="shared" si="99"/>
        <v>Low</v>
      </c>
      <c r="AO497" t="str">
        <f t="shared" si="100"/>
        <v>Better</v>
      </c>
      <c r="AP497" t="str">
        <f t="shared" si="101"/>
        <v>25-34</v>
      </c>
      <c r="AQ497" t="str">
        <f t="shared" si="102"/>
        <v>Lower-Mid</v>
      </c>
      <c r="AR497" t="str">
        <f t="shared" si="103"/>
        <v>3-5 Years</v>
      </c>
    </row>
    <row r="498" spans="1:44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t="s">
        <v>46</v>
      </c>
      <c r="L498">
        <v>49</v>
      </c>
      <c r="M498">
        <v>3</v>
      </c>
      <c r="N498">
        <v>1</v>
      </c>
      <c r="O498" t="s">
        <v>57</v>
      </c>
      <c r="P498">
        <v>3</v>
      </c>
      <c r="Q498" t="s">
        <v>41</v>
      </c>
      <c r="R498">
        <v>3447</v>
      </c>
      <c r="S498">
        <v>1</v>
      </c>
      <c r="T498" t="s">
        <v>43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  <c r="AF498">
        <f t="shared" si="91"/>
        <v>0</v>
      </c>
      <c r="AG498">
        <f t="shared" si="92"/>
        <v>0</v>
      </c>
      <c r="AH498" t="str">
        <f t="shared" si="93"/>
        <v>Below College</v>
      </c>
      <c r="AI498" t="str">
        <f t="shared" si="94"/>
        <v>High</v>
      </c>
      <c r="AJ498" t="str">
        <f t="shared" si="95"/>
        <v>High</v>
      </c>
      <c r="AK498" t="str">
        <f t="shared" si="96"/>
        <v>Entry</v>
      </c>
      <c r="AL498" t="str">
        <f t="shared" si="97"/>
        <v>High</v>
      </c>
      <c r="AM498" t="str">
        <f t="shared" si="98"/>
        <v>High</v>
      </c>
      <c r="AN498" t="str">
        <f t="shared" si="99"/>
        <v>No Options</v>
      </c>
      <c r="AO498" t="str">
        <f t="shared" si="100"/>
        <v>Better</v>
      </c>
      <c r="AP498" t="str">
        <f t="shared" si="101"/>
        <v>Under 25</v>
      </c>
      <c r="AQ498" t="str">
        <f t="shared" si="102"/>
        <v>Lower-Mid</v>
      </c>
      <c r="AR498" t="str">
        <f t="shared" si="103"/>
        <v>3-5 Years</v>
      </c>
    </row>
    <row r="499" spans="1:44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35</v>
      </c>
      <c r="M499">
        <v>3</v>
      </c>
      <c r="N499">
        <v>5</v>
      </c>
      <c r="O499" t="s">
        <v>56</v>
      </c>
      <c r="P499">
        <v>4</v>
      </c>
      <c r="Q499" t="s">
        <v>48</v>
      </c>
      <c r="R499">
        <v>19513</v>
      </c>
      <c r="S499">
        <v>4</v>
      </c>
      <c r="T499" t="s">
        <v>35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  <c r="AF499">
        <f t="shared" si="91"/>
        <v>0</v>
      </c>
      <c r="AG499">
        <f t="shared" si="92"/>
        <v>1</v>
      </c>
      <c r="AH499" t="str">
        <f t="shared" si="93"/>
        <v>Master</v>
      </c>
      <c r="AI499" t="str">
        <f t="shared" si="94"/>
        <v>Very High</v>
      </c>
      <c r="AJ499" t="str">
        <f t="shared" si="95"/>
        <v>High</v>
      </c>
      <c r="AK499" t="str">
        <f t="shared" si="96"/>
        <v>Executive</v>
      </c>
      <c r="AL499" t="str">
        <f t="shared" si="97"/>
        <v>Very High</v>
      </c>
      <c r="AM499" t="str">
        <f t="shared" si="98"/>
        <v>Low</v>
      </c>
      <c r="AN499" t="str">
        <f t="shared" si="99"/>
        <v>Low</v>
      </c>
      <c r="AO499" t="str">
        <f t="shared" si="100"/>
        <v>Best</v>
      </c>
      <c r="AP499" t="str">
        <f t="shared" si="101"/>
        <v>35-44</v>
      </c>
      <c r="AQ499" t="str">
        <f t="shared" si="102"/>
        <v>High</v>
      </c>
      <c r="AR499" t="str">
        <f t="shared" si="103"/>
        <v>0-2 Years</v>
      </c>
    </row>
    <row r="500" spans="1:44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46</v>
      </c>
      <c r="L500">
        <v>69</v>
      </c>
      <c r="M500">
        <v>3</v>
      </c>
      <c r="N500">
        <v>1</v>
      </c>
      <c r="O500" t="s">
        <v>47</v>
      </c>
      <c r="P500">
        <v>3</v>
      </c>
      <c r="Q500" t="s">
        <v>48</v>
      </c>
      <c r="R500">
        <v>2773</v>
      </c>
      <c r="S500">
        <v>0</v>
      </c>
      <c r="T500" t="s">
        <v>43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  <c r="AF500">
        <f t="shared" si="91"/>
        <v>0</v>
      </c>
      <c r="AG500">
        <f t="shared" si="92"/>
        <v>0</v>
      </c>
      <c r="AH500" t="str">
        <f t="shared" si="93"/>
        <v>Below College</v>
      </c>
      <c r="AI500" t="str">
        <f t="shared" si="94"/>
        <v>Low</v>
      </c>
      <c r="AJ500" t="str">
        <f t="shared" si="95"/>
        <v>High</v>
      </c>
      <c r="AK500" t="str">
        <f t="shared" si="96"/>
        <v>Entry</v>
      </c>
      <c r="AL500" t="str">
        <f t="shared" si="97"/>
        <v>High</v>
      </c>
      <c r="AM500" t="str">
        <f t="shared" si="98"/>
        <v>Very High</v>
      </c>
      <c r="AN500" t="str">
        <f t="shared" si="99"/>
        <v>No Options</v>
      </c>
      <c r="AO500" t="str">
        <f t="shared" si="100"/>
        <v>Better</v>
      </c>
      <c r="AP500" t="str">
        <f t="shared" si="101"/>
        <v>Under 25</v>
      </c>
      <c r="AQ500" t="str">
        <f t="shared" si="102"/>
        <v>Low</v>
      </c>
      <c r="AR500" t="str">
        <f t="shared" si="103"/>
        <v>0-2 Years</v>
      </c>
    </row>
    <row r="501" spans="1:44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t="s">
        <v>46</v>
      </c>
      <c r="L501">
        <v>39</v>
      </c>
      <c r="M501">
        <v>3</v>
      </c>
      <c r="N501">
        <v>2</v>
      </c>
      <c r="O501" t="s">
        <v>40</v>
      </c>
      <c r="P501">
        <v>3</v>
      </c>
      <c r="Q501" t="s">
        <v>52</v>
      </c>
      <c r="R501">
        <v>7104</v>
      </c>
      <c r="S501">
        <v>0</v>
      </c>
      <c r="T501" t="s">
        <v>43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  <c r="AF501">
        <f t="shared" si="91"/>
        <v>0</v>
      </c>
      <c r="AG501">
        <f t="shared" si="92"/>
        <v>0</v>
      </c>
      <c r="AH501" t="str">
        <f t="shared" si="93"/>
        <v>Master</v>
      </c>
      <c r="AI501" t="str">
        <f t="shared" si="94"/>
        <v>High</v>
      </c>
      <c r="AJ501" t="str">
        <f t="shared" si="95"/>
        <v>High</v>
      </c>
      <c r="AK501" t="str">
        <f t="shared" si="96"/>
        <v>Junior</v>
      </c>
      <c r="AL501" t="str">
        <f t="shared" si="97"/>
        <v>High</v>
      </c>
      <c r="AM501" t="str">
        <f t="shared" si="98"/>
        <v>Very High</v>
      </c>
      <c r="AN501" t="str">
        <f t="shared" si="99"/>
        <v>No Options</v>
      </c>
      <c r="AO501" t="str">
        <f t="shared" si="100"/>
        <v>Better</v>
      </c>
      <c r="AP501" t="str">
        <f t="shared" si="101"/>
        <v>25-34</v>
      </c>
      <c r="AQ501" t="str">
        <f t="shared" si="102"/>
        <v>Upper-Mid</v>
      </c>
      <c r="AR501" t="str">
        <f t="shared" si="103"/>
        <v>3-5 Years</v>
      </c>
    </row>
    <row r="502" spans="1:44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92</v>
      </c>
      <c r="M502">
        <v>3</v>
      </c>
      <c r="N502">
        <v>2</v>
      </c>
      <c r="O502" t="s">
        <v>47</v>
      </c>
      <c r="P502">
        <v>4</v>
      </c>
      <c r="Q502" t="s">
        <v>48</v>
      </c>
      <c r="R502">
        <v>6322</v>
      </c>
      <c r="S502">
        <v>1</v>
      </c>
      <c r="T502" t="s">
        <v>35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  <c r="AF502">
        <f t="shared" si="91"/>
        <v>0</v>
      </c>
      <c r="AG502">
        <f t="shared" si="92"/>
        <v>1</v>
      </c>
      <c r="AH502" t="str">
        <f t="shared" si="93"/>
        <v>Master</v>
      </c>
      <c r="AI502" t="str">
        <f t="shared" si="94"/>
        <v>Low</v>
      </c>
      <c r="AJ502" t="str">
        <f t="shared" si="95"/>
        <v>High</v>
      </c>
      <c r="AK502" t="str">
        <f t="shared" si="96"/>
        <v>Junior</v>
      </c>
      <c r="AL502" t="str">
        <f t="shared" si="97"/>
        <v>Very High</v>
      </c>
      <c r="AM502" t="str">
        <f t="shared" si="98"/>
        <v>Very High</v>
      </c>
      <c r="AN502" t="str">
        <f t="shared" si="99"/>
        <v>Low</v>
      </c>
      <c r="AO502" t="str">
        <f t="shared" si="100"/>
        <v>Good</v>
      </c>
      <c r="AP502" t="str">
        <f t="shared" si="101"/>
        <v>25-34</v>
      </c>
      <c r="AQ502" t="str">
        <f t="shared" si="102"/>
        <v>Lower-Mid</v>
      </c>
      <c r="AR502" t="str">
        <f t="shared" si="103"/>
        <v>6-10 Years</v>
      </c>
    </row>
    <row r="503" spans="1:44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39</v>
      </c>
      <c r="L503">
        <v>71</v>
      </c>
      <c r="M503">
        <v>3</v>
      </c>
      <c r="N503">
        <v>1</v>
      </c>
      <c r="O503" t="s">
        <v>47</v>
      </c>
      <c r="P503">
        <v>3</v>
      </c>
      <c r="Q503" t="s">
        <v>52</v>
      </c>
      <c r="R503">
        <v>2083</v>
      </c>
      <c r="S503">
        <v>1</v>
      </c>
      <c r="T503" t="s">
        <v>43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  <c r="AF503">
        <f t="shared" si="91"/>
        <v>0</v>
      </c>
      <c r="AG503">
        <f t="shared" si="92"/>
        <v>0</v>
      </c>
      <c r="AH503" t="str">
        <f t="shared" si="93"/>
        <v>Bachelor</v>
      </c>
      <c r="AI503" t="str">
        <f t="shared" si="94"/>
        <v>High</v>
      </c>
      <c r="AJ503" t="str">
        <f t="shared" si="95"/>
        <v>High</v>
      </c>
      <c r="AK503" t="str">
        <f t="shared" si="96"/>
        <v>Entry</v>
      </c>
      <c r="AL503" t="str">
        <f t="shared" si="97"/>
        <v>High</v>
      </c>
      <c r="AM503" t="str">
        <f t="shared" si="98"/>
        <v>High</v>
      </c>
      <c r="AN503" t="str">
        <f t="shared" si="99"/>
        <v>Low</v>
      </c>
      <c r="AO503" t="str">
        <f t="shared" si="100"/>
        <v>Better</v>
      </c>
      <c r="AP503" t="str">
        <f t="shared" si="101"/>
        <v>25-34</v>
      </c>
      <c r="AQ503" t="str">
        <f t="shared" si="102"/>
        <v>Low</v>
      </c>
      <c r="AR503" t="str">
        <f t="shared" si="103"/>
        <v>0-2 Years</v>
      </c>
    </row>
    <row r="504" spans="1:44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39</v>
      </c>
      <c r="L504">
        <v>34</v>
      </c>
      <c r="M504">
        <v>3</v>
      </c>
      <c r="N504">
        <v>2</v>
      </c>
      <c r="O504" t="s">
        <v>40</v>
      </c>
      <c r="P504">
        <v>1</v>
      </c>
      <c r="Q504" t="s">
        <v>41</v>
      </c>
      <c r="R504">
        <v>8381</v>
      </c>
      <c r="S504">
        <v>7</v>
      </c>
      <c r="T504" t="s">
        <v>43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  <c r="AF504">
        <f t="shared" si="91"/>
        <v>0</v>
      </c>
      <c r="AG504">
        <f t="shared" si="92"/>
        <v>0</v>
      </c>
      <c r="AH504" t="str">
        <f t="shared" si="93"/>
        <v>Below College</v>
      </c>
      <c r="AI504" t="str">
        <f t="shared" si="94"/>
        <v>Very High</v>
      </c>
      <c r="AJ504" t="str">
        <f t="shared" si="95"/>
        <v>High</v>
      </c>
      <c r="AK504" t="str">
        <f t="shared" si="96"/>
        <v>Junior</v>
      </c>
      <c r="AL504" t="str">
        <f t="shared" si="97"/>
        <v>Low</v>
      </c>
      <c r="AM504" t="str">
        <f t="shared" si="98"/>
        <v>Very High</v>
      </c>
      <c r="AN504" t="str">
        <f t="shared" si="99"/>
        <v>No Options</v>
      </c>
      <c r="AO504" t="str">
        <f t="shared" si="100"/>
        <v>Best</v>
      </c>
      <c r="AP504" t="str">
        <f t="shared" si="101"/>
        <v>45-54</v>
      </c>
      <c r="AQ504" t="str">
        <f t="shared" si="102"/>
        <v>Upper-Mid</v>
      </c>
      <c r="AR504" t="str">
        <f t="shared" si="103"/>
        <v>11-20 Years</v>
      </c>
    </row>
    <row r="505" spans="1:44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46</v>
      </c>
      <c r="L505">
        <v>42</v>
      </c>
      <c r="M505">
        <v>3</v>
      </c>
      <c r="N505">
        <v>1</v>
      </c>
      <c r="O505" t="s">
        <v>47</v>
      </c>
      <c r="P505">
        <v>4</v>
      </c>
      <c r="Q505" t="s">
        <v>48</v>
      </c>
      <c r="R505">
        <v>2691</v>
      </c>
      <c r="S505">
        <v>1</v>
      </c>
      <c r="T505" t="s">
        <v>43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  <c r="AF505">
        <f t="shared" si="91"/>
        <v>0</v>
      </c>
      <c r="AG505">
        <f t="shared" si="92"/>
        <v>0</v>
      </c>
      <c r="AH505" t="str">
        <f t="shared" si="93"/>
        <v>Doctor</v>
      </c>
      <c r="AI505" t="str">
        <f t="shared" si="94"/>
        <v>Medium</v>
      </c>
      <c r="AJ505" t="str">
        <f t="shared" si="95"/>
        <v>High</v>
      </c>
      <c r="AK505" t="str">
        <f t="shared" si="96"/>
        <v>Entry</v>
      </c>
      <c r="AL505" t="str">
        <f t="shared" si="97"/>
        <v>Very High</v>
      </c>
      <c r="AM505" t="str">
        <f t="shared" si="98"/>
        <v>Very High</v>
      </c>
      <c r="AN505" t="str">
        <f t="shared" si="99"/>
        <v>Low</v>
      </c>
      <c r="AO505" t="str">
        <f t="shared" si="100"/>
        <v>Good</v>
      </c>
      <c r="AP505" t="str">
        <f t="shared" si="101"/>
        <v>25-34</v>
      </c>
      <c r="AQ505" t="str">
        <f t="shared" si="102"/>
        <v>Low</v>
      </c>
      <c r="AR505" t="str">
        <f t="shared" si="103"/>
        <v>6-10 Years</v>
      </c>
    </row>
    <row r="506" spans="1:44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100</v>
      </c>
      <c r="M506">
        <v>3</v>
      </c>
      <c r="N506">
        <v>2</v>
      </c>
      <c r="O506" t="s">
        <v>40</v>
      </c>
      <c r="P506">
        <v>1</v>
      </c>
      <c r="Q506" t="s">
        <v>48</v>
      </c>
      <c r="R506">
        <v>4286</v>
      </c>
      <c r="S506">
        <v>2</v>
      </c>
      <c r="T506" t="s">
        <v>43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  <c r="AF506">
        <f t="shared" si="91"/>
        <v>1</v>
      </c>
      <c r="AG506">
        <f t="shared" si="92"/>
        <v>0</v>
      </c>
      <c r="AH506" t="str">
        <f t="shared" si="93"/>
        <v>Master</v>
      </c>
      <c r="AI506" t="str">
        <f t="shared" si="94"/>
        <v>Low</v>
      </c>
      <c r="AJ506" t="str">
        <f t="shared" si="95"/>
        <v>High</v>
      </c>
      <c r="AK506" t="str">
        <f t="shared" si="96"/>
        <v>Junior</v>
      </c>
      <c r="AL506" t="str">
        <f t="shared" si="97"/>
        <v>Low</v>
      </c>
      <c r="AM506" t="str">
        <f t="shared" si="98"/>
        <v>Very High</v>
      </c>
      <c r="AN506" t="str">
        <f t="shared" si="99"/>
        <v>Medium</v>
      </c>
      <c r="AO506" t="str">
        <f t="shared" si="100"/>
        <v>Better</v>
      </c>
      <c r="AP506" t="str">
        <f t="shared" si="101"/>
        <v>45-54</v>
      </c>
      <c r="AQ506" t="str">
        <f t="shared" si="102"/>
        <v>Lower-Mid</v>
      </c>
      <c r="AR506" t="str">
        <f t="shared" si="103"/>
        <v>0-2 Years</v>
      </c>
    </row>
    <row r="507" spans="1:44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71</v>
      </c>
      <c r="M507">
        <v>3</v>
      </c>
      <c r="N507">
        <v>1</v>
      </c>
      <c r="O507" t="s">
        <v>50</v>
      </c>
      <c r="P507">
        <v>4</v>
      </c>
      <c r="Q507" t="s">
        <v>48</v>
      </c>
      <c r="R507">
        <v>2659</v>
      </c>
      <c r="S507">
        <v>1</v>
      </c>
      <c r="T507" t="s">
        <v>35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  <c r="AF507">
        <f t="shared" si="91"/>
        <v>0</v>
      </c>
      <c r="AG507">
        <f t="shared" si="92"/>
        <v>1</v>
      </c>
      <c r="AH507" t="str">
        <f t="shared" si="93"/>
        <v>Bachelor</v>
      </c>
      <c r="AI507" t="str">
        <f t="shared" si="94"/>
        <v>High</v>
      </c>
      <c r="AJ507" t="str">
        <f t="shared" si="95"/>
        <v>High</v>
      </c>
      <c r="AK507" t="str">
        <f t="shared" si="96"/>
        <v>Entry</v>
      </c>
      <c r="AL507" t="str">
        <f t="shared" si="97"/>
        <v>Very High</v>
      </c>
      <c r="AM507" t="str">
        <f t="shared" si="98"/>
        <v>High</v>
      </c>
      <c r="AN507" t="str">
        <f t="shared" si="99"/>
        <v>Low</v>
      </c>
      <c r="AO507" t="str">
        <f t="shared" si="100"/>
        <v>Better</v>
      </c>
      <c r="AP507" t="str">
        <f t="shared" si="101"/>
        <v>25-34</v>
      </c>
      <c r="AQ507" t="str">
        <f t="shared" si="102"/>
        <v>Low</v>
      </c>
      <c r="AR507" t="str">
        <f t="shared" si="103"/>
        <v>3-5 Years</v>
      </c>
    </row>
    <row r="508" spans="1:44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36</v>
      </c>
      <c r="M508">
        <v>3</v>
      </c>
      <c r="N508">
        <v>3</v>
      </c>
      <c r="O508" t="s">
        <v>53</v>
      </c>
      <c r="P508">
        <v>3</v>
      </c>
      <c r="Q508" t="s">
        <v>48</v>
      </c>
      <c r="R508">
        <v>9434</v>
      </c>
      <c r="S508">
        <v>1</v>
      </c>
      <c r="T508" t="s">
        <v>43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  <c r="AF508">
        <f t="shared" si="91"/>
        <v>0</v>
      </c>
      <c r="AG508">
        <f t="shared" si="92"/>
        <v>0</v>
      </c>
      <c r="AH508" t="str">
        <f t="shared" si="93"/>
        <v>Bachelor</v>
      </c>
      <c r="AI508" t="str">
        <f t="shared" si="94"/>
        <v>High</v>
      </c>
      <c r="AJ508" t="str">
        <f t="shared" si="95"/>
        <v>High</v>
      </c>
      <c r="AK508" t="str">
        <f t="shared" si="96"/>
        <v>Mid-Level</v>
      </c>
      <c r="AL508" t="str">
        <f t="shared" si="97"/>
        <v>High</v>
      </c>
      <c r="AM508" t="str">
        <f t="shared" si="98"/>
        <v>High</v>
      </c>
      <c r="AN508" t="str">
        <f t="shared" si="99"/>
        <v>Low</v>
      </c>
      <c r="AO508" t="str">
        <f t="shared" si="100"/>
        <v>Better</v>
      </c>
      <c r="AP508" t="str">
        <f t="shared" si="101"/>
        <v>35-44</v>
      </c>
      <c r="AQ508" t="str">
        <f t="shared" si="102"/>
        <v>Upper-Mid</v>
      </c>
      <c r="AR508" t="str">
        <f t="shared" si="103"/>
        <v>6-10 Years</v>
      </c>
    </row>
    <row r="509" spans="1:44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39</v>
      </c>
      <c r="L509">
        <v>62</v>
      </c>
      <c r="M509">
        <v>3</v>
      </c>
      <c r="N509">
        <v>2</v>
      </c>
      <c r="O509" t="s">
        <v>40</v>
      </c>
      <c r="P509">
        <v>3</v>
      </c>
      <c r="Q509" t="s">
        <v>48</v>
      </c>
      <c r="R509">
        <v>5561</v>
      </c>
      <c r="S509">
        <v>1</v>
      </c>
      <c r="T509" t="s">
        <v>43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  <c r="AF509">
        <f t="shared" si="91"/>
        <v>0</v>
      </c>
      <c r="AG509">
        <f t="shared" si="92"/>
        <v>0</v>
      </c>
      <c r="AH509" t="str">
        <f t="shared" si="93"/>
        <v>College</v>
      </c>
      <c r="AI509" t="str">
        <f t="shared" si="94"/>
        <v>Medium</v>
      </c>
      <c r="AJ509" t="str">
        <f t="shared" si="95"/>
        <v>High</v>
      </c>
      <c r="AK509" t="str">
        <f t="shared" si="96"/>
        <v>Junior</v>
      </c>
      <c r="AL509" t="str">
        <f t="shared" si="97"/>
        <v>High</v>
      </c>
      <c r="AM509" t="str">
        <f t="shared" si="98"/>
        <v>Low</v>
      </c>
      <c r="AN509" t="str">
        <f t="shared" si="99"/>
        <v>Low</v>
      </c>
      <c r="AO509" t="str">
        <f t="shared" si="100"/>
        <v>Good</v>
      </c>
      <c r="AP509" t="str">
        <f t="shared" si="101"/>
        <v>25-34</v>
      </c>
      <c r="AQ509" t="str">
        <f t="shared" si="102"/>
        <v>Lower-Mid</v>
      </c>
      <c r="AR509" t="str">
        <f t="shared" si="103"/>
        <v>6-10 Years</v>
      </c>
    </row>
    <row r="510" spans="1:44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46</v>
      </c>
      <c r="L510">
        <v>82</v>
      </c>
      <c r="M510">
        <v>1</v>
      </c>
      <c r="N510">
        <v>2</v>
      </c>
      <c r="O510" t="s">
        <v>47</v>
      </c>
      <c r="P510">
        <v>4</v>
      </c>
      <c r="Q510" t="s">
        <v>41</v>
      </c>
      <c r="R510">
        <v>6646</v>
      </c>
      <c r="S510">
        <v>1</v>
      </c>
      <c r="T510" t="s">
        <v>43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  <c r="AF510">
        <f t="shared" si="91"/>
        <v>0</v>
      </c>
      <c r="AG510">
        <f t="shared" si="92"/>
        <v>0</v>
      </c>
      <c r="AH510" t="str">
        <f t="shared" si="93"/>
        <v>Master</v>
      </c>
      <c r="AI510" t="str">
        <f t="shared" si="94"/>
        <v>Medium</v>
      </c>
      <c r="AJ510" t="str">
        <f t="shared" si="95"/>
        <v>Low</v>
      </c>
      <c r="AK510" t="str">
        <f t="shared" si="96"/>
        <v>Junior</v>
      </c>
      <c r="AL510" t="str">
        <f t="shared" si="97"/>
        <v>Very High</v>
      </c>
      <c r="AM510" t="str">
        <f t="shared" si="98"/>
        <v>Medium</v>
      </c>
      <c r="AN510" t="str">
        <f t="shared" si="99"/>
        <v>No Options</v>
      </c>
      <c r="AO510" t="str">
        <f t="shared" si="100"/>
        <v>Better</v>
      </c>
      <c r="AP510" t="str">
        <f t="shared" si="101"/>
        <v>35-44</v>
      </c>
      <c r="AQ510" t="str">
        <f t="shared" si="102"/>
        <v>Lower-Mid</v>
      </c>
      <c r="AR510" t="str">
        <f t="shared" si="103"/>
        <v>11-20 Years</v>
      </c>
    </row>
    <row r="511" spans="1:44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46</v>
      </c>
      <c r="L511">
        <v>30</v>
      </c>
      <c r="M511">
        <v>3</v>
      </c>
      <c r="N511">
        <v>2</v>
      </c>
      <c r="O511" t="s">
        <v>54</v>
      </c>
      <c r="P511">
        <v>4</v>
      </c>
      <c r="Q511" t="s">
        <v>52</v>
      </c>
      <c r="R511">
        <v>7725</v>
      </c>
      <c r="S511">
        <v>3</v>
      </c>
      <c r="T511" t="s">
        <v>43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  <c r="AF511">
        <f t="shared" si="91"/>
        <v>0</v>
      </c>
      <c r="AG511">
        <f t="shared" si="92"/>
        <v>0</v>
      </c>
      <c r="AH511" t="str">
        <f t="shared" si="93"/>
        <v>Bachelor</v>
      </c>
      <c r="AI511" t="str">
        <f t="shared" si="94"/>
        <v>High</v>
      </c>
      <c r="AJ511" t="str">
        <f t="shared" si="95"/>
        <v>High</v>
      </c>
      <c r="AK511" t="str">
        <f t="shared" si="96"/>
        <v>Junior</v>
      </c>
      <c r="AL511" t="str">
        <f t="shared" si="97"/>
        <v>Very High</v>
      </c>
      <c r="AM511" t="str">
        <f t="shared" si="98"/>
        <v>High</v>
      </c>
      <c r="AN511" t="str">
        <f t="shared" si="99"/>
        <v>Low</v>
      </c>
      <c r="AO511" t="str">
        <f t="shared" si="100"/>
        <v>Bad</v>
      </c>
      <c r="AP511" t="str">
        <f t="shared" si="101"/>
        <v>25-34</v>
      </c>
      <c r="AQ511" t="str">
        <f t="shared" si="102"/>
        <v>Upper-Mid</v>
      </c>
      <c r="AR511" t="str">
        <f t="shared" si="103"/>
        <v>11-20 Years</v>
      </c>
    </row>
    <row r="512" spans="1:44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46</v>
      </c>
      <c r="L512">
        <v>88</v>
      </c>
      <c r="M512">
        <v>3</v>
      </c>
      <c r="N512">
        <v>3</v>
      </c>
      <c r="O512" t="s">
        <v>61</v>
      </c>
      <c r="P512">
        <v>2</v>
      </c>
      <c r="Q512" t="s">
        <v>48</v>
      </c>
      <c r="R512">
        <v>10725</v>
      </c>
      <c r="S512">
        <v>2</v>
      </c>
      <c r="T512" t="s">
        <v>43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  <c r="AF512">
        <f t="shared" si="91"/>
        <v>0</v>
      </c>
      <c r="AG512">
        <f t="shared" si="92"/>
        <v>0</v>
      </c>
      <c r="AH512" t="str">
        <f t="shared" si="93"/>
        <v>Master</v>
      </c>
      <c r="AI512" t="str">
        <f t="shared" si="94"/>
        <v>High</v>
      </c>
      <c r="AJ512" t="str">
        <f t="shared" si="95"/>
        <v>High</v>
      </c>
      <c r="AK512" t="str">
        <f t="shared" si="96"/>
        <v>Mid-Level</v>
      </c>
      <c r="AL512" t="str">
        <f t="shared" si="97"/>
        <v>Medium</v>
      </c>
      <c r="AM512" t="str">
        <f t="shared" si="98"/>
        <v>High</v>
      </c>
      <c r="AN512" t="str">
        <f t="shared" si="99"/>
        <v>Low</v>
      </c>
      <c r="AO512" t="str">
        <f t="shared" si="100"/>
        <v>Best</v>
      </c>
      <c r="AP512" t="str">
        <f t="shared" si="101"/>
        <v>45-54</v>
      </c>
      <c r="AQ512" t="str">
        <f t="shared" si="102"/>
        <v>Upper-Mid</v>
      </c>
      <c r="AR512" t="str">
        <f t="shared" si="103"/>
        <v>6-10 Years</v>
      </c>
    </row>
    <row r="513" spans="1:44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46</v>
      </c>
      <c r="L513">
        <v>48</v>
      </c>
      <c r="M513">
        <v>2</v>
      </c>
      <c r="N513">
        <v>2</v>
      </c>
      <c r="O513" t="s">
        <v>53</v>
      </c>
      <c r="P513">
        <v>2</v>
      </c>
      <c r="Q513" t="s">
        <v>52</v>
      </c>
      <c r="R513">
        <v>8847</v>
      </c>
      <c r="S513">
        <v>2</v>
      </c>
      <c r="T513" t="s">
        <v>35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  <c r="AF513">
        <f t="shared" si="91"/>
        <v>0</v>
      </c>
      <c r="AG513">
        <f t="shared" si="92"/>
        <v>1</v>
      </c>
      <c r="AH513" t="str">
        <f t="shared" si="93"/>
        <v>College</v>
      </c>
      <c r="AI513" t="str">
        <f t="shared" si="94"/>
        <v>Medium</v>
      </c>
      <c r="AJ513" t="str">
        <f t="shared" si="95"/>
        <v>Medium</v>
      </c>
      <c r="AK513" t="str">
        <f t="shared" si="96"/>
        <v>Junior</v>
      </c>
      <c r="AL513" t="str">
        <f t="shared" si="97"/>
        <v>Medium</v>
      </c>
      <c r="AM513" t="str">
        <f t="shared" si="98"/>
        <v>High</v>
      </c>
      <c r="AN513" t="str">
        <f t="shared" si="99"/>
        <v>Low</v>
      </c>
      <c r="AO513" t="str">
        <f t="shared" si="100"/>
        <v>Better</v>
      </c>
      <c r="AP513" t="str">
        <f t="shared" si="101"/>
        <v>35-44</v>
      </c>
      <c r="AQ513" t="str">
        <f t="shared" si="102"/>
        <v>Upper-Mid</v>
      </c>
      <c r="AR513" t="str">
        <f t="shared" si="103"/>
        <v>3-5 Years</v>
      </c>
    </row>
    <row r="514" spans="1:44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46</v>
      </c>
      <c r="L514">
        <v>54</v>
      </c>
      <c r="M514">
        <v>2</v>
      </c>
      <c r="N514">
        <v>1</v>
      </c>
      <c r="O514" t="s">
        <v>47</v>
      </c>
      <c r="P514">
        <v>4</v>
      </c>
      <c r="Q514" t="s">
        <v>41</v>
      </c>
      <c r="R514">
        <v>2045</v>
      </c>
      <c r="S514">
        <v>0</v>
      </c>
      <c r="T514" t="s">
        <v>43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  <c r="AF514">
        <f t="shared" si="91"/>
        <v>0</v>
      </c>
      <c r="AG514">
        <f t="shared" si="92"/>
        <v>0</v>
      </c>
      <c r="AH514" t="str">
        <f t="shared" si="93"/>
        <v>Master</v>
      </c>
      <c r="AI514" t="str">
        <f t="shared" si="94"/>
        <v>Low</v>
      </c>
      <c r="AJ514" t="str">
        <f t="shared" si="95"/>
        <v>Medium</v>
      </c>
      <c r="AK514" t="str">
        <f t="shared" si="96"/>
        <v>Entry</v>
      </c>
      <c r="AL514" t="str">
        <f t="shared" si="97"/>
        <v>Very High</v>
      </c>
      <c r="AM514" t="str">
        <f t="shared" si="98"/>
        <v>Very High</v>
      </c>
      <c r="AN514" t="str">
        <f t="shared" si="99"/>
        <v>No Options</v>
      </c>
      <c r="AO514" t="str">
        <f t="shared" si="100"/>
        <v>Better</v>
      </c>
      <c r="AP514" t="str">
        <f t="shared" si="101"/>
        <v>25-34</v>
      </c>
      <c r="AQ514" t="str">
        <f t="shared" si="102"/>
        <v>Low</v>
      </c>
      <c r="AR514" t="str">
        <f t="shared" si="103"/>
        <v>3-5 Years</v>
      </c>
    </row>
    <row r="515" spans="1:44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46</v>
      </c>
      <c r="L515">
        <v>32</v>
      </c>
      <c r="M515">
        <v>3</v>
      </c>
      <c r="N515">
        <v>1</v>
      </c>
      <c r="O515" t="s">
        <v>47</v>
      </c>
      <c r="P515">
        <v>3</v>
      </c>
      <c r="Q515" t="s">
        <v>41</v>
      </c>
      <c r="R515">
        <v>1009</v>
      </c>
      <c r="S515">
        <v>1</v>
      </c>
      <c r="T515" t="s">
        <v>35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  <c r="AF515">
        <f t="shared" ref="AF515:AF578" si="104">IF(B515="Yes",1,0)</f>
        <v>1</v>
      </c>
      <c r="AG515">
        <f t="shared" ref="AG515:AG578" si="105">IF(T515="Yes",1,0)</f>
        <v>1</v>
      </c>
      <c r="AH515" t="str">
        <f t="shared" ref="AH515:AH578" si="106">CHOOSE(G515,"Below College","College","Bachelor","Master","Doctor")</f>
        <v>Below College</v>
      </c>
      <c r="AI515" t="str">
        <f t="shared" ref="AI515:AI578" si="107">CHOOSE(J515,"Low","Medium","High","Very High")</f>
        <v>Very High</v>
      </c>
      <c r="AJ515" t="str">
        <f t="shared" ref="AJ515:AJ578" si="108">CHOOSE(M515,"Low","Medium","High","Very High")</f>
        <v>High</v>
      </c>
      <c r="AK515" t="str">
        <f t="shared" ref="AK515:AK578" si="109">CHOOSE(N515,"Entry","Junior","Mid-Level","Senior","Executive")</f>
        <v>Entry</v>
      </c>
      <c r="AL515" t="str">
        <f t="shared" ref="AL515:AL578" si="110">CHOOSE(P515,"Low","Medium","High","Very High")</f>
        <v>High</v>
      </c>
      <c r="AM515" t="str">
        <f t="shared" ref="AM515:AM578" si="111">CHOOSE(W515,"Low","Medium","High","Very High")</f>
        <v>Very High</v>
      </c>
      <c r="AN515" t="str">
        <f t="shared" ref="AN515:AN578" si="112">CHOOSE(X515+1,"No Options","Low","Medium","High")</f>
        <v>No Options</v>
      </c>
      <c r="AO515" t="str">
        <f t="shared" ref="AO515:AO578" si="113">CHOOSE(AA515,"Bad","Good","Better","Best")</f>
        <v>Better</v>
      </c>
      <c r="AP515" t="str">
        <f t="shared" ref="AP515:AP578" si="114">IF(A515&lt;=24,"Under 25",IF(A515&lt;=34,"25-34",IF(A515&lt;=44,"35-44",IF(A515&lt;=54,"45-54","55+"))))</f>
        <v>Under 25</v>
      </c>
      <c r="AQ515" t="str">
        <f t="shared" ref="AQ515:AQ578" si="115">IF(R515&lt;3000,"Low",IF(R515&lt;7000,"Lower-Mid",IF(R515&lt;13000,"Upper-Mid","High")))</f>
        <v>Low</v>
      </c>
      <c r="AR515" t="str">
        <f t="shared" ref="AR515:AR578" si="116">IF(AB515&lt;=2,"0-2 Years",IF(AB515&lt;=5,"3-5 Years",IF(AB515&lt;=10,"6-10 Years",IF(AB515&lt;=20,"11-20 Years","20+ Years"))))</f>
        <v>0-2 Years</v>
      </c>
    </row>
    <row r="516" spans="1:44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46</v>
      </c>
      <c r="L516">
        <v>70</v>
      </c>
      <c r="M516">
        <v>3</v>
      </c>
      <c r="N516">
        <v>1</v>
      </c>
      <c r="O516" t="s">
        <v>47</v>
      </c>
      <c r="P516">
        <v>1</v>
      </c>
      <c r="Q516" t="s">
        <v>41</v>
      </c>
      <c r="R516">
        <v>3348</v>
      </c>
      <c r="S516">
        <v>1</v>
      </c>
      <c r="T516" t="s">
        <v>35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  <c r="AF516">
        <f t="shared" si="104"/>
        <v>1</v>
      </c>
      <c r="AG516">
        <f t="shared" si="105"/>
        <v>1</v>
      </c>
      <c r="AH516" t="str">
        <f t="shared" si="106"/>
        <v>Bachelor</v>
      </c>
      <c r="AI516" t="str">
        <f t="shared" si="107"/>
        <v>Low</v>
      </c>
      <c r="AJ516" t="str">
        <f t="shared" si="108"/>
        <v>High</v>
      </c>
      <c r="AK516" t="str">
        <f t="shared" si="109"/>
        <v>Entry</v>
      </c>
      <c r="AL516" t="str">
        <f t="shared" si="110"/>
        <v>Low</v>
      </c>
      <c r="AM516" t="str">
        <f t="shared" si="111"/>
        <v>Low</v>
      </c>
      <c r="AN516" t="str">
        <f t="shared" si="112"/>
        <v>No Options</v>
      </c>
      <c r="AO516" t="str">
        <f t="shared" si="113"/>
        <v>Better</v>
      </c>
      <c r="AP516" t="str">
        <f t="shared" si="114"/>
        <v>25-34</v>
      </c>
      <c r="AQ516" t="str">
        <f t="shared" si="115"/>
        <v>Lower-Mid</v>
      </c>
      <c r="AR516" t="str">
        <f t="shared" si="116"/>
        <v>6-10 Years</v>
      </c>
    </row>
    <row r="517" spans="1:44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46</v>
      </c>
      <c r="L517">
        <v>41</v>
      </c>
      <c r="M517">
        <v>2</v>
      </c>
      <c r="N517">
        <v>1</v>
      </c>
      <c r="O517" t="s">
        <v>50</v>
      </c>
      <c r="P517">
        <v>3</v>
      </c>
      <c r="Q517" t="s">
        <v>48</v>
      </c>
      <c r="R517">
        <v>1281</v>
      </c>
      <c r="S517">
        <v>1</v>
      </c>
      <c r="T517" t="s">
        <v>43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  <c r="AF517">
        <f t="shared" si="104"/>
        <v>0</v>
      </c>
      <c r="AG517">
        <f t="shared" si="105"/>
        <v>0</v>
      </c>
      <c r="AH517" t="str">
        <f t="shared" si="106"/>
        <v>Bachelor</v>
      </c>
      <c r="AI517" t="str">
        <f t="shared" si="107"/>
        <v>High</v>
      </c>
      <c r="AJ517" t="str">
        <f t="shared" si="108"/>
        <v>Medium</v>
      </c>
      <c r="AK517" t="str">
        <f t="shared" si="109"/>
        <v>Entry</v>
      </c>
      <c r="AL517" t="str">
        <f t="shared" si="110"/>
        <v>High</v>
      </c>
      <c r="AM517" t="str">
        <f t="shared" si="111"/>
        <v>High</v>
      </c>
      <c r="AN517" t="str">
        <f t="shared" si="112"/>
        <v>Medium</v>
      </c>
      <c r="AO517" t="str">
        <f t="shared" si="113"/>
        <v>Better</v>
      </c>
      <c r="AP517" t="str">
        <f t="shared" si="114"/>
        <v>35-44</v>
      </c>
      <c r="AQ517" t="str">
        <f t="shared" si="115"/>
        <v>Low</v>
      </c>
      <c r="AR517" t="str">
        <f t="shared" si="116"/>
        <v>0-2 Years</v>
      </c>
    </row>
    <row r="518" spans="1:44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46</v>
      </c>
      <c r="L518">
        <v>58</v>
      </c>
      <c r="M518">
        <v>4</v>
      </c>
      <c r="N518">
        <v>1</v>
      </c>
      <c r="O518" t="s">
        <v>47</v>
      </c>
      <c r="P518">
        <v>1</v>
      </c>
      <c r="Q518" t="s">
        <v>48</v>
      </c>
      <c r="R518">
        <v>2819</v>
      </c>
      <c r="S518">
        <v>2</v>
      </c>
      <c r="T518" t="s">
        <v>43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  <c r="AF518">
        <f t="shared" si="104"/>
        <v>0</v>
      </c>
      <c r="AG518">
        <f t="shared" si="105"/>
        <v>0</v>
      </c>
      <c r="AH518" t="str">
        <f t="shared" si="106"/>
        <v>Bachelor</v>
      </c>
      <c r="AI518" t="str">
        <f t="shared" si="107"/>
        <v>Low</v>
      </c>
      <c r="AJ518" t="str">
        <f t="shared" si="108"/>
        <v>Very High</v>
      </c>
      <c r="AK518" t="str">
        <f t="shared" si="109"/>
        <v>Entry</v>
      </c>
      <c r="AL518" t="str">
        <f t="shared" si="110"/>
        <v>Low</v>
      </c>
      <c r="AM518" t="str">
        <f t="shared" si="111"/>
        <v>Low</v>
      </c>
      <c r="AN518" t="str">
        <f t="shared" si="112"/>
        <v>Low</v>
      </c>
      <c r="AO518" t="str">
        <f t="shared" si="113"/>
        <v>Best</v>
      </c>
      <c r="AP518" t="str">
        <f t="shared" si="114"/>
        <v>Under 25</v>
      </c>
      <c r="AQ518" t="str">
        <f t="shared" si="115"/>
        <v>Low</v>
      </c>
      <c r="AR518" t="str">
        <f t="shared" si="116"/>
        <v>3-5 Years</v>
      </c>
    </row>
    <row r="519" spans="1:44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46</v>
      </c>
      <c r="L519">
        <v>57</v>
      </c>
      <c r="M519">
        <v>4</v>
      </c>
      <c r="N519">
        <v>2</v>
      </c>
      <c r="O519" t="s">
        <v>40</v>
      </c>
      <c r="P519">
        <v>2</v>
      </c>
      <c r="Q519" t="s">
        <v>48</v>
      </c>
      <c r="R519">
        <v>4851</v>
      </c>
      <c r="S519">
        <v>0</v>
      </c>
      <c r="T519" t="s">
        <v>43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  <c r="AF519">
        <f t="shared" si="104"/>
        <v>0</v>
      </c>
      <c r="AG519">
        <f t="shared" si="105"/>
        <v>0</v>
      </c>
      <c r="AH519" t="str">
        <f t="shared" si="106"/>
        <v>Bachelor</v>
      </c>
      <c r="AI519" t="str">
        <f t="shared" si="107"/>
        <v>Very High</v>
      </c>
      <c r="AJ519" t="str">
        <f t="shared" si="108"/>
        <v>Very High</v>
      </c>
      <c r="AK519" t="str">
        <f t="shared" si="109"/>
        <v>Junior</v>
      </c>
      <c r="AL519" t="str">
        <f t="shared" si="110"/>
        <v>Medium</v>
      </c>
      <c r="AM519" t="str">
        <f t="shared" si="111"/>
        <v>High</v>
      </c>
      <c r="AN519" t="str">
        <f t="shared" si="112"/>
        <v>Low</v>
      </c>
      <c r="AO519" t="str">
        <f t="shared" si="113"/>
        <v>Better</v>
      </c>
      <c r="AP519" t="str">
        <f t="shared" si="114"/>
        <v>25-34</v>
      </c>
      <c r="AQ519" t="str">
        <f t="shared" si="115"/>
        <v>Lower-Mid</v>
      </c>
      <c r="AR519" t="str">
        <f t="shared" si="116"/>
        <v>3-5 Years</v>
      </c>
    </row>
    <row r="520" spans="1:44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t="s">
        <v>39</v>
      </c>
      <c r="L520">
        <v>46</v>
      </c>
      <c r="M520">
        <v>2</v>
      </c>
      <c r="N520">
        <v>2</v>
      </c>
      <c r="O520" t="s">
        <v>40</v>
      </c>
      <c r="P520">
        <v>4</v>
      </c>
      <c r="Q520" t="s">
        <v>41</v>
      </c>
      <c r="R520">
        <v>4028</v>
      </c>
      <c r="S520">
        <v>0</v>
      </c>
      <c r="T520" t="s">
        <v>43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  <c r="AF520">
        <f t="shared" si="104"/>
        <v>0</v>
      </c>
      <c r="AG520">
        <f t="shared" si="105"/>
        <v>0</v>
      </c>
      <c r="AH520" t="str">
        <f t="shared" si="106"/>
        <v>Master</v>
      </c>
      <c r="AI520" t="str">
        <f t="shared" si="107"/>
        <v>Very High</v>
      </c>
      <c r="AJ520" t="str">
        <f t="shared" si="108"/>
        <v>Medium</v>
      </c>
      <c r="AK520" t="str">
        <f t="shared" si="109"/>
        <v>Junior</v>
      </c>
      <c r="AL520" t="str">
        <f t="shared" si="110"/>
        <v>Very High</v>
      </c>
      <c r="AM520" t="str">
        <f t="shared" si="111"/>
        <v>Low</v>
      </c>
      <c r="AN520" t="str">
        <f t="shared" si="112"/>
        <v>No Options</v>
      </c>
      <c r="AO520" t="str">
        <f t="shared" si="113"/>
        <v>Better</v>
      </c>
      <c r="AP520" t="str">
        <f t="shared" si="114"/>
        <v>35-44</v>
      </c>
      <c r="AQ520" t="str">
        <f t="shared" si="115"/>
        <v>Lower-Mid</v>
      </c>
      <c r="AR520" t="str">
        <f t="shared" si="116"/>
        <v>6-10 Years</v>
      </c>
    </row>
    <row r="521" spans="1:44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46</v>
      </c>
      <c r="L521">
        <v>76</v>
      </c>
      <c r="M521">
        <v>1</v>
      </c>
      <c r="N521">
        <v>1</v>
      </c>
      <c r="O521" t="s">
        <v>47</v>
      </c>
      <c r="P521">
        <v>4</v>
      </c>
      <c r="Q521" t="s">
        <v>52</v>
      </c>
      <c r="R521">
        <v>2720</v>
      </c>
      <c r="S521">
        <v>1</v>
      </c>
      <c r="T521" t="s">
        <v>43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  <c r="AF521">
        <f t="shared" si="104"/>
        <v>0</v>
      </c>
      <c r="AG521">
        <f t="shared" si="105"/>
        <v>0</v>
      </c>
      <c r="AH521" t="str">
        <f t="shared" si="106"/>
        <v>Master</v>
      </c>
      <c r="AI521" t="str">
        <f t="shared" si="107"/>
        <v>Medium</v>
      </c>
      <c r="AJ521" t="str">
        <f t="shared" si="108"/>
        <v>Low</v>
      </c>
      <c r="AK521" t="str">
        <f t="shared" si="109"/>
        <v>Entry</v>
      </c>
      <c r="AL521" t="str">
        <f t="shared" si="110"/>
        <v>Very High</v>
      </c>
      <c r="AM521" t="str">
        <f t="shared" si="111"/>
        <v>Very High</v>
      </c>
      <c r="AN521" t="str">
        <f t="shared" si="112"/>
        <v>Low</v>
      </c>
      <c r="AO521" t="str">
        <f t="shared" si="113"/>
        <v>Better</v>
      </c>
      <c r="AP521" t="str">
        <f t="shared" si="114"/>
        <v>25-34</v>
      </c>
      <c r="AQ521" t="str">
        <f t="shared" si="115"/>
        <v>Low</v>
      </c>
      <c r="AR521" t="str">
        <f t="shared" si="116"/>
        <v>6-10 Years</v>
      </c>
    </row>
    <row r="522" spans="1:44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t="s">
        <v>46</v>
      </c>
      <c r="L522">
        <v>56</v>
      </c>
      <c r="M522">
        <v>4</v>
      </c>
      <c r="N522">
        <v>2</v>
      </c>
      <c r="O522" t="s">
        <v>40</v>
      </c>
      <c r="P522">
        <v>2</v>
      </c>
      <c r="Q522" t="s">
        <v>48</v>
      </c>
      <c r="R522">
        <v>8120</v>
      </c>
      <c r="S522">
        <v>3</v>
      </c>
      <c r="T522" t="s">
        <v>43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  <c r="AF522">
        <f t="shared" si="104"/>
        <v>0</v>
      </c>
      <c r="AG522">
        <f t="shared" si="105"/>
        <v>0</v>
      </c>
      <c r="AH522" t="str">
        <f t="shared" si="106"/>
        <v>Below College</v>
      </c>
      <c r="AI522" t="str">
        <f t="shared" si="107"/>
        <v>Medium</v>
      </c>
      <c r="AJ522" t="str">
        <f t="shared" si="108"/>
        <v>Very High</v>
      </c>
      <c r="AK522" t="str">
        <f t="shared" si="109"/>
        <v>Junior</v>
      </c>
      <c r="AL522" t="str">
        <f t="shared" si="110"/>
        <v>Medium</v>
      </c>
      <c r="AM522" t="str">
        <f t="shared" si="111"/>
        <v>Very High</v>
      </c>
      <c r="AN522" t="str">
        <f t="shared" si="112"/>
        <v>No Options</v>
      </c>
      <c r="AO522" t="str">
        <f t="shared" si="113"/>
        <v>Better</v>
      </c>
      <c r="AP522" t="str">
        <f t="shared" si="114"/>
        <v>45-54</v>
      </c>
      <c r="AQ522" t="str">
        <f t="shared" si="115"/>
        <v>Upper-Mid</v>
      </c>
      <c r="AR522" t="str">
        <f t="shared" si="116"/>
        <v>0-2 Years</v>
      </c>
    </row>
    <row r="523" spans="1:44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39</v>
      </c>
      <c r="L523">
        <v>71</v>
      </c>
      <c r="M523">
        <v>4</v>
      </c>
      <c r="N523">
        <v>2</v>
      </c>
      <c r="O523" t="s">
        <v>40</v>
      </c>
      <c r="P523">
        <v>4</v>
      </c>
      <c r="Q523" t="s">
        <v>52</v>
      </c>
      <c r="R523">
        <v>4647</v>
      </c>
      <c r="S523">
        <v>1</v>
      </c>
      <c r="T523" t="s">
        <v>35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  <c r="AF523">
        <f t="shared" si="104"/>
        <v>0</v>
      </c>
      <c r="AG523">
        <f t="shared" si="105"/>
        <v>1</v>
      </c>
      <c r="AH523" t="str">
        <f t="shared" si="106"/>
        <v>Below College</v>
      </c>
      <c r="AI523" t="str">
        <f t="shared" si="107"/>
        <v>Very High</v>
      </c>
      <c r="AJ523" t="str">
        <f t="shared" si="108"/>
        <v>Very High</v>
      </c>
      <c r="AK523" t="str">
        <f t="shared" si="109"/>
        <v>Junior</v>
      </c>
      <c r="AL523" t="str">
        <f t="shared" si="110"/>
        <v>Very High</v>
      </c>
      <c r="AM523" t="str">
        <f t="shared" si="111"/>
        <v>Medium</v>
      </c>
      <c r="AN523" t="str">
        <f t="shared" si="112"/>
        <v>Medium</v>
      </c>
      <c r="AO523" t="str">
        <f t="shared" si="113"/>
        <v>Better</v>
      </c>
      <c r="AP523" t="str">
        <f t="shared" si="114"/>
        <v>25-34</v>
      </c>
      <c r="AQ523" t="str">
        <f t="shared" si="115"/>
        <v>Lower-Mid</v>
      </c>
      <c r="AR523" t="str">
        <f t="shared" si="116"/>
        <v>6-10 Years</v>
      </c>
    </row>
    <row r="524" spans="1:44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46</v>
      </c>
      <c r="L524">
        <v>80</v>
      </c>
      <c r="M524">
        <v>4</v>
      </c>
      <c r="N524">
        <v>1</v>
      </c>
      <c r="O524" t="s">
        <v>47</v>
      </c>
      <c r="P524">
        <v>4</v>
      </c>
      <c r="Q524" t="s">
        <v>41</v>
      </c>
      <c r="R524">
        <v>4680</v>
      </c>
      <c r="S524">
        <v>3</v>
      </c>
      <c r="T524" t="s">
        <v>43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  <c r="AF524">
        <f t="shared" si="104"/>
        <v>0</v>
      </c>
      <c r="AG524">
        <f t="shared" si="105"/>
        <v>0</v>
      </c>
      <c r="AH524" t="str">
        <f t="shared" si="106"/>
        <v>College</v>
      </c>
      <c r="AI524" t="str">
        <f t="shared" si="107"/>
        <v>Very High</v>
      </c>
      <c r="AJ524" t="str">
        <f t="shared" si="108"/>
        <v>Very High</v>
      </c>
      <c r="AK524" t="str">
        <f t="shared" si="109"/>
        <v>Entry</v>
      </c>
      <c r="AL524" t="str">
        <f t="shared" si="110"/>
        <v>Very High</v>
      </c>
      <c r="AM524" t="str">
        <f t="shared" si="111"/>
        <v>Low</v>
      </c>
      <c r="AN524" t="str">
        <f t="shared" si="112"/>
        <v>No Options</v>
      </c>
      <c r="AO524" t="str">
        <f t="shared" si="113"/>
        <v>Better</v>
      </c>
      <c r="AP524" t="str">
        <f t="shared" si="114"/>
        <v>35-44</v>
      </c>
      <c r="AQ524" t="str">
        <f t="shared" si="115"/>
        <v>Lower-Mid</v>
      </c>
      <c r="AR524" t="str">
        <f t="shared" si="116"/>
        <v>0-2 Years</v>
      </c>
    </row>
    <row r="525" spans="1:44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46</v>
      </c>
      <c r="L525">
        <v>74</v>
      </c>
      <c r="M525">
        <v>4</v>
      </c>
      <c r="N525">
        <v>1</v>
      </c>
      <c r="O525" t="s">
        <v>50</v>
      </c>
      <c r="P525">
        <v>3</v>
      </c>
      <c r="Q525" t="s">
        <v>48</v>
      </c>
      <c r="R525">
        <v>3221</v>
      </c>
      <c r="S525">
        <v>1</v>
      </c>
      <c r="T525" t="s">
        <v>35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  <c r="AF525">
        <f t="shared" si="104"/>
        <v>0</v>
      </c>
      <c r="AG525">
        <f t="shared" si="105"/>
        <v>1</v>
      </c>
      <c r="AH525" t="str">
        <f t="shared" si="106"/>
        <v>Below College</v>
      </c>
      <c r="AI525" t="str">
        <f t="shared" si="107"/>
        <v>Very High</v>
      </c>
      <c r="AJ525" t="str">
        <f t="shared" si="108"/>
        <v>Very High</v>
      </c>
      <c r="AK525" t="str">
        <f t="shared" si="109"/>
        <v>Entry</v>
      </c>
      <c r="AL525" t="str">
        <f t="shared" si="110"/>
        <v>High</v>
      </c>
      <c r="AM525" t="str">
        <f t="shared" si="111"/>
        <v>High</v>
      </c>
      <c r="AN525" t="str">
        <f t="shared" si="112"/>
        <v>High</v>
      </c>
      <c r="AO525" t="str">
        <f t="shared" si="113"/>
        <v>Better</v>
      </c>
      <c r="AP525" t="str">
        <f t="shared" si="114"/>
        <v>45-54</v>
      </c>
      <c r="AQ525" t="str">
        <f t="shared" si="115"/>
        <v>Lower-Mid</v>
      </c>
      <c r="AR525" t="str">
        <f t="shared" si="116"/>
        <v>11-20 Years</v>
      </c>
    </row>
    <row r="526" spans="1:44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39</v>
      </c>
      <c r="L526">
        <v>46</v>
      </c>
      <c r="M526">
        <v>2</v>
      </c>
      <c r="N526">
        <v>3</v>
      </c>
      <c r="O526" t="s">
        <v>54</v>
      </c>
      <c r="P526">
        <v>2</v>
      </c>
      <c r="Q526" t="s">
        <v>41</v>
      </c>
      <c r="R526">
        <v>8621</v>
      </c>
      <c r="S526">
        <v>1</v>
      </c>
      <c r="T526" t="s">
        <v>43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  <c r="AF526">
        <f t="shared" si="104"/>
        <v>0</v>
      </c>
      <c r="AG526">
        <f t="shared" si="105"/>
        <v>0</v>
      </c>
      <c r="AH526" t="str">
        <f t="shared" si="106"/>
        <v>Bachelor</v>
      </c>
      <c r="AI526" t="str">
        <f t="shared" si="107"/>
        <v>Very High</v>
      </c>
      <c r="AJ526" t="str">
        <f t="shared" si="108"/>
        <v>Medium</v>
      </c>
      <c r="AK526" t="str">
        <f t="shared" si="109"/>
        <v>Mid-Level</v>
      </c>
      <c r="AL526" t="str">
        <f t="shared" si="110"/>
        <v>Medium</v>
      </c>
      <c r="AM526" t="str">
        <f t="shared" si="111"/>
        <v>Medium</v>
      </c>
      <c r="AN526" t="str">
        <f t="shared" si="112"/>
        <v>No Options</v>
      </c>
      <c r="AO526" t="str">
        <f t="shared" si="113"/>
        <v>Best</v>
      </c>
      <c r="AP526" t="str">
        <f t="shared" si="114"/>
        <v>25-34</v>
      </c>
      <c r="AQ526" t="str">
        <f t="shared" si="115"/>
        <v>Upper-Mid</v>
      </c>
      <c r="AR526" t="str">
        <f t="shared" si="116"/>
        <v>6-10 Years</v>
      </c>
    </row>
    <row r="527" spans="1:44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65</v>
      </c>
      <c r="M527">
        <v>3</v>
      </c>
      <c r="N527">
        <v>2</v>
      </c>
      <c r="O527" t="s">
        <v>40</v>
      </c>
      <c r="P527">
        <v>3</v>
      </c>
      <c r="Q527" t="s">
        <v>41</v>
      </c>
      <c r="R527">
        <v>4577</v>
      </c>
      <c r="S527">
        <v>9</v>
      </c>
      <c r="T527" t="s">
        <v>43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  <c r="AF527">
        <f t="shared" si="104"/>
        <v>1</v>
      </c>
      <c r="AG527">
        <f t="shared" si="105"/>
        <v>0</v>
      </c>
      <c r="AH527" t="str">
        <f t="shared" si="106"/>
        <v>College</v>
      </c>
      <c r="AI527" t="str">
        <f t="shared" si="107"/>
        <v>Low</v>
      </c>
      <c r="AJ527" t="str">
        <f t="shared" si="108"/>
        <v>High</v>
      </c>
      <c r="AK527" t="str">
        <f t="shared" si="109"/>
        <v>Junior</v>
      </c>
      <c r="AL527" t="str">
        <f t="shared" si="110"/>
        <v>High</v>
      </c>
      <c r="AM527" t="str">
        <f t="shared" si="111"/>
        <v>Low</v>
      </c>
      <c r="AN527" t="str">
        <f t="shared" si="112"/>
        <v>No Options</v>
      </c>
      <c r="AO527" t="str">
        <f t="shared" si="113"/>
        <v>Better</v>
      </c>
      <c r="AP527" t="str">
        <f t="shared" si="114"/>
        <v>Under 25</v>
      </c>
      <c r="AQ527" t="str">
        <f t="shared" si="115"/>
        <v>Lower-Mid</v>
      </c>
      <c r="AR527" t="str">
        <f t="shared" si="116"/>
        <v>0-2 Years</v>
      </c>
    </row>
    <row r="528" spans="1:44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t="s">
        <v>39</v>
      </c>
      <c r="L528">
        <v>80</v>
      </c>
      <c r="M528">
        <v>2</v>
      </c>
      <c r="N528">
        <v>2</v>
      </c>
      <c r="O528" t="s">
        <v>54</v>
      </c>
      <c r="P528">
        <v>3</v>
      </c>
      <c r="Q528" t="s">
        <v>41</v>
      </c>
      <c r="R528">
        <v>4553</v>
      </c>
      <c r="S528">
        <v>1</v>
      </c>
      <c r="T528" t="s">
        <v>43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  <c r="AF528">
        <f t="shared" si="104"/>
        <v>0</v>
      </c>
      <c r="AG528">
        <f t="shared" si="105"/>
        <v>0</v>
      </c>
      <c r="AH528" t="str">
        <f t="shared" si="106"/>
        <v>Master</v>
      </c>
      <c r="AI528" t="str">
        <f t="shared" si="107"/>
        <v>Very High</v>
      </c>
      <c r="AJ528" t="str">
        <f t="shared" si="108"/>
        <v>Medium</v>
      </c>
      <c r="AK528" t="str">
        <f t="shared" si="109"/>
        <v>Junior</v>
      </c>
      <c r="AL528" t="str">
        <f t="shared" si="110"/>
        <v>High</v>
      </c>
      <c r="AM528" t="str">
        <f t="shared" si="111"/>
        <v>Low</v>
      </c>
      <c r="AN528" t="str">
        <f t="shared" si="112"/>
        <v>No Options</v>
      </c>
      <c r="AO528" t="str">
        <f t="shared" si="113"/>
        <v>Better</v>
      </c>
      <c r="AP528" t="str">
        <f t="shared" si="114"/>
        <v>35-44</v>
      </c>
      <c r="AQ528" t="str">
        <f t="shared" si="115"/>
        <v>Lower-Mid</v>
      </c>
      <c r="AR528" t="str">
        <f t="shared" si="116"/>
        <v>11-20 Years</v>
      </c>
    </row>
    <row r="529" spans="1:44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t="s">
        <v>46</v>
      </c>
      <c r="L529">
        <v>55</v>
      </c>
      <c r="M529">
        <v>3</v>
      </c>
      <c r="N529">
        <v>2</v>
      </c>
      <c r="O529" t="s">
        <v>40</v>
      </c>
      <c r="P529">
        <v>4</v>
      </c>
      <c r="Q529" t="s">
        <v>41</v>
      </c>
      <c r="R529">
        <v>5396</v>
      </c>
      <c r="S529">
        <v>1</v>
      </c>
      <c r="T529" t="s">
        <v>43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  <c r="AF529">
        <f t="shared" si="104"/>
        <v>0</v>
      </c>
      <c r="AG529">
        <f t="shared" si="105"/>
        <v>0</v>
      </c>
      <c r="AH529" t="str">
        <f t="shared" si="106"/>
        <v>Bachelor</v>
      </c>
      <c r="AI529" t="str">
        <f t="shared" si="107"/>
        <v>Very High</v>
      </c>
      <c r="AJ529" t="str">
        <f t="shared" si="108"/>
        <v>High</v>
      </c>
      <c r="AK529" t="str">
        <f t="shared" si="109"/>
        <v>Junior</v>
      </c>
      <c r="AL529" t="str">
        <f t="shared" si="110"/>
        <v>Very High</v>
      </c>
      <c r="AM529" t="str">
        <f t="shared" si="111"/>
        <v>Very High</v>
      </c>
      <c r="AN529" t="str">
        <f t="shared" si="112"/>
        <v>No Options</v>
      </c>
      <c r="AO529" t="str">
        <f t="shared" si="113"/>
        <v>Good</v>
      </c>
      <c r="AP529" t="str">
        <f t="shared" si="114"/>
        <v>25-34</v>
      </c>
      <c r="AQ529" t="str">
        <f t="shared" si="115"/>
        <v>Lower-Mid</v>
      </c>
      <c r="AR529" t="str">
        <f t="shared" si="116"/>
        <v>6-10 Years</v>
      </c>
    </row>
    <row r="530" spans="1:44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t="s">
        <v>46</v>
      </c>
      <c r="L530">
        <v>50</v>
      </c>
      <c r="M530">
        <v>3</v>
      </c>
      <c r="N530">
        <v>2</v>
      </c>
      <c r="O530" t="s">
        <v>40</v>
      </c>
      <c r="P530">
        <v>3</v>
      </c>
      <c r="Q530" t="s">
        <v>48</v>
      </c>
      <c r="R530">
        <v>6796</v>
      </c>
      <c r="S530">
        <v>3</v>
      </c>
      <c r="T530" t="s">
        <v>35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  <c r="AF530">
        <f t="shared" si="104"/>
        <v>1</v>
      </c>
      <c r="AG530">
        <f t="shared" si="105"/>
        <v>1</v>
      </c>
      <c r="AH530" t="str">
        <f t="shared" si="106"/>
        <v>College</v>
      </c>
      <c r="AI530" t="str">
        <f t="shared" si="107"/>
        <v>Medium</v>
      </c>
      <c r="AJ530" t="str">
        <f t="shared" si="108"/>
        <v>High</v>
      </c>
      <c r="AK530" t="str">
        <f t="shared" si="109"/>
        <v>Junior</v>
      </c>
      <c r="AL530" t="str">
        <f t="shared" si="110"/>
        <v>High</v>
      </c>
      <c r="AM530" t="str">
        <f t="shared" si="111"/>
        <v>Low</v>
      </c>
      <c r="AN530" t="str">
        <f t="shared" si="112"/>
        <v>Low</v>
      </c>
      <c r="AO530" t="str">
        <f t="shared" si="113"/>
        <v>Better</v>
      </c>
      <c r="AP530" t="str">
        <f t="shared" si="114"/>
        <v>45-54</v>
      </c>
      <c r="AQ530" t="str">
        <f t="shared" si="115"/>
        <v>Lower-Mid</v>
      </c>
      <c r="AR530" t="str">
        <f t="shared" si="116"/>
        <v>3-5 Years</v>
      </c>
    </row>
    <row r="531" spans="1:44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33</v>
      </c>
      <c r="M531">
        <v>4</v>
      </c>
      <c r="N531">
        <v>2</v>
      </c>
      <c r="O531" t="s">
        <v>54</v>
      </c>
      <c r="P531">
        <v>4</v>
      </c>
      <c r="Q531" t="s">
        <v>41</v>
      </c>
      <c r="R531">
        <v>7625</v>
      </c>
      <c r="S531">
        <v>0</v>
      </c>
      <c r="T531" t="s">
        <v>43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  <c r="AF531">
        <f t="shared" si="104"/>
        <v>0</v>
      </c>
      <c r="AG531">
        <f t="shared" si="105"/>
        <v>0</v>
      </c>
      <c r="AH531" t="str">
        <f t="shared" si="106"/>
        <v>Master</v>
      </c>
      <c r="AI531" t="str">
        <f t="shared" si="107"/>
        <v>Medium</v>
      </c>
      <c r="AJ531" t="str">
        <f t="shared" si="108"/>
        <v>Very High</v>
      </c>
      <c r="AK531" t="str">
        <f t="shared" si="109"/>
        <v>Junior</v>
      </c>
      <c r="AL531" t="str">
        <f t="shared" si="110"/>
        <v>Very High</v>
      </c>
      <c r="AM531" t="str">
        <f t="shared" si="111"/>
        <v>High</v>
      </c>
      <c r="AN531" t="str">
        <f t="shared" si="112"/>
        <v>No Options</v>
      </c>
      <c r="AO531" t="str">
        <f t="shared" si="113"/>
        <v>Good</v>
      </c>
      <c r="AP531" t="str">
        <f t="shared" si="114"/>
        <v>35-44</v>
      </c>
      <c r="AQ531" t="str">
        <f t="shared" si="115"/>
        <v>Upper-Mid</v>
      </c>
      <c r="AR531" t="str">
        <f t="shared" si="116"/>
        <v>6-10 Years</v>
      </c>
    </row>
    <row r="532" spans="1:44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68</v>
      </c>
      <c r="M532">
        <v>3</v>
      </c>
      <c r="N532">
        <v>3</v>
      </c>
      <c r="O532" t="s">
        <v>53</v>
      </c>
      <c r="P532">
        <v>1</v>
      </c>
      <c r="Q532" t="s">
        <v>48</v>
      </c>
      <c r="R532">
        <v>7412</v>
      </c>
      <c r="S532">
        <v>1</v>
      </c>
      <c r="T532" t="s">
        <v>43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  <c r="AF532">
        <f t="shared" si="104"/>
        <v>0</v>
      </c>
      <c r="AG532">
        <f t="shared" si="105"/>
        <v>0</v>
      </c>
      <c r="AH532" t="str">
        <f t="shared" si="106"/>
        <v>College</v>
      </c>
      <c r="AI532" t="str">
        <f t="shared" si="107"/>
        <v>High</v>
      </c>
      <c r="AJ532" t="str">
        <f t="shared" si="108"/>
        <v>High</v>
      </c>
      <c r="AK532" t="str">
        <f t="shared" si="109"/>
        <v>Mid-Level</v>
      </c>
      <c r="AL532" t="str">
        <f t="shared" si="110"/>
        <v>Low</v>
      </c>
      <c r="AM532" t="str">
        <f t="shared" si="111"/>
        <v>Very High</v>
      </c>
      <c r="AN532" t="str">
        <f t="shared" si="112"/>
        <v>No Options</v>
      </c>
      <c r="AO532" t="str">
        <f t="shared" si="113"/>
        <v>Better</v>
      </c>
      <c r="AP532" t="str">
        <f t="shared" si="114"/>
        <v>25-34</v>
      </c>
      <c r="AQ532" t="str">
        <f t="shared" si="115"/>
        <v>Upper-Mid</v>
      </c>
      <c r="AR532" t="str">
        <f t="shared" si="116"/>
        <v>6-10 Years</v>
      </c>
    </row>
    <row r="533" spans="1:44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39</v>
      </c>
      <c r="M533">
        <v>3</v>
      </c>
      <c r="N533">
        <v>3</v>
      </c>
      <c r="O533" t="s">
        <v>58</v>
      </c>
      <c r="P533">
        <v>4</v>
      </c>
      <c r="Q533" t="s">
        <v>41</v>
      </c>
      <c r="R533">
        <v>11159</v>
      </c>
      <c r="S533">
        <v>3</v>
      </c>
      <c r="T533" t="s">
        <v>43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  <c r="AF533">
        <f t="shared" si="104"/>
        <v>0</v>
      </c>
      <c r="AG533">
        <f t="shared" si="105"/>
        <v>0</v>
      </c>
      <c r="AH533" t="str">
        <f t="shared" si="106"/>
        <v>College</v>
      </c>
      <c r="AI533" t="str">
        <f t="shared" si="107"/>
        <v>High</v>
      </c>
      <c r="AJ533" t="str">
        <f t="shared" si="108"/>
        <v>High</v>
      </c>
      <c r="AK533" t="str">
        <f t="shared" si="109"/>
        <v>Mid-Level</v>
      </c>
      <c r="AL533" t="str">
        <f t="shared" si="110"/>
        <v>Very High</v>
      </c>
      <c r="AM533" t="str">
        <f t="shared" si="111"/>
        <v>Very High</v>
      </c>
      <c r="AN533" t="str">
        <f t="shared" si="112"/>
        <v>No Options</v>
      </c>
      <c r="AO533" t="str">
        <f t="shared" si="113"/>
        <v>Better</v>
      </c>
      <c r="AP533" t="str">
        <f t="shared" si="114"/>
        <v>25-34</v>
      </c>
      <c r="AQ533" t="str">
        <f t="shared" si="115"/>
        <v>Upper-Mid</v>
      </c>
      <c r="AR533" t="str">
        <f t="shared" si="116"/>
        <v>6-10 Years</v>
      </c>
    </row>
    <row r="534" spans="1:44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t="s">
        <v>46</v>
      </c>
      <c r="L534">
        <v>42</v>
      </c>
      <c r="M534">
        <v>3</v>
      </c>
      <c r="N534">
        <v>2</v>
      </c>
      <c r="O534" t="s">
        <v>40</v>
      </c>
      <c r="P534">
        <v>1</v>
      </c>
      <c r="Q534" t="s">
        <v>41</v>
      </c>
      <c r="R534">
        <v>4960</v>
      </c>
      <c r="S534">
        <v>2</v>
      </c>
      <c r="T534" t="s">
        <v>43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  <c r="AF534">
        <f t="shared" si="104"/>
        <v>0</v>
      </c>
      <c r="AG534">
        <f t="shared" si="105"/>
        <v>0</v>
      </c>
      <c r="AH534" t="str">
        <f t="shared" si="106"/>
        <v>Master</v>
      </c>
      <c r="AI534" t="str">
        <f t="shared" si="107"/>
        <v>Very High</v>
      </c>
      <c r="AJ534" t="str">
        <f t="shared" si="108"/>
        <v>High</v>
      </c>
      <c r="AK534" t="str">
        <f t="shared" si="109"/>
        <v>Junior</v>
      </c>
      <c r="AL534" t="str">
        <f t="shared" si="110"/>
        <v>Low</v>
      </c>
      <c r="AM534" t="str">
        <f t="shared" si="111"/>
        <v>Very High</v>
      </c>
      <c r="AN534" t="str">
        <f t="shared" si="112"/>
        <v>No Options</v>
      </c>
      <c r="AO534" t="str">
        <f t="shared" si="113"/>
        <v>Better</v>
      </c>
      <c r="AP534" t="str">
        <f t="shared" si="114"/>
        <v>45-54</v>
      </c>
      <c r="AQ534" t="str">
        <f t="shared" si="115"/>
        <v>Lower-Mid</v>
      </c>
      <c r="AR534" t="str">
        <f t="shared" si="116"/>
        <v>6-10 Years</v>
      </c>
    </row>
    <row r="535" spans="1:44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46</v>
      </c>
      <c r="L535">
        <v>48</v>
      </c>
      <c r="M535">
        <v>2</v>
      </c>
      <c r="N535">
        <v>3</v>
      </c>
      <c r="O535" t="s">
        <v>40</v>
      </c>
      <c r="P535">
        <v>1</v>
      </c>
      <c r="Q535" t="s">
        <v>48</v>
      </c>
      <c r="R535">
        <v>10475</v>
      </c>
      <c r="S535">
        <v>5</v>
      </c>
      <c r="T535" t="s">
        <v>35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  <c r="AF535">
        <f t="shared" si="104"/>
        <v>0</v>
      </c>
      <c r="AG535">
        <f t="shared" si="105"/>
        <v>1</v>
      </c>
      <c r="AH535" t="str">
        <f t="shared" si="106"/>
        <v>Master</v>
      </c>
      <c r="AI535" t="str">
        <f t="shared" si="107"/>
        <v>Very High</v>
      </c>
      <c r="AJ535" t="str">
        <f t="shared" si="108"/>
        <v>Medium</v>
      </c>
      <c r="AK535" t="str">
        <f t="shared" si="109"/>
        <v>Mid-Level</v>
      </c>
      <c r="AL535" t="str">
        <f t="shared" si="110"/>
        <v>Low</v>
      </c>
      <c r="AM535" t="str">
        <f t="shared" si="111"/>
        <v>High</v>
      </c>
      <c r="AN535" t="str">
        <f t="shared" si="112"/>
        <v>Low</v>
      </c>
      <c r="AO535" t="str">
        <f t="shared" si="113"/>
        <v>Better</v>
      </c>
      <c r="AP535" t="str">
        <f t="shared" si="114"/>
        <v>35-44</v>
      </c>
      <c r="AQ535" t="str">
        <f t="shared" si="115"/>
        <v>Upper-Mid</v>
      </c>
      <c r="AR535" t="str">
        <f t="shared" si="116"/>
        <v>11-20 Years</v>
      </c>
    </row>
    <row r="536" spans="1:44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46</v>
      </c>
      <c r="L536">
        <v>59</v>
      </c>
      <c r="M536">
        <v>4</v>
      </c>
      <c r="N536">
        <v>4</v>
      </c>
      <c r="O536" t="s">
        <v>58</v>
      </c>
      <c r="P536">
        <v>3</v>
      </c>
      <c r="Q536" t="s">
        <v>48</v>
      </c>
      <c r="R536">
        <v>14814</v>
      </c>
      <c r="S536">
        <v>3</v>
      </c>
      <c r="T536" t="s">
        <v>43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  <c r="AF536">
        <f t="shared" si="104"/>
        <v>0</v>
      </c>
      <c r="AG536">
        <f t="shared" si="105"/>
        <v>0</v>
      </c>
      <c r="AH536" t="str">
        <f t="shared" si="106"/>
        <v>Bachelor</v>
      </c>
      <c r="AI536" t="str">
        <f t="shared" si="107"/>
        <v>High</v>
      </c>
      <c r="AJ536" t="str">
        <f t="shared" si="108"/>
        <v>Very High</v>
      </c>
      <c r="AK536" t="str">
        <f t="shared" si="109"/>
        <v>Senior</v>
      </c>
      <c r="AL536" t="str">
        <f t="shared" si="110"/>
        <v>High</v>
      </c>
      <c r="AM536" t="str">
        <f t="shared" si="111"/>
        <v>High</v>
      </c>
      <c r="AN536" t="str">
        <f t="shared" si="112"/>
        <v>No Options</v>
      </c>
      <c r="AO536" t="str">
        <f t="shared" si="113"/>
        <v>Better</v>
      </c>
      <c r="AP536" t="str">
        <f t="shared" si="114"/>
        <v>45-54</v>
      </c>
      <c r="AQ536" t="str">
        <f t="shared" si="115"/>
        <v>High</v>
      </c>
      <c r="AR536" t="str">
        <f t="shared" si="116"/>
        <v>3-5 Years</v>
      </c>
    </row>
    <row r="537" spans="1:44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t="s">
        <v>46</v>
      </c>
      <c r="L537">
        <v>73</v>
      </c>
      <c r="M537">
        <v>2</v>
      </c>
      <c r="N537">
        <v>5</v>
      </c>
      <c r="O537" t="s">
        <v>56</v>
      </c>
      <c r="P537">
        <v>4</v>
      </c>
      <c r="Q537" t="s">
        <v>52</v>
      </c>
      <c r="R537">
        <v>19141</v>
      </c>
      <c r="S537">
        <v>3</v>
      </c>
      <c r="T537" t="s">
        <v>43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  <c r="AF537">
        <f t="shared" si="104"/>
        <v>0</v>
      </c>
      <c r="AG537">
        <f t="shared" si="105"/>
        <v>0</v>
      </c>
      <c r="AH537" t="str">
        <f t="shared" si="106"/>
        <v>Master</v>
      </c>
      <c r="AI537" t="str">
        <f t="shared" si="107"/>
        <v>Medium</v>
      </c>
      <c r="AJ537" t="str">
        <f t="shared" si="108"/>
        <v>Medium</v>
      </c>
      <c r="AK537" t="str">
        <f t="shared" si="109"/>
        <v>Executive</v>
      </c>
      <c r="AL537" t="str">
        <f t="shared" si="110"/>
        <v>Very High</v>
      </c>
      <c r="AM537" t="str">
        <f t="shared" si="111"/>
        <v>Medium</v>
      </c>
      <c r="AN537" t="str">
        <f t="shared" si="112"/>
        <v>High</v>
      </c>
      <c r="AO537" t="str">
        <f t="shared" si="113"/>
        <v>Good</v>
      </c>
      <c r="AP537" t="str">
        <f t="shared" si="114"/>
        <v>35-44</v>
      </c>
      <c r="AQ537" t="str">
        <f t="shared" si="115"/>
        <v>High</v>
      </c>
      <c r="AR537" t="str">
        <f t="shared" si="116"/>
        <v>20+ Years</v>
      </c>
    </row>
    <row r="538" spans="1:44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t="s">
        <v>46</v>
      </c>
      <c r="L538">
        <v>84</v>
      </c>
      <c r="M538">
        <v>3</v>
      </c>
      <c r="N538">
        <v>2</v>
      </c>
      <c r="O538" t="s">
        <v>40</v>
      </c>
      <c r="P538">
        <v>1</v>
      </c>
      <c r="Q538" t="s">
        <v>41</v>
      </c>
      <c r="R538">
        <v>5405</v>
      </c>
      <c r="S538">
        <v>8</v>
      </c>
      <c r="T538" t="s">
        <v>43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  <c r="AF538">
        <f t="shared" si="104"/>
        <v>0</v>
      </c>
      <c r="AG538">
        <f t="shared" si="105"/>
        <v>0</v>
      </c>
      <c r="AH538" t="str">
        <f t="shared" si="106"/>
        <v>Master</v>
      </c>
      <c r="AI538" t="str">
        <f t="shared" si="107"/>
        <v>Low</v>
      </c>
      <c r="AJ538" t="str">
        <f t="shared" si="108"/>
        <v>High</v>
      </c>
      <c r="AK538" t="str">
        <f t="shared" si="109"/>
        <v>Junior</v>
      </c>
      <c r="AL538" t="str">
        <f t="shared" si="110"/>
        <v>Low</v>
      </c>
      <c r="AM538" t="str">
        <f t="shared" si="111"/>
        <v>Very High</v>
      </c>
      <c r="AN538" t="str">
        <f t="shared" si="112"/>
        <v>No Options</v>
      </c>
      <c r="AO538" t="str">
        <f t="shared" si="113"/>
        <v>Better</v>
      </c>
      <c r="AP538" t="str">
        <f t="shared" si="114"/>
        <v>55+</v>
      </c>
      <c r="AQ538" t="str">
        <f t="shared" si="115"/>
        <v>Lower-Mid</v>
      </c>
      <c r="AR538" t="str">
        <f t="shared" si="116"/>
        <v>0-2 Years</v>
      </c>
    </row>
    <row r="539" spans="1:44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46</v>
      </c>
      <c r="L539">
        <v>32</v>
      </c>
      <c r="M539">
        <v>3</v>
      </c>
      <c r="N539">
        <v>3</v>
      </c>
      <c r="O539" t="s">
        <v>53</v>
      </c>
      <c r="P539">
        <v>1</v>
      </c>
      <c r="Q539" t="s">
        <v>52</v>
      </c>
      <c r="R539">
        <v>8793</v>
      </c>
      <c r="S539">
        <v>1</v>
      </c>
      <c r="T539" t="s">
        <v>43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  <c r="AF539">
        <f t="shared" si="104"/>
        <v>0</v>
      </c>
      <c r="AG539">
        <f t="shared" si="105"/>
        <v>0</v>
      </c>
      <c r="AH539" t="str">
        <f t="shared" si="106"/>
        <v>College</v>
      </c>
      <c r="AI539" t="str">
        <f t="shared" si="107"/>
        <v>Very High</v>
      </c>
      <c r="AJ539" t="str">
        <f t="shared" si="108"/>
        <v>High</v>
      </c>
      <c r="AK539" t="str">
        <f t="shared" si="109"/>
        <v>Mid-Level</v>
      </c>
      <c r="AL539" t="str">
        <f t="shared" si="110"/>
        <v>Low</v>
      </c>
      <c r="AM539" t="str">
        <f t="shared" si="111"/>
        <v>High</v>
      </c>
      <c r="AN539" t="str">
        <f t="shared" si="112"/>
        <v>Medium</v>
      </c>
      <c r="AO539" t="str">
        <f t="shared" si="113"/>
        <v>Good</v>
      </c>
      <c r="AP539" t="str">
        <f t="shared" si="114"/>
        <v>25-34</v>
      </c>
      <c r="AQ539" t="str">
        <f t="shared" si="115"/>
        <v>Upper-Mid</v>
      </c>
      <c r="AR539" t="str">
        <f t="shared" si="116"/>
        <v>6-10 Years</v>
      </c>
    </row>
    <row r="540" spans="1:44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t="s">
        <v>46</v>
      </c>
      <c r="L540">
        <v>59</v>
      </c>
      <c r="M540">
        <v>2</v>
      </c>
      <c r="N540">
        <v>5</v>
      </c>
      <c r="O540" t="s">
        <v>56</v>
      </c>
      <c r="P540">
        <v>3</v>
      </c>
      <c r="Q540" t="s">
        <v>48</v>
      </c>
      <c r="R540">
        <v>19189</v>
      </c>
      <c r="S540">
        <v>1</v>
      </c>
      <c r="T540" t="s">
        <v>43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  <c r="AF540">
        <f t="shared" si="104"/>
        <v>0</v>
      </c>
      <c r="AG540">
        <f t="shared" si="105"/>
        <v>0</v>
      </c>
      <c r="AH540" t="str">
        <f t="shared" si="106"/>
        <v>Bachelor</v>
      </c>
      <c r="AI540" t="str">
        <f t="shared" si="107"/>
        <v>Very High</v>
      </c>
      <c r="AJ540" t="str">
        <f t="shared" si="108"/>
        <v>Medium</v>
      </c>
      <c r="AK540" t="str">
        <f t="shared" si="109"/>
        <v>Executive</v>
      </c>
      <c r="AL540" t="str">
        <f t="shared" si="110"/>
        <v>High</v>
      </c>
      <c r="AM540" t="str">
        <f t="shared" si="111"/>
        <v>Medium</v>
      </c>
      <c r="AN540" t="str">
        <f t="shared" si="112"/>
        <v>Low</v>
      </c>
      <c r="AO540" t="str">
        <f t="shared" si="113"/>
        <v>Better</v>
      </c>
      <c r="AP540" t="str">
        <f t="shared" si="114"/>
        <v>35-44</v>
      </c>
      <c r="AQ540" t="str">
        <f t="shared" si="115"/>
        <v>High</v>
      </c>
      <c r="AR540" t="str">
        <f t="shared" si="116"/>
        <v>20+ Years</v>
      </c>
    </row>
    <row r="541" spans="1:44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t="s">
        <v>46</v>
      </c>
      <c r="L541">
        <v>54</v>
      </c>
      <c r="M541">
        <v>3</v>
      </c>
      <c r="N541">
        <v>1</v>
      </c>
      <c r="O541" t="s">
        <v>57</v>
      </c>
      <c r="P541">
        <v>2</v>
      </c>
      <c r="Q541" t="s">
        <v>48</v>
      </c>
      <c r="R541">
        <v>3875</v>
      </c>
      <c r="S541">
        <v>7</v>
      </c>
      <c r="T541" t="s">
        <v>43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  <c r="AF541">
        <f t="shared" si="104"/>
        <v>0</v>
      </c>
      <c r="AG541">
        <f t="shared" si="105"/>
        <v>0</v>
      </c>
      <c r="AH541" t="str">
        <f t="shared" si="106"/>
        <v>Master</v>
      </c>
      <c r="AI541" t="str">
        <f t="shared" si="107"/>
        <v>Very High</v>
      </c>
      <c r="AJ541" t="str">
        <f t="shared" si="108"/>
        <v>High</v>
      </c>
      <c r="AK541" t="str">
        <f t="shared" si="109"/>
        <v>Entry</v>
      </c>
      <c r="AL541" t="str">
        <f t="shared" si="110"/>
        <v>Medium</v>
      </c>
      <c r="AM541" t="str">
        <f t="shared" si="111"/>
        <v>Very High</v>
      </c>
      <c r="AN541" t="str">
        <f t="shared" si="112"/>
        <v>Low</v>
      </c>
      <c r="AO541" t="str">
        <f t="shared" si="113"/>
        <v>Better</v>
      </c>
      <c r="AP541" t="str">
        <f t="shared" si="114"/>
        <v>45-54</v>
      </c>
      <c r="AQ541" t="str">
        <f t="shared" si="115"/>
        <v>Lower-Mid</v>
      </c>
      <c r="AR541" t="str">
        <f t="shared" si="116"/>
        <v>0-2 Years</v>
      </c>
    </row>
    <row r="542" spans="1:44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67</v>
      </c>
      <c r="M542">
        <v>1</v>
      </c>
      <c r="N542">
        <v>1</v>
      </c>
      <c r="O542" t="s">
        <v>47</v>
      </c>
      <c r="P542">
        <v>2</v>
      </c>
      <c r="Q542" t="s">
        <v>41</v>
      </c>
      <c r="R542">
        <v>2216</v>
      </c>
      <c r="S542">
        <v>7</v>
      </c>
      <c r="T542" t="s">
        <v>35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  <c r="AF542">
        <f t="shared" si="104"/>
        <v>1</v>
      </c>
      <c r="AG542">
        <f t="shared" si="105"/>
        <v>1</v>
      </c>
      <c r="AH542" t="str">
        <f t="shared" si="106"/>
        <v>College</v>
      </c>
      <c r="AI542" t="str">
        <f t="shared" si="107"/>
        <v>Low</v>
      </c>
      <c r="AJ542" t="str">
        <f t="shared" si="108"/>
        <v>Low</v>
      </c>
      <c r="AK542" t="str">
        <f t="shared" si="109"/>
        <v>Entry</v>
      </c>
      <c r="AL542" t="str">
        <f t="shared" si="110"/>
        <v>Medium</v>
      </c>
      <c r="AM542" t="str">
        <f t="shared" si="111"/>
        <v>Very High</v>
      </c>
      <c r="AN542" t="str">
        <f t="shared" si="112"/>
        <v>No Options</v>
      </c>
      <c r="AO542" t="str">
        <f t="shared" si="113"/>
        <v>Better</v>
      </c>
      <c r="AP542" t="str">
        <f t="shared" si="114"/>
        <v>25-34</v>
      </c>
      <c r="AQ542" t="str">
        <f t="shared" si="115"/>
        <v>Low</v>
      </c>
      <c r="AR542" t="str">
        <f t="shared" si="116"/>
        <v>6-10 Years</v>
      </c>
    </row>
    <row r="543" spans="1:44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63</v>
      </c>
      <c r="M543">
        <v>4</v>
      </c>
      <c r="N543">
        <v>3</v>
      </c>
      <c r="O543" t="s">
        <v>58</v>
      </c>
      <c r="P543">
        <v>1</v>
      </c>
      <c r="Q543" t="s">
        <v>48</v>
      </c>
      <c r="R543">
        <v>11713</v>
      </c>
      <c r="S543">
        <v>9</v>
      </c>
      <c r="T543" t="s">
        <v>43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  <c r="AF543">
        <f t="shared" si="104"/>
        <v>0</v>
      </c>
      <c r="AG543">
        <f t="shared" si="105"/>
        <v>0</v>
      </c>
      <c r="AH543" t="str">
        <f t="shared" si="106"/>
        <v>Bachelor</v>
      </c>
      <c r="AI543" t="str">
        <f t="shared" si="107"/>
        <v>Low</v>
      </c>
      <c r="AJ543" t="str">
        <f t="shared" si="108"/>
        <v>Very High</v>
      </c>
      <c r="AK543" t="str">
        <f t="shared" si="109"/>
        <v>Mid-Level</v>
      </c>
      <c r="AL543" t="str">
        <f t="shared" si="110"/>
        <v>Low</v>
      </c>
      <c r="AM543" t="str">
        <f t="shared" si="111"/>
        <v>Low</v>
      </c>
      <c r="AN543" t="str">
        <f t="shared" si="112"/>
        <v>Low</v>
      </c>
      <c r="AO543" t="str">
        <f t="shared" si="113"/>
        <v>Better</v>
      </c>
      <c r="AP543" t="str">
        <f t="shared" si="114"/>
        <v>35-44</v>
      </c>
      <c r="AQ543" t="str">
        <f t="shared" si="115"/>
        <v>Upper-Mid</v>
      </c>
      <c r="AR543" t="str">
        <f t="shared" si="116"/>
        <v>6-10 Years</v>
      </c>
    </row>
    <row r="544" spans="1:44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81</v>
      </c>
      <c r="M544">
        <v>3</v>
      </c>
      <c r="N544">
        <v>3</v>
      </c>
      <c r="O544" t="s">
        <v>53</v>
      </c>
      <c r="P544">
        <v>3</v>
      </c>
      <c r="Q544" t="s">
        <v>41</v>
      </c>
      <c r="R544">
        <v>7861</v>
      </c>
      <c r="S544">
        <v>4</v>
      </c>
      <c r="T544" t="s">
        <v>35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  <c r="AF544">
        <f t="shared" si="104"/>
        <v>0</v>
      </c>
      <c r="AG544">
        <f t="shared" si="105"/>
        <v>1</v>
      </c>
      <c r="AH544" t="str">
        <f t="shared" si="106"/>
        <v>Bachelor</v>
      </c>
      <c r="AI544" t="str">
        <f t="shared" si="107"/>
        <v>High</v>
      </c>
      <c r="AJ544" t="str">
        <f t="shared" si="108"/>
        <v>High</v>
      </c>
      <c r="AK544" t="str">
        <f t="shared" si="109"/>
        <v>Mid-Level</v>
      </c>
      <c r="AL544" t="str">
        <f t="shared" si="110"/>
        <v>High</v>
      </c>
      <c r="AM544" t="str">
        <f t="shared" si="111"/>
        <v>Very High</v>
      </c>
      <c r="AN544" t="str">
        <f t="shared" si="112"/>
        <v>No Options</v>
      </c>
      <c r="AO544" t="str">
        <f t="shared" si="113"/>
        <v>Best</v>
      </c>
      <c r="AP544" t="str">
        <f t="shared" si="114"/>
        <v>35-44</v>
      </c>
      <c r="AQ544" t="str">
        <f t="shared" si="115"/>
        <v>Upper-Mid</v>
      </c>
      <c r="AR544" t="str">
        <f t="shared" si="116"/>
        <v>0-2 Years</v>
      </c>
    </row>
    <row r="545" spans="1:44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46</v>
      </c>
      <c r="L545">
        <v>49</v>
      </c>
      <c r="M545">
        <v>1</v>
      </c>
      <c r="N545">
        <v>1</v>
      </c>
      <c r="O545" t="s">
        <v>50</v>
      </c>
      <c r="P545">
        <v>3</v>
      </c>
      <c r="Q545" t="s">
        <v>41</v>
      </c>
      <c r="R545">
        <v>3708</v>
      </c>
      <c r="S545">
        <v>2</v>
      </c>
      <c r="T545" t="s">
        <v>43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  <c r="AF545">
        <f t="shared" si="104"/>
        <v>0</v>
      </c>
      <c r="AG545">
        <f t="shared" si="105"/>
        <v>0</v>
      </c>
      <c r="AH545" t="str">
        <f t="shared" si="106"/>
        <v>Bachelor</v>
      </c>
      <c r="AI545" t="str">
        <f t="shared" si="107"/>
        <v>Low</v>
      </c>
      <c r="AJ545" t="str">
        <f t="shared" si="108"/>
        <v>Low</v>
      </c>
      <c r="AK545" t="str">
        <f t="shared" si="109"/>
        <v>Entry</v>
      </c>
      <c r="AL545" t="str">
        <f t="shared" si="110"/>
        <v>High</v>
      </c>
      <c r="AM545" t="str">
        <f t="shared" si="111"/>
        <v>High</v>
      </c>
      <c r="AN545" t="str">
        <f t="shared" si="112"/>
        <v>No Options</v>
      </c>
      <c r="AO545" t="str">
        <f t="shared" si="113"/>
        <v>Better</v>
      </c>
      <c r="AP545" t="str">
        <f t="shared" si="114"/>
        <v>35-44</v>
      </c>
      <c r="AQ545" t="str">
        <f t="shared" si="115"/>
        <v>Lower-Mid</v>
      </c>
      <c r="AR545" t="str">
        <f t="shared" si="116"/>
        <v>3-5 Years</v>
      </c>
    </row>
    <row r="546" spans="1:44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39</v>
      </c>
      <c r="L546">
        <v>49</v>
      </c>
      <c r="M546">
        <v>3</v>
      </c>
      <c r="N546">
        <v>4</v>
      </c>
      <c r="O546" t="s">
        <v>40</v>
      </c>
      <c r="P546">
        <v>3</v>
      </c>
      <c r="Q546" t="s">
        <v>52</v>
      </c>
      <c r="R546">
        <v>13770</v>
      </c>
      <c r="S546">
        <v>9</v>
      </c>
      <c r="T546" t="s">
        <v>35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  <c r="AF546">
        <f t="shared" si="104"/>
        <v>0</v>
      </c>
      <c r="AG546">
        <f t="shared" si="105"/>
        <v>1</v>
      </c>
      <c r="AH546" t="str">
        <f t="shared" si="106"/>
        <v>Bachelor</v>
      </c>
      <c r="AI546" t="str">
        <f t="shared" si="107"/>
        <v>Very High</v>
      </c>
      <c r="AJ546" t="str">
        <f t="shared" si="108"/>
        <v>High</v>
      </c>
      <c r="AK546" t="str">
        <f t="shared" si="109"/>
        <v>Senior</v>
      </c>
      <c r="AL546" t="str">
        <f t="shared" si="110"/>
        <v>High</v>
      </c>
      <c r="AM546" t="str">
        <f t="shared" si="111"/>
        <v>Very High</v>
      </c>
      <c r="AN546" t="str">
        <f t="shared" si="112"/>
        <v>Medium</v>
      </c>
      <c r="AO546" t="str">
        <f t="shared" si="113"/>
        <v>Good</v>
      </c>
      <c r="AP546" t="str">
        <f t="shared" si="114"/>
        <v>45-54</v>
      </c>
      <c r="AQ546" t="str">
        <f t="shared" si="115"/>
        <v>High</v>
      </c>
      <c r="AR546" t="str">
        <f t="shared" si="116"/>
        <v>20+ Years</v>
      </c>
    </row>
    <row r="547" spans="1:44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t="s">
        <v>46</v>
      </c>
      <c r="L547">
        <v>99</v>
      </c>
      <c r="M547">
        <v>3</v>
      </c>
      <c r="N547">
        <v>2</v>
      </c>
      <c r="O547" t="s">
        <v>40</v>
      </c>
      <c r="P547">
        <v>4</v>
      </c>
      <c r="Q547" t="s">
        <v>52</v>
      </c>
      <c r="R547">
        <v>5304</v>
      </c>
      <c r="S547">
        <v>7</v>
      </c>
      <c r="T547" t="s">
        <v>43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  <c r="AF547">
        <f t="shared" si="104"/>
        <v>0</v>
      </c>
      <c r="AG547">
        <f t="shared" si="105"/>
        <v>0</v>
      </c>
      <c r="AH547" t="str">
        <f t="shared" si="106"/>
        <v>Doctor</v>
      </c>
      <c r="AI547" t="str">
        <f t="shared" si="107"/>
        <v>High</v>
      </c>
      <c r="AJ547" t="str">
        <f t="shared" si="108"/>
        <v>High</v>
      </c>
      <c r="AK547" t="str">
        <f t="shared" si="109"/>
        <v>Junior</v>
      </c>
      <c r="AL547" t="str">
        <f t="shared" si="110"/>
        <v>Very High</v>
      </c>
      <c r="AM547" t="str">
        <f t="shared" si="111"/>
        <v>Very High</v>
      </c>
      <c r="AN547" t="str">
        <f t="shared" si="112"/>
        <v>Low</v>
      </c>
      <c r="AO547" t="str">
        <f t="shared" si="113"/>
        <v>Good</v>
      </c>
      <c r="AP547" t="str">
        <f t="shared" si="114"/>
        <v>25-34</v>
      </c>
      <c r="AQ547" t="str">
        <f t="shared" si="115"/>
        <v>Lower-Mid</v>
      </c>
      <c r="AR547" t="str">
        <f t="shared" si="116"/>
        <v>6-10 Years</v>
      </c>
    </row>
    <row r="548" spans="1:44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46</v>
      </c>
      <c r="L548">
        <v>99</v>
      </c>
      <c r="M548">
        <v>3</v>
      </c>
      <c r="N548">
        <v>1</v>
      </c>
      <c r="O548" t="s">
        <v>57</v>
      </c>
      <c r="P548">
        <v>3</v>
      </c>
      <c r="Q548" t="s">
        <v>41</v>
      </c>
      <c r="R548">
        <v>2642</v>
      </c>
      <c r="S548">
        <v>1</v>
      </c>
      <c r="T548" t="s">
        <v>43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  <c r="AF548">
        <f t="shared" si="104"/>
        <v>0</v>
      </c>
      <c r="AG548">
        <f t="shared" si="105"/>
        <v>0</v>
      </c>
      <c r="AH548" t="str">
        <f t="shared" si="106"/>
        <v>Bachelor</v>
      </c>
      <c r="AI548" t="str">
        <f t="shared" si="107"/>
        <v>High</v>
      </c>
      <c r="AJ548" t="str">
        <f t="shared" si="108"/>
        <v>High</v>
      </c>
      <c r="AK548" t="str">
        <f t="shared" si="109"/>
        <v>Entry</v>
      </c>
      <c r="AL548" t="str">
        <f t="shared" si="110"/>
        <v>High</v>
      </c>
      <c r="AM548" t="str">
        <f t="shared" si="111"/>
        <v>High</v>
      </c>
      <c r="AN548" t="str">
        <f t="shared" si="112"/>
        <v>No Options</v>
      </c>
      <c r="AO548" t="str">
        <f t="shared" si="113"/>
        <v>Better</v>
      </c>
      <c r="AP548" t="str">
        <f t="shared" si="114"/>
        <v>25-34</v>
      </c>
      <c r="AQ548" t="str">
        <f t="shared" si="115"/>
        <v>Low</v>
      </c>
      <c r="AR548" t="str">
        <f t="shared" si="116"/>
        <v>0-2 Years</v>
      </c>
    </row>
    <row r="549" spans="1:44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46</v>
      </c>
      <c r="L549">
        <v>57</v>
      </c>
      <c r="M549">
        <v>4</v>
      </c>
      <c r="N549">
        <v>1</v>
      </c>
      <c r="O549" t="s">
        <v>47</v>
      </c>
      <c r="P549">
        <v>3</v>
      </c>
      <c r="Q549" t="s">
        <v>52</v>
      </c>
      <c r="R549">
        <v>2759</v>
      </c>
      <c r="S549">
        <v>6</v>
      </c>
      <c r="T549" t="s">
        <v>35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  <c r="AF549">
        <f t="shared" si="104"/>
        <v>1</v>
      </c>
      <c r="AG549">
        <f t="shared" si="105"/>
        <v>1</v>
      </c>
      <c r="AH549" t="str">
        <f t="shared" si="106"/>
        <v>Bachelor</v>
      </c>
      <c r="AI549" t="str">
        <f t="shared" si="107"/>
        <v>High</v>
      </c>
      <c r="AJ549" t="str">
        <f t="shared" si="108"/>
        <v>Very High</v>
      </c>
      <c r="AK549" t="str">
        <f t="shared" si="109"/>
        <v>Entry</v>
      </c>
      <c r="AL549" t="str">
        <f t="shared" si="110"/>
        <v>High</v>
      </c>
      <c r="AM549" t="str">
        <f t="shared" si="111"/>
        <v>Very High</v>
      </c>
      <c r="AN549" t="str">
        <f t="shared" si="112"/>
        <v>No Options</v>
      </c>
      <c r="AO549" t="str">
        <f t="shared" si="113"/>
        <v>Better</v>
      </c>
      <c r="AP549" t="str">
        <f t="shared" si="114"/>
        <v>35-44</v>
      </c>
      <c r="AQ549" t="str">
        <f t="shared" si="115"/>
        <v>Low</v>
      </c>
      <c r="AR549" t="str">
        <f t="shared" si="116"/>
        <v>0-2 Years</v>
      </c>
    </row>
    <row r="550" spans="1:44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46</v>
      </c>
      <c r="L550">
        <v>47</v>
      </c>
      <c r="M550">
        <v>2</v>
      </c>
      <c r="N550">
        <v>2</v>
      </c>
      <c r="O550" t="s">
        <v>40</v>
      </c>
      <c r="P550">
        <v>4</v>
      </c>
      <c r="Q550" t="s">
        <v>48</v>
      </c>
      <c r="R550">
        <v>6804</v>
      </c>
      <c r="S550">
        <v>3</v>
      </c>
      <c r="T550" t="s">
        <v>43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  <c r="AF550">
        <f t="shared" si="104"/>
        <v>0</v>
      </c>
      <c r="AG550">
        <f t="shared" si="105"/>
        <v>0</v>
      </c>
      <c r="AH550" t="str">
        <f t="shared" si="106"/>
        <v>Bachelor</v>
      </c>
      <c r="AI550" t="str">
        <f t="shared" si="107"/>
        <v>Very High</v>
      </c>
      <c r="AJ550" t="str">
        <f t="shared" si="108"/>
        <v>Medium</v>
      </c>
      <c r="AK550" t="str">
        <f t="shared" si="109"/>
        <v>Junior</v>
      </c>
      <c r="AL550" t="str">
        <f t="shared" si="110"/>
        <v>Very High</v>
      </c>
      <c r="AM550" t="str">
        <f t="shared" si="111"/>
        <v>High</v>
      </c>
      <c r="AN550" t="str">
        <f t="shared" si="112"/>
        <v>Low</v>
      </c>
      <c r="AO550" t="str">
        <f t="shared" si="113"/>
        <v>Better</v>
      </c>
      <c r="AP550" t="str">
        <f t="shared" si="114"/>
        <v>35-44</v>
      </c>
      <c r="AQ550" t="str">
        <f t="shared" si="115"/>
        <v>Lower-Mid</v>
      </c>
      <c r="AR550" t="str">
        <f t="shared" si="116"/>
        <v>0-2 Years</v>
      </c>
    </row>
    <row r="551" spans="1:44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39</v>
      </c>
      <c r="L551">
        <v>96</v>
      </c>
      <c r="M551">
        <v>3</v>
      </c>
      <c r="N551">
        <v>2</v>
      </c>
      <c r="O551" t="s">
        <v>54</v>
      </c>
      <c r="P551">
        <v>3</v>
      </c>
      <c r="Q551" t="s">
        <v>41</v>
      </c>
      <c r="R551">
        <v>6142</v>
      </c>
      <c r="S551">
        <v>3</v>
      </c>
      <c r="T551" t="s">
        <v>43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  <c r="AF551">
        <f t="shared" si="104"/>
        <v>0</v>
      </c>
      <c r="AG551">
        <f t="shared" si="105"/>
        <v>0</v>
      </c>
      <c r="AH551" t="str">
        <f t="shared" si="106"/>
        <v>College</v>
      </c>
      <c r="AI551" t="str">
        <f t="shared" si="107"/>
        <v>Medium</v>
      </c>
      <c r="AJ551" t="str">
        <f t="shared" si="108"/>
        <v>High</v>
      </c>
      <c r="AK551" t="str">
        <f t="shared" si="109"/>
        <v>Junior</v>
      </c>
      <c r="AL551" t="str">
        <f t="shared" si="110"/>
        <v>High</v>
      </c>
      <c r="AM551" t="str">
        <f t="shared" si="111"/>
        <v>Very High</v>
      </c>
      <c r="AN551" t="str">
        <f t="shared" si="112"/>
        <v>No Options</v>
      </c>
      <c r="AO551" t="str">
        <f t="shared" si="113"/>
        <v>Better</v>
      </c>
      <c r="AP551" t="str">
        <f t="shared" si="114"/>
        <v>25-34</v>
      </c>
      <c r="AQ551" t="str">
        <f t="shared" si="115"/>
        <v>Lower-Mid</v>
      </c>
      <c r="AR551" t="str">
        <f t="shared" si="116"/>
        <v>3-5 Years</v>
      </c>
    </row>
    <row r="552" spans="1:44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46</v>
      </c>
      <c r="L552">
        <v>37</v>
      </c>
      <c r="M552">
        <v>3</v>
      </c>
      <c r="N552">
        <v>1</v>
      </c>
      <c r="O552" t="s">
        <v>50</v>
      </c>
      <c r="P552">
        <v>1</v>
      </c>
      <c r="Q552" t="s">
        <v>48</v>
      </c>
      <c r="R552">
        <v>2500</v>
      </c>
      <c r="S552">
        <v>1</v>
      </c>
      <c r="T552" t="s">
        <v>43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  <c r="AF552">
        <f t="shared" si="104"/>
        <v>0</v>
      </c>
      <c r="AG552">
        <f t="shared" si="105"/>
        <v>0</v>
      </c>
      <c r="AH552" t="str">
        <f t="shared" si="106"/>
        <v>Below College</v>
      </c>
      <c r="AI552" t="str">
        <f t="shared" si="107"/>
        <v>Medium</v>
      </c>
      <c r="AJ552" t="str">
        <f t="shared" si="108"/>
        <v>High</v>
      </c>
      <c r="AK552" t="str">
        <f t="shared" si="109"/>
        <v>Entry</v>
      </c>
      <c r="AL552" t="str">
        <f t="shared" si="110"/>
        <v>Low</v>
      </c>
      <c r="AM552" t="str">
        <f t="shared" si="111"/>
        <v>Very High</v>
      </c>
      <c r="AN552" t="str">
        <f t="shared" si="112"/>
        <v>Low</v>
      </c>
      <c r="AO552" t="str">
        <f t="shared" si="113"/>
        <v>Best</v>
      </c>
      <c r="AP552" t="str">
        <f t="shared" si="114"/>
        <v>Under 25</v>
      </c>
      <c r="AQ552" t="str">
        <f t="shared" si="115"/>
        <v>Low</v>
      </c>
      <c r="AR552" t="str">
        <f t="shared" si="116"/>
        <v>3-5 Years</v>
      </c>
    </row>
    <row r="553" spans="1:44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t="s">
        <v>39</v>
      </c>
      <c r="L553">
        <v>44</v>
      </c>
      <c r="M553">
        <v>4</v>
      </c>
      <c r="N553">
        <v>2</v>
      </c>
      <c r="O553" t="s">
        <v>61</v>
      </c>
      <c r="P553">
        <v>2</v>
      </c>
      <c r="Q553" t="s">
        <v>48</v>
      </c>
      <c r="R553">
        <v>6389</v>
      </c>
      <c r="S553">
        <v>9</v>
      </c>
      <c r="T553" t="s">
        <v>43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  <c r="AF553">
        <f t="shared" si="104"/>
        <v>0</v>
      </c>
      <c r="AG553">
        <f t="shared" si="105"/>
        <v>0</v>
      </c>
      <c r="AH553" t="str">
        <f t="shared" si="106"/>
        <v>Bachelor</v>
      </c>
      <c r="AI553" t="str">
        <f t="shared" si="107"/>
        <v>High</v>
      </c>
      <c r="AJ553" t="str">
        <f t="shared" si="108"/>
        <v>Very High</v>
      </c>
      <c r="AK553" t="str">
        <f t="shared" si="109"/>
        <v>Junior</v>
      </c>
      <c r="AL553" t="str">
        <f t="shared" si="110"/>
        <v>Medium</v>
      </c>
      <c r="AM553" t="str">
        <f t="shared" si="111"/>
        <v>High</v>
      </c>
      <c r="AN553" t="str">
        <f t="shared" si="112"/>
        <v>Low</v>
      </c>
      <c r="AO553" t="str">
        <f t="shared" si="113"/>
        <v>Bad</v>
      </c>
      <c r="AP553" t="str">
        <f t="shared" si="114"/>
        <v>35-44</v>
      </c>
      <c r="AQ553" t="str">
        <f t="shared" si="115"/>
        <v>Lower-Mid</v>
      </c>
      <c r="AR553" t="str">
        <f t="shared" si="116"/>
        <v>6-10 Years</v>
      </c>
    </row>
    <row r="554" spans="1:44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46</v>
      </c>
      <c r="L554">
        <v>81</v>
      </c>
      <c r="M554">
        <v>3</v>
      </c>
      <c r="N554">
        <v>4</v>
      </c>
      <c r="O554" t="s">
        <v>54</v>
      </c>
      <c r="P554">
        <v>4</v>
      </c>
      <c r="Q554" t="s">
        <v>48</v>
      </c>
      <c r="R554">
        <v>11103</v>
      </c>
      <c r="S554">
        <v>7</v>
      </c>
      <c r="T554" t="s">
        <v>43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  <c r="AF554">
        <f t="shared" si="104"/>
        <v>0</v>
      </c>
      <c r="AG554">
        <f t="shared" si="105"/>
        <v>0</v>
      </c>
      <c r="AH554" t="str">
        <f t="shared" si="106"/>
        <v>Bachelor</v>
      </c>
      <c r="AI554" t="str">
        <f t="shared" si="107"/>
        <v>High</v>
      </c>
      <c r="AJ554" t="str">
        <f t="shared" si="108"/>
        <v>High</v>
      </c>
      <c r="AK554" t="str">
        <f t="shared" si="109"/>
        <v>Senior</v>
      </c>
      <c r="AL554" t="str">
        <f t="shared" si="110"/>
        <v>Very High</v>
      </c>
      <c r="AM554" t="str">
        <f t="shared" si="111"/>
        <v>High</v>
      </c>
      <c r="AN554" t="str">
        <f t="shared" si="112"/>
        <v>No Options</v>
      </c>
      <c r="AO554" t="str">
        <f t="shared" si="113"/>
        <v>Good</v>
      </c>
      <c r="AP554" t="str">
        <f t="shared" si="114"/>
        <v>55+</v>
      </c>
      <c r="AQ554" t="str">
        <f t="shared" si="115"/>
        <v>Upper-Mid</v>
      </c>
      <c r="AR554" t="str">
        <f t="shared" si="116"/>
        <v>6-10 Years</v>
      </c>
    </row>
    <row r="555" spans="1:44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39</v>
      </c>
      <c r="L555">
        <v>86</v>
      </c>
      <c r="M555">
        <v>2</v>
      </c>
      <c r="N555">
        <v>1</v>
      </c>
      <c r="O555" t="s">
        <v>47</v>
      </c>
      <c r="P555">
        <v>4</v>
      </c>
      <c r="Q555" t="s">
        <v>41</v>
      </c>
      <c r="R555">
        <v>2342</v>
      </c>
      <c r="S555">
        <v>0</v>
      </c>
      <c r="T555" t="s">
        <v>35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  <c r="AF555">
        <f t="shared" si="104"/>
        <v>0</v>
      </c>
      <c r="AG555">
        <f t="shared" si="105"/>
        <v>1</v>
      </c>
      <c r="AH555" t="str">
        <f t="shared" si="106"/>
        <v>Below College</v>
      </c>
      <c r="AI555" t="str">
        <f t="shared" si="107"/>
        <v>Very High</v>
      </c>
      <c r="AJ555" t="str">
        <f t="shared" si="108"/>
        <v>Medium</v>
      </c>
      <c r="AK555" t="str">
        <f t="shared" si="109"/>
        <v>Entry</v>
      </c>
      <c r="AL555" t="str">
        <f t="shared" si="110"/>
        <v>Very High</v>
      </c>
      <c r="AM555" t="str">
        <f t="shared" si="111"/>
        <v>Very High</v>
      </c>
      <c r="AN555" t="str">
        <f t="shared" si="112"/>
        <v>No Options</v>
      </c>
      <c r="AO555" t="str">
        <f t="shared" si="113"/>
        <v>Good</v>
      </c>
      <c r="AP555" t="str">
        <f t="shared" si="114"/>
        <v>35-44</v>
      </c>
      <c r="AQ555" t="str">
        <f t="shared" si="115"/>
        <v>Low</v>
      </c>
      <c r="AR555" t="str">
        <f t="shared" si="116"/>
        <v>3-5 Years</v>
      </c>
    </row>
    <row r="556" spans="1:44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39</v>
      </c>
      <c r="L556">
        <v>55</v>
      </c>
      <c r="M556">
        <v>2</v>
      </c>
      <c r="N556">
        <v>2</v>
      </c>
      <c r="O556" t="s">
        <v>54</v>
      </c>
      <c r="P556">
        <v>1</v>
      </c>
      <c r="Q556" t="s">
        <v>41</v>
      </c>
      <c r="R556">
        <v>6811</v>
      </c>
      <c r="S556">
        <v>8</v>
      </c>
      <c r="T556" t="s">
        <v>43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  <c r="AF556">
        <f t="shared" si="104"/>
        <v>0</v>
      </c>
      <c r="AG556">
        <f t="shared" si="105"/>
        <v>0</v>
      </c>
      <c r="AH556" t="str">
        <f t="shared" si="106"/>
        <v>Bachelor</v>
      </c>
      <c r="AI556" t="str">
        <f t="shared" si="107"/>
        <v>Very High</v>
      </c>
      <c r="AJ556" t="str">
        <f t="shared" si="108"/>
        <v>Medium</v>
      </c>
      <c r="AK556" t="str">
        <f t="shared" si="109"/>
        <v>Junior</v>
      </c>
      <c r="AL556" t="str">
        <f t="shared" si="110"/>
        <v>Low</v>
      </c>
      <c r="AM556" t="str">
        <f t="shared" si="111"/>
        <v>Low</v>
      </c>
      <c r="AN556" t="str">
        <f t="shared" si="112"/>
        <v>No Options</v>
      </c>
      <c r="AO556" t="str">
        <f t="shared" si="113"/>
        <v>Bad</v>
      </c>
      <c r="AP556" t="str">
        <f t="shared" si="114"/>
        <v>25-34</v>
      </c>
      <c r="AQ556" t="str">
        <f t="shared" si="115"/>
        <v>Lower-Mid</v>
      </c>
      <c r="AR556" t="str">
        <f t="shared" si="116"/>
        <v>6-10 Years</v>
      </c>
    </row>
    <row r="557" spans="1:44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t="s">
        <v>46</v>
      </c>
      <c r="L557">
        <v>83</v>
      </c>
      <c r="M557">
        <v>3</v>
      </c>
      <c r="N557">
        <v>1</v>
      </c>
      <c r="O557" t="s">
        <v>57</v>
      </c>
      <c r="P557">
        <v>2</v>
      </c>
      <c r="Q557" t="s">
        <v>52</v>
      </c>
      <c r="R557">
        <v>2297</v>
      </c>
      <c r="S557">
        <v>1</v>
      </c>
      <c r="T557" t="s">
        <v>43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  <c r="AF557">
        <f t="shared" si="104"/>
        <v>0</v>
      </c>
      <c r="AG557">
        <f t="shared" si="105"/>
        <v>0</v>
      </c>
      <c r="AH557" t="str">
        <f t="shared" si="106"/>
        <v>Bachelor</v>
      </c>
      <c r="AI557" t="str">
        <f t="shared" si="107"/>
        <v>Very High</v>
      </c>
      <c r="AJ557" t="str">
        <f t="shared" si="108"/>
        <v>High</v>
      </c>
      <c r="AK557" t="str">
        <f t="shared" si="109"/>
        <v>Entry</v>
      </c>
      <c r="AL557" t="str">
        <f t="shared" si="110"/>
        <v>Medium</v>
      </c>
      <c r="AM557" t="str">
        <f t="shared" si="111"/>
        <v>Very High</v>
      </c>
      <c r="AN557" t="str">
        <f t="shared" si="112"/>
        <v>Medium</v>
      </c>
      <c r="AO557" t="str">
        <f t="shared" si="113"/>
        <v>Better</v>
      </c>
      <c r="AP557" t="str">
        <f t="shared" si="114"/>
        <v>25-34</v>
      </c>
      <c r="AQ557" t="str">
        <f t="shared" si="115"/>
        <v>Low</v>
      </c>
      <c r="AR557" t="str">
        <f t="shared" si="116"/>
        <v>0-2 Years</v>
      </c>
    </row>
    <row r="558" spans="1:44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46</v>
      </c>
      <c r="L558">
        <v>86</v>
      </c>
      <c r="M558">
        <v>3</v>
      </c>
      <c r="N558">
        <v>2</v>
      </c>
      <c r="O558" t="s">
        <v>50</v>
      </c>
      <c r="P558">
        <v>4</v>
      </c>
      <c r="Q558" t="s">
        <v>41</v>
      </c>
      <c r="R558">
        <v>2450</v>
      </c>
      <c r="S558">
        <v>2</v>
      </c>
      <c r="T558" t="s">
        <v>43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  <c r="AF558">
        <f t="shared" si="104"/>
        <v>0</v>
      </c>
      <c r="AG558">
        <f t="shared" si="105"/>
        <v>0</v>
      </c>
      <c r="AH558" t="str">
        <f t="shared" si="106"/>
        <v>Bachelor</v>
      </c>
      <c r="AI558" t="str">
        <f t="shared" si="107"/>
        <v>Very High</v>
      </c>
      <c r="AJ558" t="str">
        <f t="shared" si="108"/>
        <v>High</v>
      </c>
      <c r="AK558" t="str">
        <f t="shared" si="109"/>
        <v>Junior</v>
      </c>
      <c r="AL558" t="str">
        <f t="shared" si="110"/>
        <v>Very High</v>
      </c>
      <c r="AM558" t="str">
        <f t="shared" si="111"/>
        <v>Very High</v>
      </c>
      <c r="AN558" t="str">
        <f t="shared" si="112"/>
        <v>No Options</v>
      </c>
      <c r="AO558" t="str">
        <f t="shared" si="113"/>
        <v>Better</v>
      </c>
      <c r="AP558" t="str">
        <f t="shared" si="114"/>
        <v>45-54</v>
      </c>
      <c r="AQ558" t="str">
        <f t="shared" si="115"/>
        <v>Low</v>
      </c>
      <c r="AR558" t="str">
        <f t="shared" si="116"/>
        <v>0-2 Years</v>
      </c>
    </row>
    <row r="559" spans="1:44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61</v>
      </c>
      <c r="M559">
        <v>3</v>
      </c>
      <c r="N559">
        <v>2</v>
      </c>
      <c r="O559" t="s">
        <v>54</v>
      </c>
      <c r="P559">
        <v>1</v>
      </c>
      <c r="Q559" t="s">
        <v>52</v>
      </c>
      <c r="R559">
        <v>5093</v>
      </c>
      <c r="S559">
        <v>2</v>
      </c>
      <c r="T559" t="s">
        <v>43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  <c r="AF559">
        <f t="shared" si="104"/>
        <v>0</v>
      </c>
      <c r="AG559">
        <f t="shared" si="105"/>
        <v>0</v>
      </c>
      <c r="AH559" t="str">
        <f t="shared" si="106"/>
        <v>Master</v>
      </c>
      <c r="AI559" t="str">
        <f t="shared" si="107"/>
        <v>Very High</v>
      </c>
      <c r="AJ559" t="str">
        <f t="shared" si="108"/>
        <v>High</v>
      </c>
      <c r="AK559" t="str">
        <f t="shared" si="109"/>
        <v>Junior</v>
      </c>
      <c r="AL559" t="str">
        <f t="shared" si="110"/>
        <v>Low</v>
      </c>
      <c r="AM559" t="str">
        <f t="shared" si="111"/>
        <v>Low</v>
      </c>
      <c r="AN559" t="str">
        <f t="shared" si="112"/>
        <v>Low</v>
      </c>
      <c r="AO559" t="str">
        <f t="shared" si="113"/>
        <v>Best</v>
      </c>
      <c r="AP559" t="str">
        <f t="shared" si="114"/>
        <v>35-44</v>
      </c>
      <c r="AQ559" t="str">
        <f t="shared" si="115"/>
        <v>Lower-Mid</v>
      </c>
      <c r="AR559" t="str">
        <f t="shared" si="116"/>
        <v>0-2 Years</v>
      </c>
    </row>
    <row r="560" spans="1:44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46</v>
      </c>
      <c r="L560">
        <v>80</v>
      </c>
      <c r="M560">
        <v>3</v>
      </c>
      <c r="N560">
        <v>2</v>
      </c>
      <c r="O560" t="s">
        <v>50</v>
      </c>
      <c r="P560">
        <v>4</v>
      </c>
      <c r="Q560" t="s">
        <v>48</v>
      </c>
      <c r="R560">
        <v>5309</v>
      </c>
      <c r="S560">
        <v>1</v>
      </c>
      <c r="T560" t="s">
        <v>43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  <c r="AF560">
        <f t="shared" si="104"/>
        <v>0</v>
      </c>
      <c r="AG560">
        <f t="shared" si="105"/>
        <v>0</v>
      </c>
      <c r="AH560" t="str">
        <f t="shared" si="106"/>
        <v>Master</v>
      </c>
      <c r="AI560" t="str">
        <f t="shared" si="107"/>
        <v>Low</v>
      </c>
      <c r="AJ560" t="str">
        <f t="shared" si="108"/>
        <v>High</v>
      </c>
      <c r="AK560" t="str">
        <f t="shared" si="109"/>
        <v>Junior</v>
      </c>
      <c r="AL560" t="str">
        <f t="shared" si="110"/>
        <v>Very High</v>
      </c>
      <c r="AM560" t="str">
        <f t="shared" si="111"/>
        <v>Very High</v>
      </c>
      <c r="AN560" t="str">
        <f t="shared" si="112"/>
        <v>Medium</v>
      </c>
      <c r="AO560" t="str">
        <f t="shared" si="113"/>
        <v>Better</v>
      </c>
      <c r="AP560" t="str">
        <f t="shared" si="114"/>
        <v>25-34</v>
      </c>
      <c r="AQ560" t="str">
        <f t="shared" si="115"/>
        <v>Lower-Mid</v>
      </c>
      <c r="AR560" t="str">
        <f t="shared" si="116"/>
        <v>6-10 Years</v>
      </c>
    </row>
    <row r="561" spans="1:44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46</v>
      </c>
      <c r="L561">
        <v>92</v>
      </c>
      <c r="M561">
        <v>3</v>
      </c>
      <c r="N561">
        <v>1</v>
      </c>
      <c r="O561" t="s">
        <v>47</v>
      </c>
      <c r="P561">
        <v>3</v>
      </c>
      <c r="Q561" t="s">
        <v>48</v>
      </c>
      <c r="R561">
        <v>3057</v>
      </c>
      <c r="S561">
        <v>6</v>
      </c>
      <c r="T561" t="s">
        <v>35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  <c r="AF561">
        <f t="shared" si="104"/>
        <v>0</v>
      </c>
      <c r="AG561">
        <f t="shared" si="105"/>
        <v>1</v>
      </c>
      <c r="AH561" t="str">
        <f t="shared" si="106"/>
        <v>Doctor</v>
      </c>
      <c r="AI561" t="str">
        <f t="shared" si="107"/>
        <v>Very High</v>
      </c>
      <c r="AJ561" t="str">
        <f t="shared" si="108"/>
        <v>High</v>
      </c>
      <c r="AK561" t="str">
        <f t="shared" si="109"/>
        <v>Entry</v>
      </c>
      <c r="AL561" t="str">
        <f t="shared" si="110"/>
        <v>High</v>
      </c>
      <c r="AM561" t="str">
        <f t="shared" si="111"/>
        <v>Medium</v>
      </c>
      <c r="AN561" t="str">
        <f t="shared" si="112"/>
        <v>Low</v>
      </c>
      <c r="AO561" t="str">
        <f t="shared" si="113"/>
        <v>Bad</v>
      </c>
      <c r="AP561" t="str">
        <f t="shared" si="114"/>
        <v>35-44</v>
      </c>
      <c r="AQ561" t="str">
        <f t="shared" si="115"/>
        <v>Lower-Mid</v>
      </c>
      <c r="AR561" t="str">
        <f t="shared" si="116"/>
        <v>0-2 Years</v>
      </c>
    </row>
    <row r="562" spans="1:44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32</v>
      </c>
      <c r="M562">
        <v>3</v>
      </c>
      <c r="N562">
        <v>2</v>
      </c>
      <c r="O562" t="s">
        <v>53</v>
      </c>
      <c r="P562">
        <v>1</v>
      </c>
      <c r="Q562" t="s">
        <v>52</v>
      </c>
      <c r="R562">
        <v>5121</v>
      </c>
      <c r="S562">
        <v>3</v>
      </c>
      <c r="T562" t="s">
        <v>43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  <c r="AF562">
        <f t="shared" si="104"/>
        <v>0</v>
      </c>
      <c r="AG562">
        <f t="shared" si="105"/>
        <v>0</v>
      </c>
      <c r="AH562" t="str">
        <f t="shared" si="106"/>
        <v>Doctor</v>
      </c>
      <c r="AI562" t="str">
        <f t="shared" si="107"/>
        <v>Medium</v>
      </c>
      <c r="AJ562" t="str">
        <f t="shared" si="108"/>
        <v>High</v>
      </c>
      <c r="AK562" t="str">
        <f t="shared" si="109"/>
        <v>Junior</v>
      </c>
      <c r="AL562" t="str">
        <f t="shared" si="110"/>
        <v>Low</v>
      </c>
      <c r="AM562" t="str">
        <f t="shared" si="111"/>
        <v>High</v>
      </c>
      <c r="AN562" t="str">
        <f t="shared" si="112"/>
        <v>Low</v>
      </c>
      <c r="AO562" t="str">
        <f t="shared" si="113"/>
        <v>Better</v>
      </c>
      <c r="AP562" t="str">
        <f t="shared" si="114"/>
        <v>25-34</v>
      </c>
      <c r="AQ562" t="str">
        <f t="shared" si="115"/>
        <v>Lower-Mid</v>
      </c>
      <c r="AR562" t="str">
        <f t="shared" si="116"/>
        <v>0-2 Years</v>
      </c>
    </row>
    <row r="563" spans="1:44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t="s">
        <v>46</v>
      </c>
      <c r="L563">
        <v>31</v>
      </c>
      <c r="M563">
        <v>2</v>
      </c>
      <c r="N563">
        <v>4</v>
      </c>
      <c r="O563" t="s">
        <v>56</v>
      </c>
      <c r="P563">
        <v>1</v>
      </c>
      <c r="Q563" t="s">
        <v>48</v>
      </c>
      <c r="R563">
        <v>16856</v>
      </c>
      <c r="S563">
        <v>1</v>
      </c>
      <c r="T563" t="s">
        <v>43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  <c r="AF563">
        <f t="shared" si="104"/>
        <v>0</v>
      </c>
      <c r="AG563">
        <f t="shared" si="105"/>
        <v>0</v>
      </c>
      <c r="AH563" t="str">
        <f t="shared" si="106"/>
        <v>Master</v>
      </c>
      <c r="AI563" t="str">
        <f t="shared" si="107"/>
        <v>High</v>
      </c>
      <c r="AJ563" t="str">
        <f t="shared" si="108"/>
        <v>Medium</v>
      </c>
      <c r="AK563" t="str">
        <f t="shared" si="109"/>
        <v>Senior</v>
      </c>
      <c r="AL563" t="str">
        <f t="shared" si="110"/>
        <v>Low</v>
      </c>
      <c r="AM563" t="str">
        <f t="shared" si="111"/>
        <v>Low</v>
      </c>
      <c r="AN563" t="str">
        <f t="shared" si="112"/>
        <v>No Options</v>
      </c>
      <c r="AO563" t="str">
        <f t="shared" si="113"/>
        <v>Best</v>
      </c>
      <c r="AP563" t="str">
        <f t="shared" si="114"/>
        <v>45-54</v>
      </c>
      <c r="AQ563" t="str">
        <f t="shared" si="115"/>
        <v>High</v>
      </c>
      <c r="AR563" t="str">
        <f t="shared" si="116"/>
        <v>20+ Years</v>
      </c>
    </row>
    <row r="564" spans="1:44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63</v>
      </c>
      <c r="M564">
        <v>3</v>
      </c>
      <c r="N564">
        <v>1</v>
      </c>
      <c r="O564" t="s">
        <v>47</v>
      </c>
      <c r="P564">
        <v>4</v>
      </c>
      <c r="Q564" t="s">
        <v>41</v>
      </c>
      <c r="R564">
        <v>2686</v>
      </c>
      <c r="S564">
        <v>1</v>
      </c>
      <c r="T564" t="s">
        <v>35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  <c r="AF564">
        <f t="shared" si="104"/>
        <v>1</v>
      </c>
      <c r="AG564">
        <f t="shared" si="105"/>
        <v>1</v>
      </c>
      <c r="AH564" t="str">
        <f t="shared" si="106"/>
        <v>Master</v>
      </c>
      <c r="AI564" t="str">
        <f t="shared" si="107"/>
        <v>Very High</v>
      </c>
      <c r="AJ564" t="str">
        <f t="shared" si="108"/>
        <v>High</v>
      </c>
      <c r="AK564" t="str">
        <f t="shared" si="109"/>
        <v>Entry</v>
      </c>
      <c r="AL564" t="str">
        <f t="shared" si="110"/>
        <v>Very High</v>
      </c>
      <c r="AM564" t="str">
        <f t="shared" si="111"/>
        <v>High</v>
      </c>
      <c r="AN564" t="str">
        <f t="shared" si="112"/>
        <v>No Options</v>
      </c>
      <c r="AO564" t="str">
        <f t="shared" si="113"/>
        <v>Good</v>
      </c>
      <c r="AP564" t="str">
        <f t="shared" si="114"/>
        <v>25-34</v>
      </c>
      <c r="AQ564" t="str">
        <f t="shared" si="115"/>
        <v>Low</v>
      </c>
      <c r="AR564" t="str">
        <f t="shared" si="116"/>
        <v>6-10 Years</v>
      </c>
    </row>
    <row r="565" spans="1:44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39</v>
      </c>
      <c r="L565">
        <v>32</v>
      </c>
      <c r="M565">
        <v>3</v>
      </c>
      <c r="N565">
        <v>2</v>
      </c>
      <c r="O565" t="s">
        <v>40</v>
      </c>
      <c r="P565">
        <v>4</v>
      </c>
      <c r="Q565" t="s">
        <v>41</v>
      </c>
      <c r="R565">
        <v>6180</v>
      </c>
      <c r="S565">
        <v>1</v>
      </c>
      <c r="T565" t="s">
        <v>43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  <c r="AF565">
        <f t="shared" si="104"/>
        <v>0</v>
      </c>
      <c r="AG565">
        <f t="shared" si="105"/>
        <v>0</v>
      </c>
      <c r="AH565" t="str">
        <f t="shared" si="106"/>
        <v>Below College</v>
      </c>
      <c r="AI565" t="str">
        <f t="shared" si="107"/>
        <v>High</v>
      </c>
      <c r="AJ565" t="str">
        <f t="shared" si="108"/>
        <v>High</v>
      </c>
      <c r="AK565" t="str">
        <f t="shared" si="109"/>
        <v>Junior</v>
      </c>
      <c r="AL565" t="str">
        <f t="shared" si="110"/>
        <v>Very High</v>
      </c>
      <c r="AM565" t="str">
        <f t="shared" si="111"/>
        <v>Medium</v>
      </c>
      <c r="AN565" t="str">
        <f t="shared" si="112"/>
        <v>No Options</v>
      </c>
      <c r="AO565" t="str">
        <f t="shared" si="113"/>
        <v>Good</v>
      </c>
      <c r="AP565" t="str">
        <f t="shared" si="114"/>
        <v>25-34</v>
      </c>
      <c r="AQ565" t="str">
        <f t="shared" si="115"/>
        <v>Lower-Mid</v>
      </c>
      <c r="AR565" t="str">
        <f t="shared" si="116"/>
        <v>6-10 Years</v>
      </c>
    </row>
    <row r="566" spans="1:44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t="s">
        <v>46</v>
      </c>
      <c r="L566">
        <v>46</v>
      </c>
      <c r="M566">
        <v>1</v>
      </c>
      <c r="N566">
        <v>2</v>
      </c>
      <c r="O566" t="s">
        <v>57</v>
      </c>
      <c r="P566">
        <v>3</v>
      </c>
      <c r="Q566" t="s">
        <v>41</v>
      </c>
      <c r="R566">
        <v>6632</v>
      </c>
      <c r="S566">
        <v>0</v>
      </c>
      <c r="T566" t="s">
        <v>43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  <c r="AF566">
        <f t="shared" si="104"/>
        <v>0</v>
      </c>
      <c r="AG566">
        <f t="shared" si="105"/>
        <v>0</v>
      </c>
      <c r="AH566" t="str">
        <f t="shared" si="106"/>
        <v>College</v>
      </c>
      <c r="AI566" t="str">
        <f t="shared" si="107"/>
        <v>Medium</v>
      </c>
      <c r="AJ566" t="str">
        <f t="shared" si="108"/>
        <v>Low</v>
      </c>
      <c r="AK566" t="str">
        <f t="shared" si="109"/>
        <v>Junior</v>
      </c>
      <c r="AL566" t="str">
        <f t="shared" si="110"/>
        <v>High</v>
      </c>
      <c r="AM566" t="str">
        <f t="shared" si="111"/>
        <v>Low</v>
      </c>
      <c r="AN566" t="str">
        <f t="shared" si="112"/>
        <v>No Options</v>
      </c>
      <c r="AO566" t="str">
        <f t="shared" si="113"/>
        <v>Better</v>
      </c>
      <c r="AP566" t="str">
        <f t="shared" si="114"/>
        <v>45-54</v>
      </c>
      <c r="AQ566" t="str">
        <f t="shared" si="115"/>
        <v>Lower-Mid</v>
      </c>
      <c r="AR566" t="str">
        <f t="shared" si="116"/>
        <v>6-10 Years</v>
      </c>
    </row>
    <row r="567" spans="1:44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46</v>
      </c>
      <c r="L567">
        <v>79</v>
      </c>
      <c r="M567">
        <v>4</v>
      </c>
      <c r="N567">
        <v>1</v>
      </c>
      <c r="O567" t="s">
        <v>47</v>
      </c>
      <c r="P567">
        <v>3</v>
      </c>
      <c r="Q567" t="s">
        <v>41</v>
      </c>
      <c r="R567">
        <v>3505</v>
      </c>
      <c r="S567">
        <v>1</v>
      </c>
      <c r="T567" t="s">
        <v>43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  <c r="AF567">
        <f t="shared" si="104"/>
        <v>0</v>
      </c>
      <c r="AG567">
        <f t="shared" si="105"/>
        <v>0</v>
      </c>
      <c r="AH567" t="str">
        <f t="shared" si="106"/>
        <v>Below College</v>
      </c>
      <c r="AI567" t="str">
        <f t="shared" si="107"/>
        <v>Low</v>
      </c>
      <c r="AJ567" t="str">
        <f t="shared" si="108"/>
        <v>Very High</v>
      </c>
      <c r="AK567" t="str">
        <f t="shared" si="109"/>
        <v>Entry</v>
      </c>
      <c r="AL567" t="str">
        <f t="shared" si="110"/>
        <v>High</v>
      </c>
      <c r="AM567" t="str">
        <f t="shared" si="111"/>
        <v>Very High</v>
      </c>
      <c r="AN567" t="str">
        <f t="shared" si="112"/>
        <v>No Options</v>
      </c>
      <c r="AO567" t="str">
        <f t="shared" si="113"/>
        <v>Better</v>
      </c>
      <c r="AP567" t="str">
        <f t="shared" si="114"/>
        <v>Under 25</v>
      </c>
      <c r="AQ567" t="str">
        <f t="shared" si="115"/>
        <v>Lower-Mid</v>
      </c>
      <c r="AR567" t="str">
        <f t="shared" si="116"/>
        <v>0-2 Years</v>
      </c>
    </row>
    <row r="568" spans="1:44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77</v>
      </c>
      <c r="M568">
        <v>4</v>
      </c>
      <c r="N568">
        <v>2</v>
      </c>
      <c r="O568" t="s">
        <v>40</v>
      </c>
      <c r="P568">
        <v>3</v>
      </c>
      <c r="Q568" t="s">
        <v>41</v>
      </c>
      <c r="R568">
        <v>6397</v>
      </c>
      <c r="S568">
        <v>4</v>
      </c>
      <c r="T568" t="s">
        <v>35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  <c r="AF568">
        <f t="shared" si="104"/>
        <v>1</v>
      </c>
      <c r="AG568">
        <f t="shared" si="105"/>
        <v>1</v>
      </c>
      <c r="AH568" t="str">
        <f t="shared" si="106"/>
        <v>College</v>
      </c>
      <c r="AI568" t="str">
        <f t="shared" si="107"/>
        <v>Medium</v>
      </c>
      <c r="AJ568" t="str">
        <f t="shared" si="108"/>
        <v>Very High</v>
      </c>
      <c r="AK568" t="str">
        <f t="shared" si="109"/>
        <v>Junior</v>
      </c>
      <c r="AL568" t="str">
        <f t="shared" si="110"/>
        <v>High</v>
      </c>
      <c r="AM568" t="str">
        <f t="shared" si="111"/>
        <v>Very High</v>
      </c>
      <c r="AN568" t="str">
        <f t="shared" si="112"/>
        <v>No Options</v>
      </c>
      <c r="AO568" t="str">
        <f t="shared" si="113"/>
        <v>Better</v>
      </c>
      <c r="AP568" t="str">
        <f t="shared" si="114"/>
        <v>45-54</v>
      </c>
      <c r="AQ568" t="str">
        <f t="shared" si="115"/>
        <v>Lower-Mid</v>
      </c>
      <c r="AR568" t="str">
        <f t="shared" si="116"/>
        <v>3-5 Years</v>
      </c>
    </row>
    <row r="569" spans="1:44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60</v>
      </c>
      <c r="M569">
        <v>3</v>
      </c>
      <c r="N569">
        <v>2</v>
      </c>
      <c r="O569" t="s">
        <v>40</v>
      </c>
      <c r="P569">
        <v>4</v>
      </c>
      <c r="Q569" t="s">
        <v>41</v>
      </c>
      <c r="R569">
        <v>6274</v>
      </c>
      <c r="S569">
        <v>1</v>
      </c>
      <c r="T569" t="s">
        <v>43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  <c r="AF569">
        <f t="shared" si="104"/>
        <v>0</v>
      </c>
      <c r="AG569">
        <f t="shared" si="105"/>
        <v>0</v>
      </c>
      <c r="AH569" t="str">
        <f t="shared" si="106"/>
        <v>Bachelor</v>
      </c>
      <c r="AI569" t="str">
        <f t="shared" si="107"/>
        <v>Very High</v>
      </c>
      <c r="AJ569" t="str">
        <f t="shared" si="108"/>
        <v>High</v>
      </c>
      <c r="AK569" t="str">
        <f t="shared" si="109"/>
        <v>Junior</v>
      </c>
      <c r="AL569" t="str">
        <f t="shared" si="110"/>
        <v>Very High</v>
      </c>
      <c r="AM569" t="str">
        <f t="shared" si="111"/>
        <v>High</v>
      </c>
      <c r="AN569" t="str">
        <f t="shared" si="112"/>
        <v>No Options</v>
      </c>
      <c r="AO569" t="str">
        <f t="shared" si="113"/>
        <v>Better</v>
      </c>
      <c r="AP569" t="str">
        <f t="shared" si="114"/>
        <v>25-34</v>
      </c>
      <c r="AQ569" t="str">
        <f t="shared" si="115"/>
        <v>Lower-Mid</v>
      </c>
      <c r="AR569" t="str">
        <f t="shared" si="116"/>
        <v>6-10 Years</v>
      </c>
    </row>
    <row r="570" spans="1:44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46</v>
      </c>
      <c r="L570">
        <v>78</v>
      </c>
      <c r="M570">
        <v>3</v>
      </c>
      <c r="N570">
        <v>5</v>
      </c>
      <c r="O570" t="s">
        <v>56</v>
      </c>
      <c r="P570">
        <v>1</v>
      </c>
      <c r="Q570" t="s">
        <v>48</v>
      </c>
      <c r="R570">
        <v>19859</v>
      </c>
      <c r="S570">
        <v>5</v>
      </c>
      <c r="T570" t="s">
        <v>35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  <c r="AF570">
        <f t="shared" si="104"/>
        <v>1</v>
      </c>
      <c r="AG570">
        <f t="shared" si="105"/>
        <v>1</v>
      </c>
      <c r="AH570" t="str">
        <f t="shared" si="106"/>
        <v>Bachelor</v>
      </c>
      <c r="AI570" t="str">
        <f t="shared" si="107"/>
        <v>Very High</v>
      </c>
      <c r="AJ570" t="str">
        <f t="shared" si="108"/>
        <v>High</v>
      </c>
      <c r="AK570" t="str">
        <f t="shared" si="109"/>
        <v>Executive</v>
      </c>
      <c r="AL570" t="str">
        <f t="shared" si="110"/>
        <v>Low</v>
      </c>
      <c r="AM570" t="str">
        <f t="shared" si="111"/>
        <v>Very High</v>
      </c>
      <c r="AN570" t="str">
        <f t="shared" si="112"/>
        <v>Low</v>
      </c>
      <c r="AO570" t="str">
        <f t="shared" si="113"/>
        <v>Better</v>
      </c>
      <c r="AP570" t="str">
        <f t="shared" si="114"/>
        <v>55+</v>
      </c>
      <c r="AQ570" t="str">
        <f t="shared" si="115"/>
        <v>High</v>
      </c>
      <c r="AR570" t="str">
        <f t="shared" si="116"/>
        <v>3-5 Years</v>
      </c>
    </row>
    <row r="571" spans="1:44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46</v>
      </c>
      <c r="L571">
        <v>76</v>
      </c>
      <c r="M571">
        <v>2</v>
      </c>
      <c r="N571">
        <v>3</v>
      </c>
      <c r="O571" t="s">
        <v>40</v>
      </c>
      <c r="P571">
        <v>1</v>
      </c>
      <c r="Q571" t="s">
        <v>41</v>
      </c>
      <c r="R571">
        <v>7587</v>
      </c>
      <c r="S571">
        <v>1</v>
      </c>
      <c r="T571" t="s">
        <v>43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  <c r="AF571">
        <f t="shared" si="104"/>
        <v>0</v>
      </c>
      <c r="AG571">
        <f t="shared" si="105"/>
        <v>0</v>
      </c>
      <c r="AH571" t="str">
        <f t="shared" si="106"/>
        <v>Master</v>
      </c>
      <c r="AI571" t="str">
        <f t="shared" si="107"/>
        <v>Low</v>
      </c>
      <c r="AJ571" t="str">
        <f t="shared" si="108"/>
        <v>Medium</v>
      </c>
      <c r="AK571" t="str">
        <f t="shared" si="109"/>
        <v>Mid-Level</v>
      </c>
      <c r="AL571" t="str">
        <f t="shared" si="110"/>
        <v>Low</v>
      </c>
      <c r="AM571" t="str">
        <f t="shared" si="111"/>
        <v>Medium</v>
      </c>
      <c r="AN571" t="str">
        <f t="shared" si="112"/>
        <v>No Options</v>
      </c>
      <c r="AO571" t="str">
        <f t="shared" si="113"/>
        <v>Better</v>
      </c>
      <c r="AP571" t="str">
        <f t="shared" si="114"/>
        <v>35-44</v>
      </c>
      <c r="AQ571" t="str">
        <f t="shared" si="115"/>
        <v>Upper-Mid</v>
      </c>
      <c r="AR571" t="str">
        <f t="shared" si="116"/>
        <v>6-10 Years</v>
      </c>
    </row>
    <row r="572" spans="1:44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46</v>
      </c>
      <c r="L572">
        <v>41</v>
      </c>
      <c r="M572">
        <v>3</v>
      </c>
      <c r="N572">
        <v>1</v>
      </c>
      <c r="O572" t="s">
        <v>47</v>
      </c>
      <c r="P572">
        <v>4</v>
      </c>
      <c r="Q572" t="s">
        <v>48</v>
      </c>
      <c r="R572">
        <v>4258</v>
      </c>
      <c r="S572">
        <v>0</v>
      </c>
      <c r="T572" t="s">
        <v>43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  <c r="AF572">
        <f t="shared" si="104"/>
        <v>0</v>
      </c>
      <c r="AG572">
        <f t="shared" si="105"/>
        <v>0</v>
      </c>
      <c r="AH572" t="str">
        <f t="shared" si="106"/>
        <v>Master</v>
      </c>
      <c r="AI572" t="str">
        <f t="shared" si="107"/>
        <v>Very High</v>
      </c>
      <c r="AJ572" t="str">
        <f t="shared" si="108"/>
        <v>High</v>
      </c>
      <c r="AK572" t="str">
        <f t="shared" si="109"/>
        <v>Entry</v>
      </c>
      <c r="AL572" t="str">
        <f t="shared" si="110"/>
        <v>Very High</v>
      </c>
      <c r="AM572" t="str">
        <f t="shared" si="111"/>
        <v>Low</v>
      </c>
      <c r="AN572" t="str">
        <f t="shared" si="112"/>
        <v>Low</v>
      </c>
      <c r="AO572" t="str">
        <f t="shared" si="113"/>
        <v>Better</v>
      </c>
      <c r="AP572" t="str">
        <f t="shared" si="114"/>
        <v>45-54</v>
      </c>
      <c r="AQ572" t="str">
        <f t="shared" si="115"/>
        <v>Lower-Mid</v>
      </c>
      <c r="AR572" t="str">
        <f t="shared" si="116"/>
        <v>3-5 Years</v>
      </c>
    </row>
    <row r="573" spans="1:44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71</v>
      </c>
      <c r="M573">
        <v>1</v>
      </c>
      <c r="N573">
        <v>1</v>
      </c>
      <c r="O573" t="s">
        <v>50</v>
      </c>
      <c r="P573">
        <v>4</v>
      </c>
      <c r="Q573" t="s">
        <v>52</v>
      </c>
      <c r="R573">
        <v>4364</v>
      </c>
      <c r="S573">
        <v>3</v>
      </c>
      <c r="T573" t="s">
        <v>43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  <c r="AF573">
        <f t="shared" si="104"/>
        <v>0</v>
      </c>
      <c r="AG573">
        <f t="shared" si="105"/>
        <v>0</v>
      </c>
      <c r="AH573" t="str">
        <f t="shared" si="106"/>
        <v>College</v>
      </c>
      <c r="AI573" t="str">
        <f t="shared" si="107"/>
        <v>Low</v>
      </c>
      <c r="AJ573" t="str">
        <f t="shared" si="108"/>
        <v>Low</v>
      </c>
      <c r="AK573" t="str">
        <f t="shared" si="109"/>
        <v>Entry</v>
      </c>
      <c r="AL573" t="str">
        <f t="shared" si="110"/>
        <v>Very High</v>
      </c>
      <c r="AM573" t="str">
        <f t="shared" si="111"/>
        <v>Low</v>
      </c>
      <c r="AN573" t="str">
        <f t="shared" si="112"/>
        <v>Low</v>
      </c>
      <c r="AO573" t="str">
        <f t="shared" si="113"/>
        <v>Better</v>
      </c>
      <c r="AP573" t="str">
        <f t="shared" si="114"/>
        <v>25-34</v>
      </c>
      <c r="AQ573" t="str">
        <f t="shared" si="115"/>
        <v>Lower-Mid</v>
      </c>
      <c r="AR573" t="str">
        <f t="shared" si="116"/>
        <v>0-2 Years</v>
      </c>
    </row>
    <row r="574" spans="1:44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39</v>
      </c>
      <c r="L574">
        <v>66</v>
      </c>
      <c r="M574">
        <v>3</v>
      </c>
      <c r="N574">
        <v>2</v>
      </c>
      <c r="O574" t="s">
        <v>54</v>
      </c>
      <c r="P574">
        <v>3</v>
      </c>
      <c r="Q574" t="s">
        <v>48</v>
      </c>
      <c r="R574">
        <v>4335</v>
      </c>
      <c r="S574">
        <v>4</v>
      </c>
      <c r="T574" t="s">
        <v>43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  <c r="AF574">
        <f t="shared" si="104"/>
        <v>0</v>
      </c>
      <c r="AG574">
        <f t="shared" si="105"/>
        <v>0</v>
      </c>
      <c r="AH574" t="str">
        <f t="shared" si="106"/>
        <v>Bachelor</v>
      </c>
      <c r="AI574" t="str">
        <f t="shared" si="107"/>
        <v>Medium</v>
      </c>
      <c r="AJ574" t="str">
        <f t="shared" si="108"/>
        <v>High</v>
      </c>
      <c r="AK574" t="str">
        <f t="shared" si="109"/>
        <v>Junior</v>
      </c>
      <c r="AL574" t="str">
        <f t="shared" si="110"/>
        <v>High</v>
      </c>
      <c r="AM574" t="str">
        <f t="shared" si="111"/>
        <v>Low</v>
      </c>
      <c r="AN574" t="str">
        <f t="shared" si="112"/>
        <v>Low</v>
      </c>
      <c r="AO574" t="str">
        <f t="shared" si="113"/>
        <v>Good</v>
      </c>
      <c r="AP574" t="str">
        <f t="shared" si="114"/>
        <v>25-34</v>
      </c>
      <c r="AQ574" t="str">
        <f t="shared" si="115"/>
        <v>Lower-Mid</v>
      </c>
      <c r="AR574" t="str">
        <f t="shared" si="116"/>
        <v>6-10 Years</v>
      </c>
    </row>
    <row r="575" spans="1:44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t="s">
        <v>46</v>
      </c>
      <c r="L575">
        <v>38</v>
      </c>
      <c r="M575">
        <v>2</v>
      </c>
      <c r="N575">
        <v>2</v>
      </c>
      <c r="O575" t="s">
        <v>40</v>
      </c>
      <c r="P575">
        <v>1</v>
      </c>
      <c r="Q575" t="s">
        <v>41</v>
      </c>
      <c r="R575">
        <v>5326</v>
      </c>
      <c r="S575">
        <v>6</v>
      </c>
      <c r="T575" t="s">
        <v>43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  <c r="AF575">
        <f t="shared" si="104"/>
        <v>1</v>
      </c>
      <c r="AG575">
        <f t="shared" si="105"/>
        <v>0</v>
      </c>
      <c r="AH575" t="str">
        <f t="shared" si="106"/>
        <v>Bachelor</v>
      </c>
      <c r="AI575" t="str">
        <f t="shared" si="107"/>
        <v>Very High</v>
      </c>
      <c r="AJ575" t="str">
        <f t="shared" si="108"/>
        <v>Medium</v>
      </c>
      <c r="AK575" t="str">
        <f t="shared" si="109"/>
        <v>Junior</v>
      </c>
      <c r="AL575" t="str">
        <f t="shared" si="110"/>
        <v>Low</v>
      </c>
      <c r="AM575" t="str">
        <f t="shared" si="111"/>
        <v>High</v>
      </c>
      <c r="AN575" t="str">
        <f t="shared" si="112"/>
        <v>No Options</v>
      </c>
      <c r="AO575" t="str">
        <f t="shared" si="113"/>
        <v>Good</v>
      </c>
      <c r="AP575" t="str">
        <f t="shared" si="114"/>
        <v>25-34</v>
      </c>
      <c r="AQ575" t="str">
        <f t="shared" si="115"/>
        <v>Lower-Mid</v>
      </c>
      <c r="AR575" t="str">
        <f t="shared" si="116"/>
        <v>3-5 Years</v>
      </c>
    </row>
    <row r="576" spans="1:44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72</v>
      </c>
      <c r="M576">
        <v>4</v>
      </c>
      <c r="N576">
        <v>1</v>
      </c>
      <c r="O576" t="s">
        <v>47</v>
      </c>
      <c r="P576">
        <v>4</v>
      </c>
      <c r="Q576" t="s">
        <v>41</v>
      </c>
      <c r="R576">
        <v>3280</v>
      </c>
      <c r="S576">
        <v>2</v>
      </c>
      <c r="T576" t="s">
        <v>43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  <c r="AF576">
        <f t="shared" si="104"/>
        <v>0</v>
      </c>
      <c r="AG576">
        <f t="shared" si="105"/>
        <v>0</v>
      </c>
      <c r="AH576" t="str">
        <f t="shared" si="106"/>
        <v>Master</v>
      </c>
      <c r="AI576" t="str">
        <f t="shared" si="107"/>
        <v>Medium</v>
      </c>
      <c r="AJ576" t="str">
        <f t="shared" si="108"/>
        <v>Very High</v>
      </c>
      <c r="AK576" t="str">
        <f t="shared" si="109"/>
        <v>Entry</v>
      </c>
      <c r="AL576" t="str">
        <f t="shared" si="110"/>
        <v>Very High</v>
      </c>
      <c r="AM576" t="str">
        <f t="shared" si="111"/>
        <v>High</v>
      </c>
      <c r="AN576" t="str">
        <f t="shared" si="112"/>
        <v>No Options</v>
      </c>
      <c r="AO576" t="str">
        <f t="shared" si="113"/>
        <v>Better</v>
      </c>
      <c r="AP576" t="str">
        <f t="shared" si="114"/>
        <v>25-34</v>
      </c>
      <c r="AQ576" t="str">
        <f t="shared" si="115"/>
        <v>Lower-Mid</v>
      </c>
      <c r="AR576" t="str">
        <f t="shared" si="116"/>
        <v>3-5 Years</v>
      </c>
    </row>
    <row r="577" spans="1:44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39</v>
      </c>
      <c r="L577">
        <v>95</v>
      </c>
      <c r="M577">
        <v>3</v>
      </c>
      <c r="N577">
        <v>2</v>
      </c>
      <c r="O577" t="s">
        <v>53</v>
      </c>
      <c r="P577">
        <v>1</v>
      </c>
      <c r="Q577" t="s">
        <v>52</v>
      </c>
      <c r="R577">
        <v>5485</v>
      </c>
      <c r="S577">
        <v>9</v>
      </c>
      <c r="T577" t="s">
        <v>35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  <c r="AF577">
        <f t="shared" si="104"/>
        <v>0</v>
      </c>
      <c r="AG577">
        <f t="shared" si="105"/>
        <v>1</v>
      </c>
      <c r="AH577" t="str">
        <f t="shared" si="106"/>
        <v>Master</v>
      </c>
      <c r="AI577" t="str">
        <f t="shared" si="107"/>
        <v>Very High</v>
      </c>
      <c r="AJ577" t="str">
        <f t="shared" si="108"/>
        <v>High</v>
      </c>
      <c r="AK577" t="str">
        <f t="shared" si="109"/>
        <v>Junior</v>
      </c>
      <c r="AL577" t="str">
        <f t="shared" si="110"/>
        <v>Low</v>
      </c>
      <c r="AM577" t="str">
        <f t="shared" si="111"/>
        <v>Medium</v>
      </c>
      <c r="AN577" t="str">
        <f t="shared" si="112"/>
        <v>Medium</v>
      </c>
      <c r="AO577" t="str">
        <f t="shared" si="113"/>
        <v>Better</v>
      </c>
      <c r="AP577" t="str">
        <f t="shared" si="114"/>
        <v>45-54</v>
      </c>
      <c r="AQ577" t="str">
        <f t="shared" si="115"/>
        <v>Lower-Mid</v>
      </c>
      <c r="AR577" t="str">
        <f t="shared" si="116"/>
        <v>3-5 Years</v>
      </c>
    </row>
    <row r="578" spans="1:44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t="s">
        <v>46</v>
      </c>
      <c r="L578">
        <v>84</v>
      </c>
      <c r="M578">
        <v>3</v>
      </c>
      <c r="N578">
        <v>2</v>
      </c>
      <c r="O578" t="s">
        <v>40</v>
      </c>
      <c r="P578">
        <v>4</v>
      </c>
      <c r="Q578" t="s">
        <v>48</v>
      </c>
      <c r="R578">
        <v>4342</v>
      </c>
      <c r="S578">
        <v>0</v>
      </c>
      <c r="T578" t="s">
        <v>43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  <c r="AF578">
        <f t="shared" si="104"/>
        <v>0</v>
      </c>
      <c r="AG578">
        <f t="shared" si="105"/>
        <v>0</v>
      </c>
      <c r="AH578" t="str">
        <f t="shared" si="106"/>
        <v>Below College</v>
      </c>
      <c r="AI578" t="str">
        <f t="shared" si="107"/>
        <v>High</v>
      </c>
      <c r="AJ578" t="str">
        <f t="shared" si="108"/>
        <v>High</v>
      </c>
      <c r="AK578" t="str">
        <f t="shared" si="109"/>
        <v>Junior</v>
      </c>
      <c r="AL578" t="str">
        <f t="shared" si="110"/>
        <v>Very High</v>
      </c>
      <c r="AM578" t="str">
        <f t="shared" si="111"/>
        <v>Medium</v>
      </c>
      <c r="AN578" t="str">
        <f t="shared" si="112"/>
        <v>Low</v>
      </c>
      <c r="AO578" t="str">
        <f t="shared" si="113"/>
        <v>Better</v>
      </c>
      <c r="AP578" t="str">
        <f t="shared" si="114"/>
        <v>25-34</v>
      </c>
      <c r="AQ578" t="str">
        <f t="shared" si="115"/>
        <v>Lower-Mid</v>
      </c>
      <c r="AR578" t="str">
        <f t="shared" si="116"/>
        <v>3-5 Years</v>
      </c>
    </row>
    <row r="579" spans="1:44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82</v>
      </c>
      <c r="M579">
        <v>3</v>
      </c>
      <c r="N579">
        <v>1</v>
      </c>
      <c r="O579" t="s">
        <v>47</v>
      </c>
      <c r="P579">
        <v>1</v>
      </c>
      <c r="Q579" t="s">
        <v>52</v>
      </c>
      <c r="R579">
        <v>2782</v>
      </c>
      <c r="S579">
        <v>0</v>
      </c>
      <c r="T579" t="s">
        <v>35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  <c r="AF579">
        <f t="shared" ref="AF579:AF642" si="117">IF(B579="Yes",1,0)</f>
        <v>0</v>
      </c>
      <c r="AG579">
        <f t="shared" ref="AG579:AG642" si="118">IF(T579="Yes",1,0)</f>
        <v>1</v>
      </c>
      <c r="AH579" t="str">
        <f t="shared" ref="AH579:AH642" si="119">CHOOSE(G579,"Below College","College","Bachelor","Master","Doctor")</f>
        <v>Below College</v>
      </c>
      <c r="AI579" t="str">
        <f t="shared" ref="AI579:AI642" si="120">CHOOSE(J579,"Low","Medium","High","Very High")</f>
        <v>Very High</v>
      </c>
      <c r="AJ579" t="str">
        <f t="shared" ref="AJ579:AJ642" si="121">CHOOSE(M579,"Low","Medium","High","Very High")</f>
        <v>High</v>
      </c>
      <c r="AK579" t="str">
        <f t="shared" ref="AK579:AK642" si="122">CHOOSE(N579,"Entry","Junior","Mid-Level","Senior","Executive")</f>
        <v>Entry</v>
      </c>
      <c r="AL579" t="str">
        <f t="shared" ref="AL579:AL642" si="123">CHOOSE(P579,"Low","Medium","High","Very High")</f>
        <v>Low</v>
      </c>
      <c r="AM579" t="str">
        <f t="shared" ref="AM579:AM642" si="124">CHOOSE(W579,"Low","Medium","High","Very High")</f>
        <v>Medium</v>
      </c>
      <c r="AN579" t="str">
        <f t="shared" ref="AN579:AN642" si="125">CHOOSE(X579+1,"No Options","Low","Medium","High")</f>
        <v>Medium</v>
      </c>
      <c r="AO579" t="str">
        <f t="shared" ref="AO579:AO642" si="126">CHOOSE(AA579,"Bad","Good","Better","Best")</f>
        <v>Good</v>
      </c>
      <c r="AP579" t="str">
        <f t="shared" ref="AP579:AP642" si="127">IF(A579&lt;=24,"Under 25",IF(A579&lt;=34,"25-34",IF(A579&lt;=44,"35-44",IF(A579&lt;=54,"45-54","55+"))))</f>
        <v>35-44</v>
      </c>
      <c r="AQ579" t="str">
        <f t="shared" ref="AQ579:AQ642" si="128">IF(R579&lt;3000,"Low",IF(R579&lt;7000,"Lower-Mid",IF(R579&lt;13000,"Upper-Mid","High")))</f>
        <v>Low</v>
      </c>
      <c r="AR579" t="str">
        <f t="shared" ref="AR579:AR642" si="129">IF(AB579&lt;=2,"0-2 Years",IF(AB579&lt;=5,"3-5 Years",IF(AB579&lt;=10,"6-10 Years",IF(AB579&lt;=20,"11-20 Years","20+ Years"))))</f>
        <v>3-5 Years</v>
      </c>
    </row>
    <row r="580" spans="1:44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75</v>
      </c>
      <c r="M580">
        <v>4</v>
      </c>
      <c r="N580">
        <v>2</v>
      </c>
      <c r="O580" t="s">
        <v>53</v>
      </c>
      <c r="P580">
        <v>1</v>
      </c>
      <c r="Q580" t="s">
        <v>41</v>
      </c>
      <c r="R580">
        <v>5980</v>
      </c>
      <c r="S580">
        <v>6</v>
      </c>
      <c r="T580" t="s">
        <v>35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  <c r="AF580">
        <f t="shared" si="117"/>
        <v>0</v>
      </c>
      <c r="AG580">
        <f t="shared" si="118"/>
        <v>1</v>
      </c>
      <c r="AH580" t="str">
        <f t="shared" si="119"/>
        <v>Master</v>
      </c>
      <c r="AI580" t="str">
        <f t="shared" si="120"/>
        <v>Low</v>
      </c>
      <c r="AJ580" t="str">
        <f t="shared" si="121"/>
        <v>Very High</v>
      </c>
      <c r="AK580" t="str">
        <f t="shared" si="122"/>
        <v>Junior</v>
      </c>
      <c r="AL580" t="str">
        <f t="shared" si="123"/>
        <v>Low</v>
      </c>
      <c r="AM580" t="str">
        <f t="shared" si="124"/>
        <v>Very High</v>
      </c>
      <c r="AN580" t="str">
        <f t="shared" si="125"/>
        <v>No Options</v>
      </c>
      <c r="AO580" t="str">
        <f t="shared" si="126"/>
        <v>Better</v>
      </c>
      <c r="AP580" t="str">
        <f t="shared" si="127"/>
        <v>35-44</v>
      </c>
      <c r="AQ580" t="str">
        <f t="shared" si="128"/>
        <v>Lower-Mid</v>
      </c>
      <c r="AR580" t="str">
        <f t="shared" si="129"/>
        <v>11-20 Years</v>
      </c>
    </row>
    <row r="581" spans="1:44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39</v>
      </c>
      <c r="L581">
        <v>86</v>
      </c>
      <c r="M581">
        <v>2</v>
      </c>
      <c r="N581">
        <v>1</v>
      </c>
      <c r="O581" t="s">
        <v>47</v>
      </c>
      <c r="P581">
        <v>1</v>
      </c>
      <c r="Q581" t="s">
        <v>41</v>
      </c>
      <c r="R581">
        <v>4381</v>
      </c>
      <c r="S581">
        <v>1</v>
      </c>
      <c r="T581" t="s">
        <v>43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  <c r="AF581">
        <f t="shared" si="117"/>
        <v>0</v>
      </c>
      <c r="AG581">
        <f t="shared" si="118"/>
        <v>0</v>
      </c>
      <c r="AH581" t="str">
        <f t="shared" si="119"/>
        <v>Master</v>
      </c>
      <c r="AI581" t="str">
        <f t="shared" si="120"/>
        <v>High</v>
      </c>
      <c r="AJ581" t="str">
        <f t="shared" si="121"/>
        <v>Medium</v>
      </c>
      <c r="AK581" t="str">
        <f t="shared" si="122"/>
        <v>Entry</v>
      </c>
      <c r="AL581" t="str">
        <f t="shared" si="123"/>
        <v>Low</v>
      </c>
      <c r="AM581" t="str">
        <f t="shared" si="124"/>
        <v>High</v>
      </c>
      <c r="AN581" t="str">
        <f t="shared" si="125"/>
        <v>No Options</v>
      </c>
      <c r="AO581" t="str">
        <f t="shared" si="126"/>
        <v>Better</v>
      </c>
      <c r="AP581" t="str">
        <f t="shared" si="127"/>
        <v>25-34</v>
      </c>
      <c r="AQ581" t="str">
        <f t="shared" si="128"/>
        <v>Lower-Mid</v>
      </c>
      <c r="AR581" t="str">
        <f t="shared" si="129"/>
        <v>6-10 Years</v>
      </c>
    </row>
    <row r="582" spans="1:44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72</v>
      </c>
      <c r="M582">
        <v>3</v>
      </c>
      <c r="N582">
        <v>1</v>
      </c>
      <c r="O582" t="s">
        <v>57</v>
      </c>
      <c r="P582">
        <v>4</v>
      </c>
      <c r="Q582" t="s">
        <v>48</v>
      </c>
      <c r="R582">
        <v>2572</v>
      </c>
      <c r="S582">
        <v>1</v>
      </c>
      <c r="T582" t="s">
        <v>43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  <c r="AF582">
        <f t="shared" si="117"/>
        <v>0</v>
      </c>
      <c r="AG582">
        <f t="shared" si="118"/>
        <v>0</v>
      </c>
      <c r="AH582" t="str">
        <f t="shared" si="119"/>
        <v>Master</v>
      </c>
      <c r="AI582" t="str">
        <f t="shared" si="120"/>
        <v>Low</v>
      </c>
      <c r="AJ582" t="str">
        <f t="shared" si="121"/>
        <v>High</v>
      </c>
      <c r="AK582" t="str">
        <f t="shared" si="122"/>
        <v>Entry</v>
      </c>
      <c r="AL582" t="str">
        <f t="shared" si="123"/>
        <v>Very High</v>
      </c>
      <c r="AM582" t="str">
        <f t="shared" si="124"/>
        <v>Medium</v>
      </c>
      <c r="AN582" t="str">
        <f t="shared" si="125"/>
        <v>Low</v>
      </c>
      <c r="AO582" t="str">
        <f t="shared" si="126"/>
        <v>Good</v>
      </c>
      <c r="AP582" t="str">
        <f t="shared" si="127"/>
        <v>35-44</v>
      </c>
      <c r="AQ582" t="str">
        <f t="shared" si="128"/>
        <v>Low</v>
      </c>
      <c r="AR582" t="str">
        <f t="shared" si="129"/>
        <v>3-5 Years</v>
      </c>
    </row>
    <row r="583" spans="1:44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46</v>
      </c>
      <c r="L583">
        <v>38</v>
      </c>
      <c r="M583">
        <v>1</v>
      </c>
      <c r="N583">
        <v>1</v>
      </c>
      <c r="O583" t="s">
        <v>50</v>
      </c>
      <c r="P583">
        <v>3</v>
      </c>
      <c r="Q583" t="s">
        <v>48</v>
      </c>
      <c r="R583">
        <v>3833</v>
      </c>
      <c r="S583">
        <v>3</v>
      </c>
      <c r="T583" t="s">
        <v>43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  <c r="AF583">
        <f t="shared" si="117"/>
        <v>0</v>
      </c>
      <c r="AG583">
        <f t="shared" si="118"/>
        <v>0</v>
      </c>
      <c r="AH583" t="str">
        <f t="shared" si="119"/>
        <v>Bachelor</v>
      </c>
      <c r="AI583" t="str">
        <f t="shared" si="120"/>
        <v>Very High</v>
      </c>
      <c r="AJ583" t="str">
        <f t="shared" si="121"/>
        <v>Low</v>
      </c>
      <c r="AK583" t="str">
        <f t="shared" si="122"/>
        <v>Entry</v>
      </c>
      <c r="AL583" t="str">
        <f t="shared" si="123"/>
        <v>High</v>
      </c>
      <c r="AM583" t="str">
        <f t="shared" si="124"/>
        <v>High</v>
      </c>
      <c r="AN583" t="str">
        <f t="shared" si="125"/>
        <v>Medium</v>
      </c>
      <c r="AO583" t="str">
        <f t="shared" si="126"/>
        <v>Better</v>
      </c>
      <c r="AP583" t="str">
        <f t="shared" si="127"/>
        <v>25-34</v>
      </c>
      <c r="AQ583" t="str">
        <f t="shared" si="128"/>
        <v>Lower-Mid</v>
      </c>
      <c r="AR583" t="str">
        <f t="shared" si="129"/>
        <v>0-2 Years</v>
      </c>
    </row>
    <row r="584" spans="1:44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39</v>
      </c>
      <c r="L584">
        <v>38</v>
      </c>
      <c r="M584">
        <v>4</v>
      </c>
      <c r="N584">
        <v>2</v>
      </c>
      <c r="O584" t="s">
        <v>54</v>
      </c>
      <c r="P584">
        <v>2</v>
      </c>
      <c r="Q584" t="s">
        <v>48</v>
      </c>
      <c r="R584">
        <v>4244</v>
      </c>
      <c r="S584">
        <v>1</v>
      </c>
      <c r="T584" t="s">
        <v>43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  <c r="AF584">
        <f t="shared" si="117"/>
        <v>0</v>
      </c>
      <c r="AG584">
        <f t="shared" si="118"/>
        <v>0</v>
      </c>
      <c r="AH584" t="str">
        <f t="shared" si="119"/>
        <v>College</v>
      </c>
      <c r="AI584" t="str">
        <f t="shared" si="120"/>
        <v>High</v>
      </c>
      <c r="AJ584" t="str">
        <f t="shared" si="121"/>
        <v>Very High</v>
      </c>
      <c r="AK584" t="str">
        <f t="shared" si="122"/>
        <v>Junior</v>
      </c>
      <c r="AL584" t="str">
        <f t="shared" si="123"/>
        <v>Medium</v>
      </c>
      <c r="AM584" t="str">
        <f t="shared" si="124"/>
        <v>Very High</v>
      </c>
      <c r="AN584" t="str">
        <f t="shared" si="125"/>
        <v>Low</v>
      </c>
      <c r="AO584" t="str">
        <f t="shared" si="126"/>
        <v>Better</v>
      </c>
      <c r="AP584" t="str">
        <f t="shared" si="127"/>
        <v>35-44</v>
      </c>
      <c r="AQ584" t="str">
        <f t="shared" si="128"/>
        <v>Lower-Mid</v>
      </c>
      <c r="AR584" t="str">
        <f t="shared" si="129"/>
        <v>6-10 Years</v>
      </c>
    </row>
    <row r="585" spans="1:44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93</v>
      </c>
      <c r="M585">
        <v>3</v>
      </c>
      <c r="N585">
        <v>2</v>
      </c>
      <c r="O585" t="s">
        <v>40</v>
      </c>
      <c r="P585">
        <v>1</v>
      </c>
      <c r="Q585" t="s">
        <v>48</v>
      </c>
      <c r="R585">
        <v>6500</v>
      </c>
      <c r="S585">
        <v>5</v>
      </c>
      <c r="T585" t="s">
        <v>43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  <c r="AF585">
        <f t="shared" si="117"/>
        <v>0</v>
      </c>
      <c r="AG585">
        <f t="shared" si="118"/>
        <v>0</v>
      </c>
      <c r="AH585" t="str">
        <f t="shared" si="119"/>
        <v>College</v>
      </c>
      <c r="AI585" t="str">
        <f t="shared" si="120"/>
        <v>High</v>
      </c>
      <c r="AJ585" t="str">
        <f t="shared" si="121"/>
        <v>High</v>
      </c>
      <c r="AK585" t="str">
        <f t="shared" si="122"/>
        <v>Junior</v>
      </c>
      <c r="AL585" t="str">
        <f t="shared" si="123"/>
        <v>Low</v>
      </c>
      <c r="AM585" t="str">
        <f t="shared" si="124"/>
        <v>Medium</v>
      </c>
      <c r="AN585" t="str">
        <f t="shared" si="125"/>
        <v>Low</v>
      </c>
      <c r="AO585" t="str">
        <f t="shared" si="126"/>
        <v>Better</v>
      </c>
      <c r="AP585" t="str">
        <f t="shared" si="127"/>
        <v>25-34</v>
      </c>
      <c r="AQ585" t="str">
        <f t="shared" si="128"/>
        <v>Lower-Mid</v>
      </c>
      <c r="AR585" t="str">
        <f t="shared" si="129"/>
        <v>3-5 Years</v>
      </c>
    </row>
    <row r="586" spans="1:44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46</v>
      </c>
      <c r="L586">
        <v>66</v>
      </c>
      <c r="M586">
        <v>3</v>
      </c>
      <c r="N586">
        <v>5</v>
      </c>
      <c r="O586" t="s">
        <v>56</v>
      </c>
      <c r="P586">
        <v>4</v>
      </c>
      <c r="Q586" t="s">
        <v>52</v>
      </c>
      <c r="R586">
        <v>18430</v>
      </c>
      <c r="S586">
        <v>1</v>
      </c>
      <c r="T586" t="s">
        <v>43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  <c r="AF586">
        <f t="shared" si="117"/>
        <v>0</v>
      </c>
      <c r="AG586">
        <f t="shared" si="118"/>
        <v>0</v>
      </c>
      <c r="AH586" t="str">
        <f t="shared" si="119"/>
        <v>Bachelor</v>
      </c>
      <c r="AI586" t="str">
        <f t="shared" si="120"/>
        <v>Medium</v>
      </c>
      <c r="AJ586" t="str">
        <f t="shared" si="121"/>
        <v>High</v>
      </c>
      <c r="AK586" t="str">
        <f t="shared" si="122"/>
        <v>Executive</v>
      </c>
      <c r="AL586" t="str">
        <f t="shared" si="123"/>
        <v>Very High</v>
      </c>
      <c r="AM586" t="str">
        <f t="shared" si="124"/>
        <v>Medium</v>
      </c>
      <c r="AN586" t="str">
        <f t="shared" si="125"/>
        <v>Low</v>
      </c>
      <c r="AO586" t="str">
        <f t="shared" si="126"/>
        <v>Good</v>
      </c>
      <c r="AP586" t="str">
        <f t="shared" si="127"/>
        <v>35-44</v>
      </c>
      <c r="AQ586" t="str">
        <f t="shared" si="128"/>
        <v>High</v>
      </c>
      <c r="AR586" t="str">
        <f t="shared" si="129"/>
        <v>20+ Years</v>
      </c>
    </row>
    <row r="587" spans="1:44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46</v>
      </c>
      <c r="L587">
        <v>63</v>
      </c>
      <c r="M587">
        <v>4</v>
      </c>
      <c r="N587">
        <v>1</v>
      </c>
      <c r="O587" t="s">
        <v>50</v>
      </c>
      <c r="P587">
        <v>1</v>
      </c>
      <c r="Q587" t="s">
        <v>48</v>
      </c>
      <c r="R587">
        <v>1601</v>
      </c>
      <c r="S587">
        <v>1</v>
      </c>
      <c r="T587" t="s">
        <v>35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  <c r="AF587">
        <f t="shared" si="117"/>
        <v>1</v>
      </c>
      <c r="AG587">
        <f t="shared" si="118"/>
        <v>1</v>
      </c>
      <c r="AH587" t="str">
        <f t="shared" si="119"/>
        <v>Bachelor</v>
      </c>
      <c r="AI587" t="str">
        <f t="shared" si="120"/>
        <v>High</v>
      </c>
      <c r="AJ587" t="str">
        <f t="shared" si="121"/>
        <v>Very High</v>
      </c>
      <c r="AK587" t="str">
        <f t="shared" si="122"/>
        <v>Entry</v>
      </c>
      <c r="AL587" t="str">
        <f t="shared" si="123"/>
        <v>Low</v>
      </c>
      <c r="AM587" t="str">
        <f t="shared" si="124"/>
        <v>High</v>
      </c>
      <c r="AN587" t="str">
        <f t="shared" si="125"/>
        <v>Medium</v>
      </c>
      <c r="AO587" t="str">
        <f t="shared" si="126"/>
        <v>Better</v>
      </c>
      <c r="AP587" t="str">
        <f t="shared" si="127"/>
        <v>Under 25</v>
      </c>
      <c r="AQ587" t="str">
        <f t="shared" si="128"/>
        <v>Low</v>
      </c>
      <c r="AR587" t="str">
        <f t="shared" si="129"/>
        <v>0-2 Years</v>
      </c>
    </row>
    <row r="588" spans="1:44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46</v>
      </c>
      <c r="L588">
        <v>60</v>
      </c>
      <c r="M588">
        <v>2</v>
      </c>
      <c r="N588">
        <v>1</v>
      </c>
      <c r="O588" t="s">
        <v>50</v>
      </c>
      <c r="P588">
        <v>2</v>
      </c>
      <c r="Q588" t="s">
        <v>52</v>
      </c>
      <c r="R588">
        <v>2694</v>
      </c>
      <c r="S588">
        <v>1</v>
      </c>
      <c r="T588" t="s">
        <v>43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  <c r="AF588">
        <f t="shared" si="117"/>
        <v>0</v>
      </c>
      <c r="AG588">
        <f t="shared" si="118"/>
        <v>0</v>
      </c>
      <c r="AH588" t="str">
        <f t="shared" si="119"/>
        <v>Bachelor</v>
      </c>
      <c r="AI588" t="str">
        <f t="shared" si="120"/>
        <v>High</v>
      </c>
      <c r="AJ588" t="str">
        <f t="shared" si="121"/>
        <v>Medium</v>
      </c>
      <c r="AK588" t="str">
        <f t="shared" si="122"/>
        <v>Entry</v>
      </c>
      <c r="AL588" t="str">
        <f t="shared" si="123"/>
        <v>Medium</v>
      </c>
      <c r="AM588" t="str">
        <f t="shared" si="124"/>
        <v>High</v>
      </c>
      <c r="AN588" t="str">
        <f t="shared" si="125"/>
        <v>High</v>
      </c>
      <c r="AO588" t="str">
        <f t="shared" si="126"/>
        <v>Better</v>
      </c>
      <c r="AP588" t="str">
        <f t="shared" si="127"/>
        <v>Under 25</v>
      </c>
      <c r="AQ588" t="str">
        <f t="shared" si="128"/>
        <v>Low</v>
      </c>
      <c r="AR588" t="str">
        <f t="shared" si="129"/>
        <v>0-2 Years</v>
      </c>
    </row>
    <row r="589" spans="1:44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82</v>
      </c>
      <c r="M589">
        <v>3</v>
      </c>
      <c r="N589">
        <v>2</v>
      </c>
      <c r="O589" t="s">
        <v>50</v>
      </c>
      <c r="P589">
        <v>3</v>
      </c>
      <c r="Q589" t="s">
        <v>48</v>
      </c>
      <c r="R589">
        <v>3149</v>
      </c>
      <c r="S589">
        <v>8</v>
      </c>
      <c r="T589" t="s">
        <v>43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  <c r="AF589">
        <f t="shared" si="117"/>
        <v>0</v>
      </c>
      <c r="AG589">
        <f t="shared" si="118"/>
        <v>0</v>
      </c>
      <c r="AH589" t="str">
        <f t="shared" si="119"/>
        <v>Master</v>
      </c>
      <c r="AI589" t="str">
        <f t="shared" si="120"/>
        <v>Very High</v>
      </c>
      <c r="AJ589" t="str">
        <f t="shared" si="121"/>
        <v>High</v>
      </c>
      <c r="AK589" t="str">
        <f t="shared" si="122"/>
        <v>Junior</v>
      </c>
      <c r="AL589" t="str">
        <f t="shared" si="123"/>
        <v>High</v>
      </c>
      <c r="AM589" t="str">
        <f t="shared" si="124"/>
        <v>Medium</v>
      </c>
      <c r="AN589" t="str">
        <f t="shared" si="125"/>
        <v>Low</v>
      </c>
      <c r="AO589" t="str">
        <f t="shared" si="126"/>
        <v>Better</v>
      </c>
      <c r="AP589" t="str">
        <f t="shared" si="127"/>
        <v>45-54</v>
      </c>
      <c r="AQ589" t="str">
        <f t="shared" si="128"/>
        <v>Lower-Mid</v>
      </c>
      <c r="AR589" t="str">
        <f t="shared" si="129"/>
        <v>3-5 Years</v>
      </c>
    </row>
    <row r="590" spans="1:44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46</v>
      </c>
      <c r="L590">
        <v>64</v>
      </c>
      <c r="M590">
        <v>3</v>
      </c>
      <c r="N590">
        <v>4</v>
      </c>
      <c r="O590" t="s">
        <v>58</v>
      </c>
      <c r="P590">
        <v>3</v>
      </c>
      <c r="Q590" t="s">
        <v>48</v>
      </c>
      <c r="R590">
        <v>17639</v>
      </c>
      <c r="S590">
        <v>5</v>
      </c>
      <c r="T590" t="s">
        <v>43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  <c r="AF590">
        <f t="shared" si="117"/>
        <v>0</v>
      </c>
      <c r="AG590">
        <f t="shared" si="118"/>
        <v>0</v>
      </c>
      <c r="AH590" t="str">
        <f t="shared" si="119"/>
        <v>Bachelor</v>
      </c>
      <c r="AI590" t="str">
        <f t="shared" si="120"/>
        <v>High</v>
      </c>
      <c r="AJ590" t="str">
        <f t="shared" si="121"/>
        <v>High</v>
      </c>
      <c r="AK590" t="str">
        <f t="shared" si="122"/>
        <v>Senior</v>
      </c>
      <c r="AL590" t="str">
        <f t="shared" si="123"/>
        <v>High</v>
      </c>
      <c r="AM590" t="str">
        <f t="shared" si="124"/>
        <v>Very High</v>
      </c>
      <c r="AN590" t="str">
        <f t="shared" si="125"/>
        <v>No Options</v>
      </c>
      <c r="AO590" t="str">
        <f t="shared" si="126"/>
        <v>Better</v>
      </c>
      <c r="AP590" t="str">
        <f t="shared" si="127"/>
        <v>45-54</v>
      </c>
      <c r="AQ590" t="str">
        <f t="shared" si="128"/>
        <v>High</v>
      </c>
      <c r="AR590" t="str">
        <f t="shared" si="129"/>
        <v>3-5 Years</v>
      </c>
    </row>
    <row r="591" spans="1:44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36</v>
      </c>
      <c r="M591">
        <v>2</v>
      </c>
      <c r="N591">
        <v>1</v>
      </c>
      <c r="O591" t="s">
        <v>50</v>
      </c>
      <c r="P591">
        <v>1</v>
      </c>
      <c r="Q591" t="s">
        <v>48</v>
      </c>
      <c r="R591">
        <v>2319</v>
      </c>
      <c r="S591">
        <v>1</v>
      </c>
      <c r="T591" t="s">
        <v>35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  <c r="AF591">
        <f t="shared" si="117"/>
        <v>1</v>
      </c>
      <c r="AG591">
        <f t="shared" si="118"/>
        <v>1</v>
      </c>
      <c r="AH591" t="str">
        <f t="shared" si="119"/>
        <v>College</v>
      </c>
      <c r="AI591" t="str">
        <f t="shared" si="120"/>
        <v>Medium</v>
      </c>
      <c r="AJ591" t="str">
        <f t="shared" si="121"/>
        <v>Medium</v>
      </c>
      <c r="AK591" t="str">
        <f t="shared" si="122"/>
        <v>Entry</v>
      </c>
      <c r="AL591" t="str">
        <f t="shared" si="123"/>
        <v>Low</v>
      </c>
      <c r="AM591" t="str">
        <f t="shared" si="124"/>
        <v>Very High</v>
      </c>
      <c r="AN591" t="str">
        <f t="shared" si="125"/>
        <v>Low</v>
      </c>
      <c r="AO591" t="str">
        <f t="shared" si="126"/>
        <v>Better</v>
      </c>
      <c r="AP591" t="str">
        <f t="shared" si="127"/>
        <v>25-34</v>
      </c>
      <c r="AQ591" t="str">
        <f t="shared" si="128"/>
        <v>Low</v>
      </c>
      <c r="AR591" t="str">
        <f t="shared" si="129"/>
        <v>0-2 Years</v>
      </c>
    </row>
    <row r="592" spans="1:44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46</v>
      </c>
      <c r="L592">
        <v>49</v>
      </c>
      <c r="M592">
        <v>3</v>
      </c>
      <c r="N592">
        <v>3</v>
      </c>
      <c r="O592" t="s">
        <v>58</v>
      </c>
      <c r="P592">
        <v>3</v>
      </c>
      <c r="Q592" t="s">
        <v>48</v>
      </c>
      <c r="R592">
        <v>11691</v>
      </c>
      <c r="S592">
        <v>0</v>
      </c>
      <c r="T592" t="s">
        <v>43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  <c r="AF592">
        <f t="shared" si="117"/>
        <v>0</v>
      </c>
      <c r="AG592">
        <f t="shared" si="118"/>
        <v>0</v>
      </c>
      <c r="AH592" t="str">
        <f t="shared" si="119"/>
        <v>Bachelor</v>
      </c>
      <c r="AI592" t="str">
        <f t="shared" si="120"/>
        <v>High</v>
      </c>
      <c r="AJ592" t="str">
        <f t="shared" si="121"/>
        <v>High</v>
      </c>
      <c r="AK592" t="str">
        <f t="shared" si="122"/>
        <v>Mid-Level</v>
      </c>
      <c r="AL592" t="str">
        <f t="shared" si="123"/>
        <v>High</v>
      </c>
      <c r="AM592" t="str">
        <f t="shared" si="124"/>
        <v>Very High</v>
      </c>
      <c r="AN592" t="str">
        <f t="shared" si="125"/>
        <v>No Options</v>
      </c>
      <c r="AO592" t="str">
        <f t="shared" si="126"/>
        <v>Best</v>
      </c>
      <c r="AP592" t="str">
        <f t="shared" si="127"/>
        <v>25-34</v>
      </c>
      <c r="AQ592" t="str">
        <f t="shared" si="128"/>
        <v>Upper-Mid</v>
      </c>
      <c r="AR592" t="str">
        <f t="shared" si="129"/>
        <v>11-20 Years</v>
      </c>
    </row>
    <row r="593" spans="1:44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t="s">
        <v>39</v>
      </c>
      <c r="L593">
        <v>69</v>
      </c>
      <c r="M593">
        <v>3</v>
      </c>
      <c r="N593">
        <v>2</v>
      </c>
      <c r="O593" t="s">
        <v>40</v>
      </c>
      <c r="P593">
        <v>1</v>
      </c>
      <c r="Q593" t="s">
        <v>41</v>
      </c>
      <c r="R593">
        <v>5324</v>
      </c>
      <c r="S593">
        <v>5</v>
      </c>
      <c r="T593" t="s">
        <v>43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  <c r="AF593">
        <f t="shared" si="117"/>
        <v>1</v>
      </c>
      <c r="AG593">
        <f t="shared" si="118"/>
        <v>0</v>
      </c>
      <c r="AH593" t="str">
        <f t="shared" si="119"/>
        <v>Bachelor</v>
      </c>
      <c r="AI593" t="str">
        <f t="shared" si="120"/>
        <v>Low</v>
      </c>
      <c r="AJ593" t="str">
        <f t="shared" si="121"/>
        <v>High</v>
      </c>
      <c r="AK593" t="str">
        <f t="shared" si="122"/>
        <v>Junior</v>
      </c>
      <c r="AL593" t="str">
        <f t="shared" si="123"/>
        <v>Low</v>
      </c>
      <c r="AM593" t="str">
        <f t="shared" si="124"/>
        <v>High</v>
      </c>
      <c r="AN593" t="str">
        <f t="shared" si="125"/>
        <v>No Options</v>
      </c>
      <c r="AO593" t="str">
        <f t="shared" si="126"/>
        <v>Better</v>
      </c>
      <c r="AP593" t="str">
        <f t="shared" si="127"/>
        <v>25-34</v>
      </c>
      <c r="AQ593" t="str">
        <f t="shared" si="128"/>
        <v>Lower-Mid</v>
      </c>
      <c r="AR593" t="str">
        <f t="shared" si="129"/>
        <v>3-5 Years</v>
      </c>
    </row>
    <row r="594" spans="1:44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39</v>
      </c>
      <c r="L594">
        <v>33</v>
      </c>
      <c r="M594">
        <v>3</v>
      </c>
      <c r="N594">
        <v>4</v>
      </c>
      <c r="O594" t="s">
        <v>56</v>
      </c>
      <c r="P594">
        <v>4</v>
      </c>
      <c r="Q594" t="s">
        <v>48</v>
      </c>
      <c r="R594">
        <v>16752</v>
      </c>
      <c r="S594">
        <v>1</v>
      </c>
      <c r="T594" t="s">
        <v>35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  <c r="AF594">
        <f t="shared" si="117"/>
        <v>0</v>
      </c>
      <c r="AG594">
        <f t="shared" si="118"/>
        <v>1</v>
      </c>
      <c r="AH594" t="str">
        <f t="shared" si="119"/>
        <v>College</v>
      </c>
      <c r="AI594" t="str">
        <f t="shared" si="120"/>
        <v>High</v>
      </c>
      <c r="AJ594" t="str">
        <f t="shared" si="121"/>
        <v>High</v>
      </c>
      <c r="AK594" t="str">
        <f t="shared" si="122"/>
        <v>Senior</v>
      </c>
      <c r="AL594" t="str">
        <f t="shared" si="123"/>
        <v>Very High</v>
      </c>
      <c r="AM594" t="str">
        <f t="shared" si="124"/>
        <v>High</v>
      </c>
      <c r="AN594" t="str">
        <f t="shared" si="125"/>
        <v>Low</v>
      </c>
      <c r="AO594" t="str">
        <f t="shared" si="126"/>
        <v>Good</v>
      </c>
      <c r="AP594" t="str">
        <f t="shared" si="127"/>
        <v>45-54</v>
      </c>
      <c r="AQ594" t="str">
        <f t="shared" si="128"/>
        <v>High</v>
      </c>
      <c r="AR594" t="str">
        <f t="shared" si="129"/>
        <v>20+ Years</v>
      </c>
    </row>
    <row r="595" spans="1:44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39</v>
      </c>
      <c r="L595">
        <v>35</v>
      </c>
      <c r="M595">
        <v>3</v>
      </c>
      <c r="N595">
        <v>2</v>
      </c>
      <c r="O595" t="s">
        <v>53</v>
      </c>
      <c r="P595">
        <v>2</v>
      </c>
      <c r="Q595" t="s">
        <v>48</v>
      </c>
      <c r="R595">
        <v>5228</v>
      </c>
      <c r="S595">
        <v>0</v>
      </c>
      <c r="T595" t="s">
        <v>43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  <c r="AF595">
        <f t="shared" si="117"/>
        <v>0</v>
      </c>
      <c r="AG595">
        <f t="shared" si="118"/>
        <v>0</v>
      </c>
      <c r="AH595" t="str">
        <f t="shared" si="119"/>
        <v>Bachelor</v>
      </c>
      <c r="AI595" t="str">
        <f t="shared" si="120"/>
        <v>High</v>
      </c>
      <c r="AJ595" t="str">
        <f t="shared" si="121"/>
        <v>High</v>
      </c>
      <c r="AK595" t="str">
        <f t="shared" si="122"/>
        <v>Junior</v>
      </c>
      <c r="AL595" t="str">
        <f t="shared" si="123"/>
        <v>Medium</v>
      </c>
      <c r="AM595" t="str">
        <f t="shared" si="124"/>
        <v>Low</v>
      </c>
      <c r="AN595" t="str">
        <f t="shared" si="125"/>
        <v>Low</v>
      </c>
      <c r="AO595" t="str">
        <f t="shared" si="126"/>
        <v>Better</v>
      </c>
      <c r="AP595" t="str">
        <f t="shared" si="127"/>
        <v>35-44</v>
      </c>
      <c r="AQ595" t="str">
        <f t="shared" si="128"/>
        <v>Lower-Mid</v>
      </c>
      <c r="AR595" t="str">
        <f t="shared" si="129"/>
        <v>6-10 Years</v>
      </c>
    </row>
    <row r="596" spans="1:44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46</v>
      </c>
      <c r="L596">
        <v>81</v>
      </c>
      <c r="M596">
        <v>4</v>
      </c>
      <c r="N596">
        <v>1</v>
      </c>
      <c r="O596" t="s">
        <v>47</v>
      </c>
      <c r="P596">
        <v>3</v>
      </c>
      <c r="Q596" t="s">
        <v>48</v>
      </c>
      <c r="R596">
        <v>2700</v>
      </c>
      <c r="S596">
        <v>1</v>
      </c>
      <c r="T596" t="s">
        <v>43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  <c r="AF596">
        <f t="shared" si="117"/>
        <v>0</v>
      </c>
      <c r="AG596">
        <f t="shared" si="118"/>
        <v>0</v>
      </c>
      <c r="AH596" t="str">
        <f t="shared" si="119"/>
        <v>College</v>
      </c>
      <c r="AI596" t="str">
        <f t="shared" si="120"/>
        <v>High</v>
      </c>
      <c r="AJ596" t="str">
        <f t="shared" si="121"/>
        <v>Very High</v>
      </c>
      <c r="AK596" t="str">
        <f t="shared" si="122"/>
        <v>Entry</v>
      </c>
      <c r="AL596" t="str">
        <f t="shared" si="123"/>
        <v>High</v>
      </c>
      <c r="AM596" t="str">
        <f t="shared" si="124"/>
        <v>High</v>
      </c>
      <c r="AN596" t="str">
        <f t="shared" si="125"/>
        <v>Low</v>
      </c>
      <c r="AO596" t="str">
        <f t="shared" si="126"/>
        <v>Better</v>
      </c>
      <c r="AP596" t="str">
        <f t="shared" si="127"/>
        <v>25-34</v>
      </c>
      <c r="AQ596" t="str">
        <f t="shared" si="128"/>
        <v>Low</v>
      </c>
      <c r="AR596" t="str">
        <f t="shared" si="129"/>
        <v>6-10 Years</v>
      </c>
    </row>
    <row r="597" spans="1:44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46</v>
      </c>
      <c r="L597">
        <v>31</v>
      </c>
      <c r="M597">
        <v>3</v>
      </c>
      <c r="N597">
        <v>5</v>
      </c>
      <c r="O597" t="s">
        <v>58</v>
      </c>
      <c r="P597">
        <v>2</v>
      </c>
      <c r="Q597" t="s">
        <v>41</v>
      </c>
      <c r="R597">
        <v>19246</v>
      </c>
      <c r="S597">
        <v>7</v>
      </c>
      <c r="T597" t="s">
        <v>35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  <c r="AF597">
        <f t="shared" si="117"/>
        <v>1</v>
      </c>
      <c r="AG597">
        <f t="shared" si="118"/>
        <v>1</v>
      </c>
      <c r="AH597" t="str">
        <f t="shared" si="119"/>
        <v>Master</v>
      </c>
      <c r="AI597" t="str">
        <f t="shared" si="120"/>
        <v>Very High</v>
      </c>
      <c r="AJ597" t="str">
        <f t="shared" si="121"/>
        <v>High</v>
      </c>
      <c r="AK597" t="str">
        <f t="shared" si="122"/>
        <v>Executive</v>
      </c>
      <c r="AL597" t="str">
        <f t="shared" si="123"/>
        <v>Medium</v>
      </c>
      <c r="AM597" t="str">
        <f t="shared" si="124"/>
        <v>Very High</v>
      </c>
      <c r="AN597" t="str">
        <f t="shared" si="125"/>
        <v>No Options</v>
      </c>
      <c r="AO597" t="str">
        <f t="shared" si="126"/>
        <v>Better</v>
      </c>
      <c r="AP597" t="str">
        <f t="shared" si="127"/>
        <v>55+</v>
      </c>
      <c r="AQ597" t="str">
        <f t="shared" si="128"/>
        <v>High</v>
      </c>
      <c r="AR597" t="str">
        <f t="shared" si="129"/>
        <v>20+ Years</v>
      </c>
    </row>
    <row r="598" spans="1:44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40</v>
      </c>
      <c r="M598">
        <v>4</v>
      </c>
      <c r="N598">
        <v>1</v>
      </c>
      <c r="O598" t="s">
        <v>47</v>
      </c>
      <c r="P598">
        <v>3</v>
      </c>
      <c r="Q598" t="s">
        <v>41</v>
      </c>
      <c r="R598">
        <v>2506</v>
      </c>
      <c r="S598">
        <v>3</v>
      </c>
      <c r="T598" t="s">
        <v>43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  <c r="AF598">
        <f t="shared" si="117"/>
        <v>0</v>
      </c>
      <c r="AG598">
        <f t="shared" si="118"/>
        <v>0</v>
      </c>
      <c r="AH598" t="str">
        <f t="shared" si="119"/>
        <v>Master</v>
      </c>
      <c r="AI598" t="str">
        <f t="shared" si="120"/>
        <v>Very High</v>
      </c>
      <c r="AJ598" t="str">
        <f t="shared" si="121"/>
        <v>Very High</v>
      </c>
      <c r="AK598" t="str">
        <f t="shared" si="122"/>
        <v>Entry</v>
      </c>
      <c r="AL598" t="str">
        <f t="shared" si="123"/>
        <v>High</v>
      </c>
      <c r="AM598" t="str">
        <f t="shared" si="124"/>
        <v>High</v>
      </c>
      <c r="AN598" t="str">
        <f t="shared" si="125"/>
        <v>No Options</v>
      </c>
      <c r="AO598" t="str">
        <f t="shared" si="126"/>
        <v>Better</v>
      </c>
      <c r="AP598" t="str">
        <f t="shared" si="127"/>
        <v>35-44</v>
      </c>
      <c r="AQ598" t="str">
        <f t="shared" si="128"/>
        <v>Low</v>
      </c>
      <c r="AR598" t="str">
        <f t="shared" si="129"/>
        <v>0-2 Years</v>
      </c>
    </row>
    <row r="599" spans="1:44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43</v>
      </c>
      <c r="M599">
        <v>2</v>
      </c>
      <c r="N599">
        <v>2</v>
      </c>
      <c r="O599" t="s">
        <v>53</v>
      </c>
      <c r="P599">
        <v>4</v>
      </c>
      <c r="Q599" t="s">
        <v>48</v>
      </c>
      <c r="R599">
        <v>6062</v>
      </c>
      <c r="S599">
        <v>9</v>
      </c>
      <c r="T599" t="s">
        <v>35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  <c r="AF599">
        <f t="shared" si="117"/>
        <v>0</v>
      </c>
      <c r="AG599">
        <f t="shared" si="118"/>
        <v>1</v>
      </c>
      <c r="AH599" t="str">
        <f t="shared" si="119"/>
        <v>College</v>
      </c>
      <c r="AI599" t="str">
        <f t="shared" si="120"/>
        <v>Very High</v>
      </c>
      <c r="AJ599" t="str">
        <f t="shared" si="121"/>
        <v>Medium</v>
      </c>
      <c r="AK599" t="str">
        <f t="shared" si="122"/>
        <v>Junior</v>
      </c>
      <c r="AL599" t="str">
        <f t="shared" si="123"/>
        <v>Very High</v>
      </c>
      <c r="AM599" t="str">
        <f t="shared" si="124"/>
        <v>Very High</v>
      </c>
      <c r="AN599" t="str">
        <f t="shared" si="125"/>
        <v>Low</v>
      </c>
      <c r="AO599" t="str">
        <f t="shared" si="126"/>
        <v>Better</v>
      </c>
      <c r="AP599" t="str">
        <f t="shared" si="127"/>
        <v>35-44</v>
      </c>
      <c r="AQ599" t="str">
        <f t="shared" si="128"/>
        <v>Lower-Mid</v>
      </c>
      <c r="AR599" t="str">
        <f t="shared" si="129"/>
        <v>3-5 Years</v>
      </c>
    </row>
    <row r="600" spans="1:44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46</v>
      </c>
      <c r="L600">
        <v>46</v>
      </c>
      <c r="M600">
        <v>3</v>
      </c>
      <c r="N600">
        <v>1</v>
      </c>
      <c r="O600" t="s">
        <v>47</v>
      </c>
      <c r="P600">
        <v>3</v>
      </c>
      <c r="Q600" t="s">
        <v>41</v>
      </c>
      <c r="R600">
        <v>4382</v>
      </c>
      <c r="S600">
        <v>6</v>
      </c>
      <c r="T600" t="s">
        <v>43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  <c r="AF600">
        <f t="shared" si="117"/>
        <v>1</v>
      </c>
      <c r="AG600">
        <f t="shared" si="118"/>
        <v>0</v>
      </c>
      <c r="AH600" t="str">
        <f t="shared" si="119"/>
        <v>Master</v>
      </c>
      <c r="AI600" t="str">
        <f t="shared" si="120"/>
        <v>High</v>
      </c>
      <c r="AJ600" t="str">
        <f t="shared" si="121"/>
        <v>High</v>
      </c>
      <c r="AK600" t="str">
        <f t="shared" si="122"/>
        <v>Entry</v>
      </c>
      <c r="AL600" t="str">
        <f t="shared" si="123"/>
        <v>High</v>
      </c>
      <c r="AM600" t="str">
        <f t="shared" si="124"/>
        <v>Very High</v>
      </c>
      <c r="AN600" t="str">
        <f t="shared" si="125"/>
        <v>No Options</v>
      </c>
      <c r="AO600" t="str">
        <f t="shared" si="126"/>
        <v>Good</v>
      </c>
      <c r="AP600" t="str">
        <f t="shared" si="127"/>
        <v>25-34</v>
      </c>
      <c r="AQ600" t="str">
        <f t="shared" si="128"/>
        <v>Lower-Mid</v>
      </c>
      <c r="AR600" t="str">
        <f t="shared" si="129"/>
        <v>0-2 Years</v>
      </c>
    </row>
    <row r="601" spans="1:44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t="s">
        <v>46</v>
      </c>
      <c r="L601">
        <v>36</v>
      </c>
      <c r="M601">
        <v>3</v>
      </c>
      <c r="N601">
        <v>1</v>
      </c>
      <c r="O601" t="s">
        <v>61</v>
      </c>
      <c r="P601">
        <v>2</v>
      </c>
      <c r="Q601" t="s">
        <v>48</v>
      </c>
      <c r="R601">
        <v>2143</v>
      </c>
      <c r="S601">
        <v>4</v>
      </c>
      <c r="T601" t="s">
        <v>43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  <c r="AF601">
        <f t="shared" si="117"/>
        <v>0</v>
      </c>
      <c r="AG601">
        <f t="shared" si="118"/>
        <v>0</v>
      </c>
      <c r="AH601" t="str">
        <f t="shared" si="119"/>
        <v>Bachelor</v>
      </c>
      <c r="AI601" t="str">
        <f t="shared" si="120"/>
        <v>High</v>
      </c>
      <c r="AJ601" t="str">
        <f t="shared" si="121"/>
        <v>High</v>
      </c>
      <c r="AK601" t="str">
        <f t="shared" si="122"/>
        <v>Entry</v>
      </c>
      <c r="AL601" t="str">
        <f t="shared" si="123"/>
        <v>Medium</v>
      </c>
      <c r="AM601" t="str">
        <f t="shared" si="124"/>
        <v>Medium</v>
      </c>
      <c r="AN601" t="str">
        <f t="shared" si="125"/>
        <v>Low</v>
      </c>
      <c r="AO601" t="str">
        <f t="shared" si="126"/>
        <v>Better</v>
      </c>
      <c r="AP601" t="str">
        <f t="shared" si="127"/>
        <v>35-44</v>
      </c>
      <c r="AQ601" t="str">
        <f t="shared" si="128"/>
        <v>Low</v>
      </c>
      <c r="AR601" t="str">
        <f t="shared" si="129"/>
        <v>3-5 Years</v>
      </c>
    </row>
    <row r="602" spans="1:44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98</v>
      </c>
      <c r="M602">
        <v>2</v>
      </c>
      <c r="N602">
        <v>2</v>
      </c>
      <c r="O602" t="s">
        <v>53</v>
      </c>
      <c r="P602">
        <v>3</v>
      </c>
      <c r="Q602" t="s">
        <v>48</v>
      </c>
      <c r="R602">
        <v>6162</v>
      </c>
      <c r="S602">
        <v>1</v>
      </c>
      <c r="T602" t="s">
        <v>43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  <c r="AF602">
        <f t="shared" si="117"/>
        <v>0</v>
      </c>
      <c r="AG602">
        <f t="shared" si="118"/>
        <v>0</v>
      </c>
      <c r="AH602" t="str">
        <f t="shared" si="119"/>
        <v>Bachelor</v>
      </c>
      <c r="AI602" t="str">
        <f t="shared" si="120"/>
        <v>High</v>
      </c>
      <c r="AJ602" t="str">
        <f t="shared" si="121"/>
        <v>Medium</v>
      </c>
      <c r="AK602" t="str">
        <f t="shared" si="122"/>
        <v>Junior</v>
      </c>
      <c r="AL602" t="str">
        <f t="shared" si="123"/>
        <v>High</v>
      </c>
      <c r="AM602" t="str">
        <f t="shared" si="124"/>
        <v>High</v>
      </c>
      <c r="AN602" t="str">
        <f t="shared" si="125"/>
        <v>Low</v>
      </c>
      <c r="AO602" t="str">
        <f t="shared" si="126"/>
        <v>Better</v>
      </c>
      <c r="AP602" t="str">
        <f t="shared" si="127"/>
        <v>25-34</v>
      </c>
      <c r="AQ602" t="str">
        <f t="shared" si="128"/>
        <v>Lower-Mid</v>
      </c>
      <c r="AR602" t="str">
        <f t="shared" si="129"/>
        <v>11-20 Years</v>
      </c>
    </row>
    <row r="603" spans="1:44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46</v>
      </c>
      <c r="L603">
        <v>51</v>
      </c>
      <c r="M603">
        <v>2</v>
      </c>
      <c r="N603">
        <v>2</v>
      </c>
      <c r="O603" t="s">
        <v>50</v>
      </c>
      <c r="P603">
        <v>3</v>
      </c>
      <c r="Q603" t="s">
        <v>41</v>
      </c>
      <c r="R603">
        <v>5094</v>
      </c>
      <c r="S603">
        <v>6</v>
      </c>
      <c r="T603" t="s">
        <v>43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  <c r="AF603">
        <f t="shared" si="117"/>
        <v>0</v>
      </c>
      <c r="AG603">
        <f t="shared" si="118"/>
        <v>0</v>
      </c>
      <c r="AH603" t="str">
        <f t="shared" si="119"/>
        <v>Master</v>
      </c>
      <c r="AI603" t="str">
        <f t="shared" si="120"/>
        <v>Low</v>
      </c>
      <c r="AJ603" t="str">
        <f t="shared" si="121"/>
        <v>Medium</v>
      </c>
      <c r="AK603" t="str">
        <f t="shared" si="122"/>
        <v>Junior</v>
      </c>
      <c r="AL603" t="str">
        <f t="shared" si="123"/>
        <v>High</v>
      </c>
      <c r="AM603" t="str">
        <f t="shared" si="124"/>
        <v>Very High</v>
      </c>
      <c r="AN603" t="str">
        <f t="shared" si="125"/>
        <v>No Options</v>
      </c>
      <c r="AO603" t="str">
        <f t="shared" si="126"/>
        <v>Better</v>
      </c>
      <c r="AP603" t="str">
        <f t="shared" si="127"/>
        <v>35-44</v>
      </c>
      <c r="AQ603" t="str">
        <f t="shared" si="128"/>
        <v>Lower-Mid</v>
      </c>
      <c r="AR603" t="str">
        <f t="shared" si="129"/>
        <v>0-2 Years</v>
      </c>
    </row>
    <row r="604" spans="1:44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39</v>
      </c>
      <c r="L604">
        <v>52</v>
      </c>
      <c r="M604">
        <v>2</v>
      </c>
      <c r="N604">
        <v>2</v>
      </c>
      <c r="O604" t="s">
        <v>53</v>
      </c>
      <c r="P604">
        <v>4</v>
      </c>
      <c r="Q604" t="s">
        <v>41</v>
      </c>
      <c r="R604">
        <v>6877</v>
      </c>
      <c r="S604">
        <v>5</v>
      </c>
      <c r="T604" t="s">
        <v>35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  <c r="AF604">
        <f t="shared" si="117"/>
        <v>0</v>
      </c>
      <c r="AG604">
        <f t="shared" si="118"/>
        <v>1</v>
      </c>
      <c r="AH604" t="str">
        <f t="shared" si="119"/>
        <v>Bachelor</v>
      </c>
      <c r="AI604" t="str">
        <f t="shared" si="120"/>
        <v>High</v>
      </c>
      <c r="AJ604" t="str">
        <f t="shared" si="121"/>
        <v>Medium</v>
      </c>
      <c r="AK604" t="str">
        <f t="shared" si="122"/>
        <v>Junior</v>
      </c>
      <c r="AL604" t="str">
        <f t="shared" si="123"/>
        <v>Very High</v>
      </c>
      <c r="AM604" t="str">
        <f t="shared" si="124"/>
        <v>Medium</v>
      </c>
      <c r="AN604" t="str">
        <f t="shared" si="125"/>
        <v>No Options</v>
      </c>
      <c r="AO604" t="str">
        <f t="shared" si="126"/>
        <v>Good</v>
      </c>
      <c r="AP604" t="str">
        <f t="shared" si="127"/>
        <v>25-34</v>
      </c>
      <c r="AQ604" t="str">
        <f t="shared" si="128"/>
        <v>Lower-Mid</v>
      </c>
      <c r="AR604" t="str">
        <f t="shared" si="129"/>
        <v>0-2 Years</v>
      </c>
    </row>
    <row r="605" spans="1:44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95</v>
      </c>
      <c r="M605">
        <v>2</v>
      </c>
      <c r="N605">
        <v>1</v>
      </c>
      <c r="O605" t="s">
        <v>47</v>
      </c>
      <c r="P605">
        <v>3</v>
      </c>
      <c r="Q605" t="s">
        <v>41</v>
      </c>
      <c r="R605">
        <v>2274</v>
      </c>
      <c r="S605">
        <v>1</v>
      </c>
      <c r="T605" t="s">
        <v>43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  <c r="AF605">
        <f t="shared" si="117"/>
        <v>0</v>
      </c>
      <c r="AG605">
        <f t="shared" si="118"/>
        <v>0</v>
      </c>
      <c r="AH605" t="str">
        <f t="shared" si="119"/>
        <v>Bachelor</v>
      </c>
      <c r="AI605" t="str">
        <f t="shared" si="120"/>
        <v>Medium</v>
      </c>
      <c r="AJ605" t="str">
        <f t="shared" si="121"/>
        <v>Medium</v>
      </c>
      <c r="AK605" t="str">
        <f t="shared" si="122"/>
        <v>Entry</v>
      </c>
      <c r="AL605" t="str">
        <f t="shared" si="123"/>
        <v>High</v>
      </c>
      <c r="AM605" t="str">
        <f t="shared" si="124"/>
        <v>Very High</v>
      </c>
      <c r="AN605" t="str">
        <f t="shared" si="125"/>
        <v>No Options</v>
      </c>
      <c r="AO605" t="str">
        <f t="shared" si="126"/>
        <v>Better</v>
      </c>
      <c r="AP605" t="str">
        <f t="shared" si="127"/>
        <v>45-54</v>
      </c>
      <c r="AQ605" t="str">
        <f t="shared" si="128"/>
        <v>Low</v>
      </c>
      <c r="AR605" t="str">
        <f t="shared" si="129"/>
        <v>0-2 Years</v>
      </c>
    </row>
    <row r="606" spans="1:44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46</v>
      </c>
      <c r="L606">
        <v>98</v>
      </c>
      <c r="M606">
        <v>3</v>
      </c>
      <c r="N606">
        <v>2</v>
      </c>
      <c r="O606" t="s">
        <v>53</v>
      </c>
      <c r="P606">
        <v>2</v>
      </c>
      <c r="Q606" t="s">
        <v>48</v>
      </c>
      <c r="R606">
        <v>4434</v>
      </c>
      <c r="S606">
        <v>1</v>
      </c>
      <c r="T606" t="s">
        <v>43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  <c r="AF606">
        <f t="shared" si="117"/>
        <v>0</v>
      </c>
      <c r="AG606">
        <f t="shared" si="118"/>
        <v>0</v>
      </c>
      <c r="AH606" t="str">
        <f t="shared" si="119"/>
        <v>Bachelor</v>
      </c>
      <c r="AI606" t="str">
        <f t="shared" si="120"/>
        <v>Medium</v>
      </c>
      <c r="AJ606" t="str">
        <f t="shared" si="121"/>
        <v>High</v>
      </c>
      <c r="AK606" t="str">
        <f t="shared" si="122"/>
        <v>Junior</v>
      </c>
      <c r="AL606" t="str">
        <f t="shared" si="123"/>
        <v>Medium</v>
      </c>
      <c r="AM606" t="str">
        <f t="shared" si="124"/>
        <v>Very High</v>
      </c>
      <c r="AN606" t="str">
        <f t="shared" si="125"/>
        <v>Low</v>
      </c>
      <c r="AO606" t="str">
        <f t="shared" si="126"/>
        <v>Good</v>
      </c>
      <c r="AP606" t="str">
        <f t="shared" si="127"/>
        <v>35-44</v>
      </c>
      <c r="AQ606" t="str">
        <f t="shared" si="128"/>
        <v>Lower-Mid</v>
      </c>
      <c r="AR606" t="str">
        <f t="shared" si="129"/>
        <v>6-10 Years</v>
      </c>
    </row>
    <row r="607" spans="1:44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46</v>
      </c>
      <c r="L607">
        <v>45</v>
      </c>
      <c r="M607">
        <v>2</v>
      </c>
      <c r="N607">
        <v>2</v>
      </c>
      <c r="O607" t="s">
        <v>54</v>
      </c>
      <c r="P607">
        <v>1</v>
      </c>
      <c r="Q607" t="s">
        <v>52</v>
      </c>
      <c r="R607">
        <v>6288</v>
      </c>
      <c r="S607">
        <v>2</v>
      </c>
      <c r="T607" t="s">
        <v>43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  <c r="AF607">
        <f t="shared" si="117"/>
        <v>0</v>
      </c>
      <c r="AG607">
        <f t="shared" si="118"/>
        <v>0</v>
      </c>
      <c r="AH607" t="str">
        <f t="shared" si="119"/>
        <v>Bachelor</v>
      </c>
      <c r="AI607" t="str">
        <f t="shared" si="120"/>
        <v>Low</v>
      </c>
      <c r="AJ607" t="str">
        <f t="shared" si="121"/>
        <v>Medium</v>
      </c>
      <c r="AK607" t="str">
        <f t="shared" si="122"/>
        <v>Junior</v>
      </c>
      <c r="AL607" t="str">
        <f t="shared" si="123"/>
        <v>Low</v>
      </c>
      <c r="AM607" t="str">
        <f t="shared" si="124"/>
        <v>High</v>
      </c>
      <c r="AN607" t="str">
        <f t="shared" si="125"/>
        <v>Low</v>
      </c>
      <c r="AO607" t="str">
        <f t="shared" si="126"/>
        <v>Good</v>
      </c>
      <c r="AP607" t="str">
        <f t="shared" si="127"/>
        <v>35-44</v>
      </c>
      <c r="AQ607" t="str">
        <f t="shared" si="128"/>
        <v>Lower-Mid</v>
      </c>
      <c r="AR607" t="str">
        <f t="shared" si="129"/>
        <v>3-5 Years</v>
      </c>
    </row>
    <row r="608" spans="1:44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100</v>
      </c>
      <c r="M608">
        <v>2</v>
      </c>
      <c r="N608">
        <v>1</v>
      </c>
      <c r="O608" t="s">
        <v>47</v>
      </c>
      <c r="P608">
        <v>4</v>
      </c>
      <c r="Q608" t="s">
        <v>41</v>
      </c>
      <c r="R608">
        <v>2553</v>
      </c>
      <c r="S608">
        <v>1</v>
      </c>
      <c r="T608" t="s">
        <v>43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  <c r="AF608">
        <f t="shared" si="117"/>
        <v>0</v>
      </c>
      <c r="AG608">
        <f t="shared" si="118"/>
        <v>0</v>
      </c>
      <c r="AH608" t="str">
        <f t="shared" si="119"/>
        <v>Master</v>
      </c>
      <c r="AI608" t="str">
        <f t="shared" si="120"/>
        <v>High</v>
      </c>
      <c r="AJ608" t="str">
        <f t="shared" si="121"/>
        <v>Medium</v>
      </c>
      <c r="AK608" t="str">
        <f t="shared" si="122"/>
        <v>Entry</v>
      </c>
      <c r="AL608" t="str">
        <f t="shared" si="123"/>
        <v>Very High</v>
      </c>
      <c r="AM608" t="str">
        <f t="shared" si="124"/>
        <v>High</v>
      </c>
      <c r="AN608" t="str">
        <f t="shared" si="125"/>
        <v>No Options</v>
      </c>
      <c r="AO608" t="str">
        <f t="shared" si="126"/>
        <v>Better</v>
      </c>
      <c r="AP608" t="str">
        <f t="shared" si="127"/>
        <v>25-34</v>
      </c>
      <c r="AQ608" t="str">
        <f t="shared" si="128"/>
        <v>Low</v>
      </c>
      <c r="AR608" t="str">
        <f t="shared" si="129"/>
        <v>3-5 Years</v>
      </c>
    </row>
    <row r="609" spans="1:44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t="s">
        <v>39</v>
      </c>
      <c r="L609">
        <v>43</v>
      </c>
      <c r="M609">
        <v>3</v>
      </c>
      <c r="N609">
        <v>3</v>
      </c>
      <c r="O609" t="s">
        <v>40</v>
      </c>
      <c r="P609">
        <v>4</v>
      </c>
      <c r="Q609" t="s">
        <v>48</v>
      </c>
      <c r="R609">
        <v>7654</v>
      </c>
      <c r="S609">
        <v>1</v>
      </c>
      <c r="T609" t="s">
        <v>43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  <c r="AF609">
        <f t="shared" si="117"/>
        <v>1</v>
      </c>
      <c r="AG609">
        <f t="shared" si="118"/>
        <v>0</v>
      </c>
      <c r="AH609" t="str">
        <f t="shared" si="119"/>
        <v>Bachelor</v>
      </c>
      <c r="AI609" t="str">
        <f t="shared" si="120"/>
        <v>High</v>
      </c>
      <c r="AJ609" t="str">
        <f t="shared" si="121"/>
        <v>High</v>
      </c>
      <c r="AK609" t="str">
        <f t="shared" si="122"/>
        <v>Mid-Level</v>
      </c>
      <c r="AL609" t="str">
        <f t="shared" si="123"/>
        <v>Very High</v>
      </c>
      <c r="AM609" t="str">
        <f t="shared" si="124"/>
        <v>Low</v>
      </c>
      <c r="AN609" t="str">
        <f t="shared" si="125"/>
        <v>Medium</v>
      </c>
      <c r="AO609" t="str">
        <f t="shared" si="126"/>
        <v>Best</v>
      </c>
      <c r="AP609" t="str">
        <f t="shared" si="127"/>
        <v>45-54</v>
      </c>
      <c r="AQ609" t="str">
        <f t="shared" si="128"/>
        <v>Upper-Mid</v>
      </c>
      <c r="AR609" t="str">
        <f t="shared" si="129"/>
        <v>6-10 Years</v>
      </c>
    </row>
    <row r="610" spans="1:44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46</v>
      </c>
      <c r="L610">
        <v>37</v>
      </c>
      <c r="M610">
        <v>3</v>
      </c>
      <c r="N610">
        <v>2</v>
      </c>
      <c r="O610" t="s">
        <v>40</v>
      </c>
      <c r="P610">
        <v>4</v>
      </c>
      <c r="Q610" t="s">
        <v>41</v>
      </c>
      <c r="R610">
        <v>5160</v>
      </c>
      <c r="S610">
        <v>4</v>
      </c>
      <c r="T610" t="s">
        <v>43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  <c r="AF610">
        <f t="shared" si="117"/>
        <v>1</v>
      </c>
      <c r="AG610">
        <f t="shared" si="118"/>
        <v>0</v>
      </c>
      <c r="AH610" t="str">
        <f t="shared" si="119"/>
        <v>Below College</v>
      </c>
      <c r="AI610" t="str">
        <f t="shared" si="120"/>
        <v>High</v>
      </c>
      <c r="AJ610" t="str">
        <f t="shared" si="121"/>
        <v>High</v>
      </c>
      <c r="AK610" t="str">
        <f t="shared" si="122"/>
        <v>Junior</v>
      </c>
      <c r="AL610" t="str">
        <f t="shared" si="123"/>
        <v>Very High</v>
      </c>
      <c r="AM610" t="str">
        <f t="shared" si="124"/>
        <v>High</v>
      </c>
      <c r="AN610" t="str">
        <f t="shared" si="125"/>
        <v>No Options</v>
      </c>
      <c r="AO610" t="str">
        <f t="shared" si="126"/>
        <v>Good</v>
      </c>
      <c r="AP610" t="str">
        <f t="shared" si="127"/>
        <v>55+</v>
      </c>
      <c r="AQ610" t="str">
        <f t="shared" si="128"/>
        <v>Lower-Mid</v>
      </c>
      <c r="AR610" t="str">
        <f t="shared" si="129"/>
        <v>6-10 Years</v>
      </c>
    </row>
    <row r="611" spans="1:44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46</v>
      </c>
      <c r="L611">
        <v>94</v>
      </c>
      <c r="M611">
        <v>3</v>
      </c>
      <c r="N611">
        <v>4</v>
      </c>
      <c r="O611" t="s">
        <v>58</v>
      </c>
      <c r="P611">
        <v>1</v>
      </c>
      <c r="Q611" t="s">
        <v>48</v>
      </c>
      <c r="R611">
        <v>17159</v>
      </c>
      <c r="S611">
        <v>6</v>
      </c>
      <c r="T611" t="s">
        <v>43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  <c r="AF611">
        <f t="shared" si="117"/>
        <v>0</v>
      </c>
      <c r="AG611">
        <f t="shared" si="118"/>
        <v>0</v>
      </c>
      <c r="AH611" t="str">
        <f t="shared" si="119"/>
        <v>College</v>
      </c>
      <c r="AI611" t="str">
        <f t="shared" si="120"/>
        <v>Medium</v>
      </c>
      <c r="AJ611" t="str">
        <f t="shared" si="121"/>
        <v>High</v>
      </c>
      <c r="AK611" t="str">
        <f t="shared" si="122"/>
        <v>Senior</v>
      </c>
      <c r="AL611" t="str">
        <f t="shared" si="123"/>
        <v>Low</v>
      </c>
      <c r="AM611" t="str">
        <f t="shared" si="124"/>
        <v>High</v>
      </c>
      <c r="AN611" t="str">
        <f t="shared" si="125"/>
        <v>Low</v>
      </c>
      <c r="AO611" t="str">
        <f t="shared" si="126"/>
        <v>Better</v>
      </c>
      <c r="AP611" t="str">
        <f t="shared" si="127"/>
        <v>35-44</v>
      </c>
      <c r="AQ611" t="str">
        <f t="shared" si="128"/>
        <v>High</v>
      </c>
      <c r="AR611" t="str">
        <f t="shared" si="129"/>
        <v>3-5 Years</v>
      </c>
    </row>
    <row r="612" spans="1:44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t="s">
        <v>46</v>
      </c>
      <c r="L612">
        <v>42</v>
      </c>
      <c r="M612">
        <v>2</v>
      </c>
      <c r="N612">
        <v>3</v>
      </c>
      <c r="O612" t="s">
        <v>58</v>
      </c>
      <c r="P612">
        <v>4</v>
      </c>
      <c r="Q612" t="s">
        <v>52</v>
      </c>
      <c r="R612">
        <v>12808</v>
      </c>
      <c r="S612">
        <v>1</v>
      </c>
      <c r="T612" t="s">
        <v>35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  <c r="AF612">
        <f t="shared" si="117"/>
        <v>0</v>
      </c>
      <c r="AG612">
        <f t="shared" si="118"/>
        <v>1</v>
      </c>
      <c r="AH612" t="str">
        <f t="shared" si="119"/>
        <v>Below College</v>
      </c>
      <c r="AI612" t="str">
        <f t="shared" si="120"/>
        <v>High</v>
      </c>
      <c r="AJ612" t="str">
        <f t="shared" si="121"/>
        <v>Medium</v>
      </c>
      <c r="AK612" t="str">
        <f t="shared" si="122"/>
        <v>Mid-Level</v>
      </c>
      <c r="AL612" t="str">
        <f t="shared" si="123"/>
        <v>Very High</v>
      </c>
      <c r="AM612" t="str">
        <f t="shared" si="124"/>
        <v>Medium</v>
      </c>
      <c r="AN612" t="str">
        <f t="shared" si="125"/>
        <v>Low</v>
      </c>
      <c r="AO612" t="str">
        <f t="shared" si="126"/>
        <v>Better</v>
      </c>
      <c r="AP612" t="str">
        <f t="shared" si="127"/>
        <v>25-34</v>
      </c>
      <c r="AQ612" t="str">
        <f t="shared" si="128"/>
        <v>Upper-Mid</v>
      </c>
      <c r="AR612" t="str">
        <f t="shared" si="129"/>
        <v>6-10 Years</v>
      </c>
    </row>
    <row r="613" spans="1:44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59</v>
      </c>
      <c r="M613">
        <v>3</v>
      </c>
      <c r="N613">
        <v>3</v>
      </c>
      <c r="O613" t="s">
        <v>53</v>
      </c>
      <c r="P613">
        <v>3</v>
      </c>
      <c r="Q613" t="s">
        <v>41</v>
      </c>
      <c r="R613">
        <v>10221</v>
      </c>
      <c r="S613">
        <v>3</v>
      </c>
      <c r="T613" t="s">
        <v>43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  <c r="AF613">
        <f t="shared" si="117"/>
        <v>0</v>
      </c>
      <c r="AG613">
        <f t="shared" si="118"/>
        <v>0</v>
      </c>
      <c r="AH613" t="str">
        <f t="shared" si="119"/>
        <v>Bachelor</v>
      </c>
      <c r="AI613" t="str">
        <f t="shared" si="120"/>
        <v>High</v>
      </c>
      <c r="AJ613" t="str">
        <f t="shared" si="121"/>
        <v>High</v>
      </c>
      <c r="AK613" t="str">
        <f t="shared" si="122"/>
        <v>Mid-Level</v>
      </c>
      <c r="AL613" t="str">
        <f t="shared" si="123"/>
        <v>High</v>
      </c>
      <c r="AM613" t="str">
        <f t="shared" si="124"/>
        <v>Medium</v>
      </c>
      <c r="AN613" t="str">
        <f t="shared" si="125"/>
        <v>No Options</v>
      </c>
      <c r="AO613" t="str">
        <f t="shared" si="126"/>
        <v>Best</v>
      </c>
      <c r="AP613" t="str">
        <f t="shared" si="127"/>
        <v>35-44</v>
      </c>
      <c r="AQ613" t="str">
        <f t="shared" si="128"/>
        <v>Upper-Mid</v>
      </c>
      <c r="AR613" t="str">
        <f t="shared" si="129"/>
        <v>6-10 Years</v>
      </c>
    </row>
    <row r="614" spans="1:44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t="s">
        <v>39</v>
      </c>
      <c r="L614">
        <v>81</v>
      </c>
      <c r="M614">
        <v>3</v>
      </c>
      <c r="N614">
        <v>2</v>
      </c>
      <c r="O614" t="s">
        <v>40</v>
      </c>
      <c r="P614">
        <v>2</v>
      </c>
      <c r="Q614" t="s">
        <v>48</v>
      </c>
      <c r="R614">
        <v>4779</v>
      </c>
      <c r="S614">
        <v>1</v>
      </c>
      <c r="T614" t="s">
        <v>35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  <c r="AF614">
        <f t="shared" si="117"/>
        <v>0</v>
      </c>
      <c r="AG614">
        <f t="shared" si="118"/>
        <v>1</v>
      </c>
      <c r="AH614" t="str">
        <f t="shared" si="119"/>
        <v>Master</v>
      </c>
      <c r="AI614" t="str">
        <f t="shared" si="120"/>
        <v>Medium</v>
      </c>
      <c r="AJ614" t="str">
        <f t="shared" si="121"/>
        <v>High</v>
      </c>
      <c r="AK614" t="str">
        <f t="shared" si="122"/>
        <v>Junior</v>
      </c>
      <c r="AL614" t="str">
        <f t="shared" si="123"/>
        <v>Medium</v>
      </c>
      <c r="AM614" t="str">
        <f t="shared" si="124"/>
        <v>Low</v>
      </c>
      <c r="AN614" t="str">
        <f t="shared" si="125"/>
        <v>No Options</v>
      </c>
      <c r="AO614" t="str">
        <f t="shared" si="126"/>
        <v>Better</v>
      </c>
      <c r="AP614" t="str">
        <f t="shared" si="127"/>
        <v>25-34</v>
      </c>
      <c r="AQ614" t="str">
        <f t="shared" si="128"/>
        <v>Lower-Mid</v>
      </c>
      <c r="AR614" t="str">
        <f t="shared" si="129"/>
        <v>6-10 Years</v>
      </c>
    </row>
    <row r="615" spans="1:44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t="s">
        <v>46</v>
      </c>
      <c r="L615">
        <v>88</v>
      </c>
      <c r="M615">
        <v>3</v>
      </c>
      <c r="N615">
        <v>1</v>
      </c>
      <c r="O615" t="s">
        <v>61</v>
      </c>
      <c r="P615">
        <v>4</v>
      </c>
      <c r="Q615" t="s">
        <v>48</v>
      </c>
      <c r="R615">
        <v>3737</v>
      </c>
      <c r="S615">
        <v>0</v>
      </c>
      <c r="T615" t="s">
        <v>43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  <c r="AF615">
        <f t="shared" si="117"/>
        <v>0</v>
      </c>
      <c r="AG615">
        <f t="shared" si="118"/>
        <v>0</v>
      </c>
      <c r="AH615" t="str">
        <f t="shared" si="119"/>
        <v>College</v>
      </c>
      <c r="AI615" t="str">
        <f t="shared" si="120"/>
        <v>High</v>
      </c>
      <c r="AJ615" t="str">
        <f t="shared" si="121"/>
        <v>High</v>
      </c>
      <c r="AK615" t="str">
        <f t="shared" si="122"/>
        <v>Entry</v>
      </c>
      <c r="AL615" t="str">
        <f t="shared" si="123"/>
        <v>Very High</v>
      </c>
      <c r="AM615" t="str">
        <f t="shared" si="124"/>
        <v>High</v>
      </c>
      <c r="AN615" t="str">
        <f t="shared" si="125"/>
        <v>Low</v>
      </c>
      <c r="AO615" t="str">
        <f t="shared" si="126"/>
        <v>Bad</v>
      </c>
      <c r="AP615" t="str">
        <f t="shared" si="127"/>
        <v>25-34</v>
      </c>
      <c r="AQ615" t="str">
        <f t="shared" si="128"/>
        <v>Lower-Mid</v>
      </c>
      <c r="AR615" t="str">
        <f t="shared" si="129"/>
        <v>3-5 Years</v>
      </c>
    </row>
    <row r="616" spans="1:44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39</v>
      </c>
      <c r="L616">
        <v>88</v>
      </c>
      <c r="M616">
        <v>2</v>
      </c>
      <c r="N616">
        <v>1</v>
      </c>
      <c r="O616" t="s">
        <v>47</v>
      </c>
      <c r="P616">
        <v>3</v>
      </c>
      <c r="Q616" t="s">
        <v>48</v>
      </c>
      <c r="R616">
        <v>2366</v>
      </c>
      <c r="S616">
        <v>1</v>
      </c>
      <c r="T616" t="s">
        <v>35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  <c r="AF616">
        <f t="shared" si="117"/>
        <v>1</v>
      </c>
      <c r="AG616">
        <f t="shared" si="118"/>
        <v>1</v>
      </c>
      <c r="AH616" t="str">
        <f t="shared" si="119"/>
        <v>College</v>
      </c>
      <c r="AI616" t="str">
        <f t="shared" si="120"/>
        <v>High</v>
      </c>
      <c r="AJ616" t="str">
        <f t="shared" si="121"/>
        <v>Medium</v>
      </c>
      <c r="AK616" t="str">
        <f t="shared" si="122"/>
        <v>Entry</v>
      </c>
      <c r="AL616" t="str">
        <f t="shared" si="123"/>
        <v>High</v>
      </c>
      <c r="AM616" t="str">
        <f t="shared" si="124"/>
        <v>Low</v>
      </c>
      <c r="AN616" t="str">
        <f t="shared" si="125"/>
        <v>Low</v>
      </c>
      <c r="AO616" t="str">
        <f t="shared" si="126"/>
        <v>Better</v>
      </c>
      <c r="AP616" t="str">
        <f t="shared" si="127"/>
        <v>25-34</v>
      </c>
      <c r="AQ616" t="str">
        <f t="shared" si="128"/>
        <v>Low</v>
      </c>
      <c r="AR616" t="str">
        <f t="shared" si="129"/>
        <v>6-10 Years</v>
      </c>
    </row>
    <row r="617" spans="1:44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46</v>
      </c>
      <c r="L617">
        <v>50</v>
      </c>
      <c r="M617">
        <v>3</v>
      </c>
      <c r="N617">
        <v>1</v>
      </c>
      <c r="O617" t="s">
        <v>47</v>
      </c>
      <c r="P617">
        <v>4</v>
      </c>
      <c r="Q617" t="s">
        <v>48</v>
      </c>
      <c r="R617">
        <v>1706</v>
      </c>
      <c r="S617">
        <v>1</v>
      </c>
      <c r="T617" t="s">
        <v>43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f t="shared" si="117"/>
        <v>0</v>
      </c>
      <c r="AG617">
        <f t="shared" si="118"/>
        <v>0</v>
      </c>
      <c r="AH617" t="str">
        <f t="shared" si="119"/>
        <v>Bachelor</v>
      </c>
      <c r="AI617" t="str">
        <f t="shared" si="120"/>
        <v>Very High</v>
      </c>
      <c r="AJ617" t="str">
        <f t="shared" si="121"/>
        <v>High</v>
      </c>
      <c r="AK617" t="str">
        <f t="shared" si="122"/>
        <v>Entry</v>
      </c>
      <c r="AL617" t="str">
        <f t="shared" si="123"/>
        <v>Very High</v>
      </c>
      <c r="AM617" t="str">
        <f t="shared" si="124"/>
        <v>High</v>
      </c>
      <c r="AN617" t="str">
        <f t="shared" si="125"/>
        <v>High</v>
      </c>
      <c r="AO617" t="str">
        <f t="shared" si="126"/>
        <v>Good</v>
      </c>
      <c r="AP617" t="str">
        <f t="shared" si="127"/>
        <v>25-34</v>
      </c>
      <c r="AQ617" t="str">
        <f t="shared" si="128"/>
        <v>Low</v>
      </c>
      <c r="AR617" t="str">
        <f t="shared" si="129"/>
        <v>0-2 Years</v>
      </c>
    </row>
    <row r="618" spans="1:44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t="s">
        <v>39</v>
      </c>
      <c r="L618">
        <v>66</v>
      </c>
      <c r="M618">
        <v>3</v>
      </c>
      <c r="N618">
        <v>4</v>
      </c>
      <c r="O618" t="s">
        <v>56</v>
      </c>
      <c r="P618">
        <v>3</v>
      </c>
      <c r="Q618" t="s">
        <v>48</v>
      </c>
      <c r="R618">
        <v>16307</v>
      </c>
      <c r="S618">
        <v>2</v>
      </c>
      <c r="T618" t="s">
        <v>43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  <c r="AF618">
        <f t="shared" si="117"/>
        <v>0</v>
      </c>
      <c r="AG618">
        <f t="shared" si="118"/>
        <v>0</v>
      </c>
      <c r="AH618" t="str">
        <f t="shared" si="119"/>
        <v>Master</v>
      </c>
      <c r="AI618" t="str">
        <f t="shared" si="120"/>
        <v>Low</v>
      </c>
      <c r="AJ618" t="str">
        <f t="shared" si="121"/>
        <v>High</v>
      </c>
      <c r="AK618" t="str">
        <f t="shared" si="122"/>
        <v>Senior</v>
      </c>
      <c r="AL618" t="str">
        <f t="shared" si="123"/>
        <v>High</v>
      </c>
      <c r="AM618" t="str">
        <f t="shared" si="124"/>
        <v>High</v>
      </c>
      <c r="AN618" t="str">
        <f t="shared" si="125"/>
        <v>Low</v>
      </c>
      <c r="AO618" t="str">
        <f t="shared" si="126"/>
        <v>Good</v>
      </c>
      <c r="AP618" t="str">
        <f t="shared" si="127"/>
        <v>45-54</v>
      </c>
      <c r="AQ618" t="str">
        <f t="shared" si="128"/>
        <v>High</v>
      </c>
      <c r="AR618" t="str">
        <f t="shared" si="129"/>
        <v>11-20 Years</v>
      </c>
    </row>
    <row r="619" spans="1:44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46</v>
      </c>
      <c r="L619">
        <v>50</v>
      </c>
      <c r="M619">
        <v>3</v>
      </c>
      <c r="N619">
        <v>2</v>
      </c>
      <c r="O619" t="s">
        <v>54</v>
      </c>
      <c r="P619">
        <v>2</v>
      </c>
      <c r="Q619" t="s">
        <v>41</v>
      </c>
      <c r="R619">
        <v>5933</v>
      </c>
      <c r="S619">
        <v>9</v>
      </c>
      <c r="T619" t="s">
        <v>43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  <c r="AF619">
        <f t="shared" si="117"/>
        <v>0</v>
      </c>
      <c r="AG619">
        <f t="shared" si="118"/>
        <v>0</v>
      </c>
      <c r="AH619" t="str">
        <f t="shared" si="119"/>
        <v>Bachelor</v>
      </c>
      <c r="AI619" t="str">
        <f t="shared" si="120"/>
        <v>Very High</v>
      </c>
      <c r="AJ619" t="str">
        <f t="shared" si="121"/>
        <v>High</v>
      </c>
      <c r="AK619" t="str">
        <f t="shared" si="122"/>
        <v>Junior</v>
      </c>
      <c r="AL619" t="str">
        <f t="shared" si="123"/>
        <v>Medium</v>
      </c>
      <c r="AM619" t="str">
        <f t="shared" si="124"/>
        <v>Very High</v>
      </c>
      <c r="AN619" t="str">
        <f t="shared" si="125"/>
        <v>No Options</v>
      </c>
      <c r="AO619" t="str">
        <f t="shared" si="126"/>
        <v>Good</v>
      </c>
      <c r="AP619" t="str">
        <f t="shared" si="127"/>
        <v>35-44</v>
      </c>
      <c r="AQ619" t="str">
        <f t="shared" si="128"/>
        <v>Lower-Mid</v>
      </c>
      <c r="AR619" t="str">
        <f t="shared" si="129"/>
        <v>3-5 Years</v>
      </c>
    </row>
    <row r="620" spans="1:44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46</v>
      </c>
      <c r="L620">
        <v>65</v>
      </c>
      <c r="M620">
        <v>4</v>
      </c>
      <c r="N620">
        <v>1</v>
      </c>
      <c r="O620" t="s">
        <v>47</v>
      </c>
      <c r="P620">
        <v>1</v>
      </c>
      <c r="Q620" t="s">
        <v>41</v>
      </c>
      <c r="R620">
        <v>3424</v>
      </c>
      <c r="S620">
        <v>7</v>
      </c>
      <c r="T620" t="s">
        <v>43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  <c r="AF620">
        <f t="shared" si="117"/>
        <v>0</v>
      </c>
      <c r="AG620">
        <f t="shared" si="118"/>
        <v>0</v>
      </c>
      <c r="AH620" t="str">
        <f t="shared" si="119"/>
        <v>Below College</v>
      </c>
      <c r="AI620" t="str">
        <f t="shared" si="120"/>
        <v>Low</v>
      </c>
      <c r="AJ620" t="str">
        <f t="shared" si="121"/>
        <v>Very High</v>
      </c>
      <c r="AK620" t="str">
        <f t="shared" si="122"/>
        <v>Entry</v>
      </c>
      <c r="AL620" t="str">
        <f t="shared" si="123"/>
        <v>Low</v>
      </c>
      <c r="AM620" t="str">
        <f t="shared" si="124"/>
        <v>High</v>
      </c>
      <c r="AN620" t="str">
        <f t="shared" si="125"/>
        <v>No Options</v>
      </c>
      <c r="AO620" t="str">
        <f t="shared" si="126"/>
        <v>Good</v>
      </c>
      <c r="AP620" t="str">
        <f t="shared" si="127"/>
        <v>25-34</v>
      </c>
      <c r="AQ620" t="str">
        <f t="shared" si="128"/>
        <v>Lower-Mid</v>
      </c>
      <c r="AR620" t="str">
        <f t="shared" si="129"/>
        <v>3-5 Years</v>
      </c>
    </row>
    <row r="621" spans="1:44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46</v>
      </c>
      <c r="L621">
        <v>48</v>
      </c>
      <c r="M621">
        <v>4</v>
      </c>
      <c r="N621">
        <v>2</v>
      </c>
      <c r="O621" t="s">
        <v>40</v>
      </c>
      <c r="P621">
        <v>1</v>
      </c>
      <c r="Q621" t="s">
        <v>52</v>
      </c>
      <c r="R621">
        <v>4037</v>
      </c>
      <c r="S621">
        <v>1</v>
      </c>
      <c r="T621" t="s">
        <v>43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  <c r="AF621">
        <f t="shared" si="117"/>
        <v>0</v>
      </c>
      <c r="AG621">
        <f t="shared" si="118"/>
        <v>0</v>
      </c>
      <c r="AH621" t="str">
        <f t="shared" si="119"/>
        <v>Bachelor</v>
      </c>
      <c r="AI621" t="str">
        <f t="shared" si="120"/>
        <v>Low</v>
      </c>
      <c r="AJ621" t="str">
        <f t="shared" si="121"/>
        <v>Very High</v>
      </c>
      <c r="AK621" t="str">
        <f t="shared" si="122"/>
        <v>Junior</v>
      </c>
      <c r="AL621" t="str">
        <f t="shared" si="123"/>
        <v>Low</v>
      </c>
      <c r="AM621" t="str">
        <f t="shared" si="124"/>
        <v>Low</v>
      </c>
      <c r="AN621" t="str">
        <f t="shared" si="125"/>
        <v>Low</v>
      </c>
      <c r="AO621" t="str">
        <f t="shared" si="126"/>
        <v>Better</v>
      </c>
      <c r="AP621" t="str">
        <f t="shared" si="127"/>
        <v>25-34</v>
      </c>
      <c r="AQ621" t="str">
        <f t="shared" si="128"/>
        <v>Lower-Mid</v>
      </c>
      <c r="AR621" t="str">
        <f t="shared" si="129"/>
        <v>6-10 Years</v>
      </c>
    </row>
    <row r="622" spans="1:44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39</v>
      </c>
      <c r="L622">
        <v>53</v>
      </c>
      <c r="M622">
        <v>2</v>
      </c>
      <c r="N622">
        <v>1</v>
      </c>
      <c r="O622" t="s">
        <v>47</v>
      </c>
      <c r="P622">
        <v>1</v>
      </c>
      <c r="Q622" t="s">
        <v>41</v>
      </c>
      <c r="R622">
        <v>2559</v>
      </c>
      <c r="S622">
        <v>1</v>
      </c>
      <c r="T622" t="s">
        <v>43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  <c r="AF622">
        <f t="shared" si="117"/>
        <v>0</v>
      </c>
      <c r="AG622">
        <f t="shared" si="118"/>
        <v>0</v>
      </c>
      <c r="AH622" t="str">
        <f t="shared" si="119"/>
        <v>Below College</v>
      </c>
      <c r="AI622" t="str">
        <f t="shared" si="120"/>
        <v>High</v>
      </c>
      <c r="AJ622" t="str">
        <f t="shared" si="121"/>
        <v>Medium</v>
      </c>
      <c r="AK622" t="str">
        <f t="shared" si="122"/>
        <v>Entry</v>
      </c>
      <c r="AL622" t="str">
        <f t="shared" si="123"/>
        <v>Low</v>
      </c>
      <c r="AM622" t="str">
        <f t="shared" si="124"/>
        <v>Very High</v>
      </c>
      <c r="AN622" t="str">
        <f t="shared" si="125"/>
        <v>No Options</v>
      </c>
      <c r="AO622" t="str">
        <f t="shared" si="126"/>
        <v>Good</v>
      </c>
      <c r="AP622" t="str">
        <f t="shared" si="127"/>
        <v>35-44</v>
      </c>
      <c r="AQ622" t="str">
        <f t="shared" si="128"/>
        <v>Low</v>
      </c>
      <c r="AR622" t="str">
        <f t="shared" si="129"/>
        <v>6-10 Years</v>
      </c>
    </row>
    <row r="623" spans="1:44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46</v>
      </c>
      <c r="L623">
        <v>56</v>
      </c>
      <c r="M623">
        <v>3</v>
      </c>
      <c r="N623">
        <v>2</v>
      </c>
      <c r="O623" t="s">
        <v>40</v>
      </c>
      <c r="P623">
        <v>4</v>
      </c>
      <c r="Q623" t="s">
        <v>48</v>
      </c>
      <c r="R623">
        <v>6201</v>
      </c>
      <c r="S623">
        <v>1</v>
      </c>
      <c r="T623" t="s">
        <v>35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  <c r="AF623">
        <f t="shared" si="117"/>
        <v>0</v>
      </c>
      <c r="AG623">
        <f t="shared" si="118"/>
        <v>1</v>
      </c>
      <c r="AH623" t="str">
        <f t="shared" si="119"/>
        <v>College</v>
      </c>
      <c r="AI623" t="str">
        <f t="shared" si="120"/>
        <v>Medium</v>
      </c>
      <c r="AJ623" t="str">
        <f t="shared" si="121"/>
        <v>High</v>
      </c>
      <c r="AK623" t="str">
        <f t="shared" si="122"/>
        <v>Junior</v>
      </c>
      <c r="AL623" t="str">
        <f t="shared" si="123"/>
        <v>Very High</v>
      </c>
      <c r="AM623" t="str">
        <f t="shared" si="124"/>
        <v>Very High</v>
      </c>
      <c r="AN623" t="str">
        <f t="shared" si="125"/>
        <v>Low</v>
      </c>
      <c r="AO623" t="str">
        <f t="shared" si="126"/>
        <v>Good</v>
      </c>
      <c r="AP623" t="str">
        <f t="shared" si="127"/>
        <v>35-44</v>
      </c>
      <c r="AQ623" t="str">
        <f t="shared" si="128"/>
        <v>Lower-Mid</v>
      </c>
      <c r="AR623" t="str">
        <f t="shared" si="129"/>
        <v>11-20 Years</v>
      </c>
    </row>
    <row r="624" spans="1:44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46</v>
      </c>
      <c r="L624">
        <v>73</v>
      </c>
      <c r="M624">
        <v>3</v>
      </c>
      <c r="N624">
        <v>2</v>
      </c>
      <c r="O624" t="s">
        <v>40</v>
      </c>
      <c r="P624">
        <v>4</v>
      </c>
      <c r="Q624" t="s">
        <v>52</v>
      </c>
      <c r="R624">
        <v>4403</v>
      </c>
      <c r="S624">
        <v>2</v>
      </c>
      <c r="T624" t="s">
        <v>43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  <c r="AF624">
        <f t="shared" si="117"/>
        <v>0</v>
      </c>
      <c r="AG624">
        <f t="shared" si="118"/>
        <v>0</v>
      </c>
      <c r="AH624" t="str">
        <f t="shared" si="119"/>
        <v>Master</v>
      </c>
      <c r="AI624" t="str">
        <f t="shared" si="120"/>
        <v>Medium</v>
      </c>
      <c r="AJ624" t="str">
        <f t="shared" si="121"/>
        <v>High</v>
      </c>
      <c r="AK624" t="str">
        <f t="shared" si="122"/>
        <v>Junior</v>
      </c>
      <c r="AL624" t="str">
        <f t="shared" si="123"/>
        <v>Very High</v>
      </c>
      <c r="AM624" t="str">
        <f t="shared" si="124"/>
        <v>High</v>
      </c>
      <c r="AN624" t="str">
        <f t="shared" si="125"/>
        <v>Low</v>
      </c>
      <c r="AO624" t="str">
        <f t="shared" si="126"/>
        <v>Good</v>
      </c>
      <c r="AP624" t="str">
        <f t="shared" si="127"/>
        <v>25-34</v>
      </c>
      <c r="AQ624" t="str">
        <f t="shared" si="128"/>
        <v>Lower-Mid</v>
      </c>
      <c r="AR624" t="str">
        <f t="shared" si="129"/>
        <v>3-5 Years</v>
      </c>
    </row>
    <row r="625" spans="1:44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46</v>
      </c>
      <c r="L625">
        <v>75</v>
      </c>
      <c r="M625">
        <v>2</v>
      </c>
      <c r="N625">
        <v>1</v>
      </c>
      <c r="O625" t="s">
        <v>47</v>
      </c>
      <c r="P625">
        <v>4</v>
      </c>
      <c r="Q625" t="s">
        <v>52</v>
      </c>
      <c r="R625">
        <v>3761</v>
      </c>
      <c r="S625">
        <v>9</v>
      </c>
      <c r="T625" t="s">
        <v>43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  <c r="AF625">
        <f t="shared" si="117"/>
        <v>0</v>
      </c>
      <c r="AG625">
        <f t="shared" si="118"/>
        <v>0</v>
      </c>
      <c r="AH625" t="str">
        <f t="shared" si="119"/>
        <v>Master</v>
      </c>
      <c r="AI625" t="str">
        <f t="shared" si="120"/>
        <v>Medium</v>
      </c>
      <c r="AJ625" t="str">
        <f t="shared" si="121"/>
        <v>Medium</v>
      </c>
      <c r="AK625" t="str">
        <f t="shared" si="122"/>
        <v>Entry</v>
      </c>
      <c r="AL625" t="str">
        <f t="shared" si="123"/>
        <v>Very High</v>
      </c>
      <c r="AM625" t="str">
        <f t="shared" si="124"/>
        <v>Medium</v>
      </c>
      <c r="AN625" t="str">
        <f t="shared" si="125"/>
        <v>Low</v>
      </c>
      <c r="AO625" t="str">
        <f t="shared" si="126"/>
        <v>Good</v>
      </c>
      <c r="AP625" t="str">
        <f t="shared" si="127"/>
        <v>25-34</v>
      </c>
      <c r="AQ625" t="str">
        <f t="shared" si="128"/>
        <v>Lower-Mid</v>
      </c>
      <c r="AR625" t="str">
        <f t="shared" si="129"/>
        <v>3-5 Years</v>
      </c>
    </row>
    <row r="626" spans="1:44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t="s">
        <v>39</v>
      </c>
      <c r="L626">
        <v>78</v>
      </c>
      <c r="M626">
        <v>2</v>
      </c>
      <c r="N626">
        <v>3</v>
      </c>
      <c r="O626" t="s">
        <v>40</v>
      </c>
      <c r="P626">
        <v>4</v>
      </c>
      <c r="Q626" t="s">
        <v>48</v>
      </c>
      <c r="R626">
        <v>10934</v>
      </c>
      <c r="S626">
        <v>7</v>
      </c>
      <c r="T626" t="s">
        <v>35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  <c r="AF626">
        <f t="shared" si="117"/>
        <v>0</v>
      </c>
      <c r="AG626">
        <f t="shared" si="118"/>
        <v>1</v>
      </c>
      <c r="AH626" t="str">
        <f t="shared" si="119"/>
        <v>College</v>
      </c>
      <c r="AI626" t="str">
        <f t="shared" si="120"/>
        <v>Low</v>
      </c>
      <c r="AJ626" t="str">
        <f t="shared" si="121"/>
        <v>Medium</v>
      </c>
      <c r="AK626" t="str">
        <f t="shared" si="122"/>
        <v>Mid-Level</v>
      </c>
      <c r="AL626" t="str">
        <f t="shared" si="123"/>
        <v>Very High</v>
      </c>
      <c r="AM626" t="str">
        <f t="shared" si="124"/>
        <v>Very High</v>
      </c>
      <c r="AN626" t="str">
        <f t="shared" si="125"/>
        <v>Low</v>
      </c>
      <c r="AO626" t="str">
        <f t="shared" si="126"/>
        <v>Better</v>
      </c>
      <c r="AP626" t="str">
        <f t="shared" si="127"/>
        <v>45-54</v>
      </c>
      <c r="AQ626" t="str">
        <f t="shared" si="128"/>
        <v>Upper-Mid</v>
      </c>
      <c r="AR626" t="str">
        <f t="shared" si="129"/>
        <v>3-5 Years</v>
      </c>
    </row>
    <row r="627" spans="1:44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t="s">
        <v>46</v>
      </c>
      <c r="L627">
        <v>74</v>
      </c>
      <c r="M627">
        <v>3</v>
      </c>
      <c r="N627">
        <v>3</v>
      </c>
      <c r="O627" t="s">
        <v>40</v>
      </c>
      <c r="P627">
        <v>1</v>
      </c>
      <c r="Q627" t="s">
        <v>52</v>
      </c>
      <c r="R627">
        <v>10761</v>
      </c>
      <c r="S627">
        <v>4</v>
      </c>
      <c r="T627" t="s">
        <v>35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  <c r="AF627">
        <f t="shared" si="117"/>
        <v>0</v>
      </c>
      <c r="AG627">
        <f t="shared" si="118"/>
        <v>1</v>
      </c>
      <c r="AH627" t="str">
        <f t="shared" si="119"/>
        <v>Bachelor</v>
      </c>
      <c r="AI627" t="str">
        <f t="shared" si="120"/>
        <v>Very High</v>
      </c>
      <c r="AJ627" t="str">
        <f t="shared" si="121"/>
        <v>High</v>
      </c>
      <c r="AK627" t="str">
        <f t="shared" si="122"/>
        <v>Mid-Level</v>
      </c>
      <c r="AL627" t="str">
        <f t="shared" si="123"/>
        <v>Low</v>
      </c>
      <c r="AM627" t="str">
        <f t="shared" si="124"/>
        <v>High</v>
      </c>
      <c r="AN627" t="str">
        <f t="shared" si="125"/>
        <v>Low</v>
      </c>
      <c r="AO627" t="str">
        <f t="shared" si="126"/>
        <v>Better</v>
      </c>
      <c r="AP627" t="str">
        <f t="shared" si="127"/>
        <v>45-54</v>
      </c>
      <c r="AQ627" t="str">
        <f t="shared" si="128"/>
        <v>Upper-Mid</v>
      </c>
      <c r="AR627" t="str">
        <f t="shared" si="129"/>
        <v>3-5 Years</v>
      </c>
    </row>
    <row r="628" spans="1:44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39</v>
      </c>
      <c r="L628">
        <v>91</v>
      </c>
      <c r="M628">
        <v>4</v>
      </c>
      <c r="N628">
        <v>2</v>
      </c>
      <c r="O628" t="s">
        <v>47</v>
      </c>
      <c r="P628">
        <v>3</v>
      </c>
      <c r="Q628" t="s">
        <v>48</v>
      </c>
      <c r="R628">
        <v>5175</v>
      </c>
      <c r="S628">
        <v>5</v>
      </c>
      <c r="T628" t="s">
        <v>43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  <c r="AF628">
        <f t="shared" si="117"/>
        <v>0</v>
      </c>
      <c r="AG628">
        <f t="shared" si="118"/>
        <v>0</v>
      </c>
      <c r="AH628" t="str">
        <f t="shared" si="119"/>
        <v>College</v>
      </c>
      <c r="AI628" t="str">
        <f t="shared" si="120"/>
        <v>High</v>
      </c>
      <c r="AJ628" t="str">
        <f t="shared" si="121"/>
        <v>Very High</v>
      </c>
      <c r="AK628" t="str">
        <f t="shared" si="122"/>
        <v>Junior</v>
      </c>
      <c r="AL628" t="str">
        <f t="shared" si="123"/>
        <v>High</v>
      </c>
      <c r="AM628" t="str">
        <f t="shared" si="124"/>
        <v>High</v>
      </c>
      <c r="AN628" t="str">
        <f t="shared" si="125"/>
        <v>Low</v>
      </c>
      <c r="AO628" t="str">
        <f t="shared" si="126"/>
        <v>Good</v>
      </c>
      <c r="AP628" t="str">
        <f t="shared" si="127"/>
        <v>25-34</v>
      </c>
      <c r="AQ628" t="str">
        <f t="shared" si="128"/>
        <v>Lower-Mid</v>
      </c>
      <c r="AR628" t="str">
        <f t="shared" si="129"/>
        <v>3-5 Years</v>
      </c>
    </row>
    <row r="629" spans="1:44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39</v>
      </c>
      <c r="L629">
        <v>81</v>
      </c>
      <c r="M629">
        <v>2</v>
      </c>
      <c r="N629">
        <v>4</v>
      </c>
      <c r="O629" t="s">
        <v>53</v>
      </c>
      <c r="P629">
        <v>4</v>
      </c>
      <c r="Q629" t="s">
        <v>48</v>
      </c>
      <c r="R629">
        <v>13826</v>
      </c>
      <c r="S629">
        <v>3</v>
      </c>
      <c r="T629" t="s">
        <v>43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  <c r="AF629">
        <f t="shared" si="117"/>
        <v>0</v>
      </c>
      <c r="AG629">
        <f t="shared" si="118"/>
        <v>0</v>
      </c>
      <c r="AH629" t="str">
        <f t="shared" si="119"/>
        <v>Master</v>
      </c>
      <c r="AI629" t="str">
        <f t="shared" si="120"/>
        <v>High</v>
      </c>
      <c r="AJ629" t="str">
        <f t="shared" si="121"/>
        <v>Medium</v>
      </c>
      <c r="AK629" t="str">
        <f t="shared" si="122"/>
        <v>Senior</v>
      </c>
      <c r="AL629" t="str">
        <f t="shared" si="123"/>
        <v>Very High</v>
      </c>
      <c r="AM629" t="str">
        <f t="shared" si="124"/>
        <v>High</v>
      </c>
      <c r="AN629" t="str">
        <f t="shared" si="125"/>
        <v>No Options</v>
      </c>
      <c r="AO629" t="str">
        <f t="shared" si="126"/>
        <v>Better</v>
      </c>
      <c r="AP629" t="str">
        <f t="shared" si="127"/>
        <v>45-54</v>
      </c>
      <c r="AQ629" t="str">
        <f t="shared" si="128"/>
        <v>High</v>
      </c>
      <c r="AR629" t="str">
        <f t="shared" si="129"/>
        <v>6-10 Years</v>
      </c>
    </row>
    <row r="630" spans="1:44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t="s">
        <v>46</v>
      </c>
      <c r="L630">
        <v>66</v>
      </c>
      <c r="M630">
        <v>2</v>
      </c>
      <c r="N630">
        <v>2</v>
      </c>
      <c r="O630" t="s">
        <v>40</v>
      </c>
      <c r="P630">
        <v>3</v>
      </c>
      <c r="Q630" t="s">
        <v>52</v>
      </c>
      <c r="R630">
        <v>6334</v>
      </c>
      <c r="S630">
        <v>4</v>
      </c>
      <c r="T630" t="s">
        <v>43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  <c r="AF630">
        <f t="shared" si="117"/>
        <v>0</v>
      </c>
      <c r="AG630">
        <f t="shared" si="118"/>
        <v>0</v>
      </c>
      <c r="AH630" t="str">
        <f t="shared" si="119"/>
        <v>Master</v>
      </c>
      <c r="AI630" t="str">
        <f t="shared" si="120"/>
        <v>Very High</v>
      </c>
      <c r="AJ630" t="str">
        <f t="shared" si="121"/>
        <v>Medium</v>
      </c>
      <c r="AK630" t="str">
        <f t="shared" si="122"/>
        <v>Junior</v>
      </c>
      <c r="AL630" t="str">
        <f t="shared" si="123"/>
        <v>High</v>
      </c>
      <c r="AM630" t="str">
        <f t="shared" si="124"/>
        <v>Very High</v>
      </c>
      <c r="AN630" t="str">
        <f t="shared" si="125"/>
        <v>Medium</v>
      </c>
      <c r="AO630" t="str">
        <f t="shared" si="126"/>
        <v>Better</v>
      </c>
      <c r="AP630" t="str">
        <f t="shared" si="127"/>
        <v>35-44</v>
      </c>
      <c r="AQ630" t="str">
        <f t="shared" si="128"/>
        <v>Lower-Mid</v>
      </c>
      <c r="AR630" t="str">
        <f t="shared" si="129"/>
        <v>0-2 Years</v>
      </c>
    </row>
    <row r="631" spans="1:44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46</v>
      </c>
      <c r="L631">
        <v>63</v>
      </c>
      <c r="M631">
        <v>2</v>
      </c>
      <c r="N631">
        <v>1</v>
      </c>
      <c r="O631" t="s">
        <v>61</v>
      </c>
      <c r="P631">
        <v>4</v>
      </c>
      <c r="Q631" t="s">
        <v>52</v>
      </c>
      <c r="R631">
        <v>4936</v>
      </c>
      <c r="S631">
        <v>1</v>
      </c>
      <c r="T631" t="s">
        <v>43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  <c r="AF631">
        <f t="shared" si="117"/>
        <v>0</v>
      </c>
      <c r="AG631">
        <f t="shared" si="118"/>
        <v>0</v>
      </c>
      <c r="AH631" t="str">
        <f t="shared" si="119"/>
        <v>College</v>
      </c>
      <c r="AI631" t="str">
        <f t="shared" si="120"/>
        <v>Medium</v>
      </c>
      <c r="AJ631" t="str">
        <f t="shared" si="121"/>
        <v>Medium</v>
      </c>
      <c r="AK631" t="str">
        <f t="shared" si="122"/>
        <v>Entry</v>
      </c>
      <c r="AL631" t="str">
        <f t="shared" si="123"/>
        <v>Very High</v>
      </c>
      <c r="AM631" t="str">
        <f t="shared" si="124"/>
        <v>Very High</v>
      </c>
      <c r="AN631" t="str">
        <f t="shared" si="125"/>
        <v>Low</v>
      </c>
      <c r="AO631" t="str">
        <f t="shared" si="126"/>
        <v>Better</v>
      </c>
      <c r="AP631" t="str">
        <f t="shared" si="127"/>
        <v>25-34</v>
      </c>
      <c r="AQ631" t="str">
        <f t="shared" si="128"/>
        <v>Lower-Mid</v>
      </c>
      <c r="AR631" t="str">
        <f t="shared" si="129"/>
        <v>3-5 Years</v>
      </c>
    </row>
    <row r="632" spans="1:44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46</v>
      </c>
      <c r="L632">
        <v>33</v>
      </c>
      <c r="M632">
        <v>2</v>
      </c>
      <c r="N632">
        <v>2</v>
      </c>
      <c r="O632" t="s">
        <v>53</v>
      </c>
      <c r="P632">
        <v>4</v>
      </c>
      <c r="Q632" t="s">
        <v>48</v>
      </c>
      <c r="R632">
        <v>4775</v>
      </c>
      <c r="S632">
        <v>6</v>
      </c>
      <c r="T632" t="s">
        <v>43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  <c r="AF632">
        <f t="shared" si="117"/>
        <v>0</v>
      </c>
      <c r="AG632">
        <f t="shared" si="118"/>
        <v>0</v>
      </c>
      <c r="AH632" t="str">
        <f t="shared" si="119"/>
        <v>College</v>
      </c>
      <c r="AI632" t="str">
        <f t="shared" si="120"/>
        <v>Very High</v>
      </c>
      <c r="AJ632" t="str">
        <f t="shared" si="121"/>
        <v>Medium</v>
      </c>
      <c r="AK632" t="str">
        <f t="shared" si="122"/>
        <v>Junior</v>
      </c>
      <c r="AL632" t="str">
        <f t="shared" si="123"/>
        <v>Very High</v>
      </c>
      <c r="AM632" t="str">
        <f t="shared" si="124"/>
        <v>Low</v>
      </c>
      <c r="AN632" t="str">
        <f t="shared" si="125"/>
        <v>Medium</v>
      </c>
      <c r="AO632" t="str">
        <f t="shared" si="126"/>
        <v>Bad</v>
      </c>
      <c r="AP632" t="str">
        <f t="shared" si="127"/>
        <v>Under 25</v>
      </c>
      <c r="AQ632" t="str">
        <f t="shared" si="128"/>
        <v>Lower-Mid</v>
      </c>
      <c r="AR632" t="str">
        <f t="shared" si="129"/>
        <v>0-2 Years</v>
      </c>
    </row>
    <row r="633" spans="1:44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46</v>
      </c>
      <c r="L633">
        <v>62</v>
      </c>
      <c r="M633">
        <v>4</v>
      </c>
      <c r="N633">
        <v>1</v>
      </c>
      <c r="O633" t="s">
        <v>50</v>
      </c>
      <c r="P633">
        <v>4</v>
      </c>
      <c r="Q633" t="s">
        <v>48</v>
      </c>
      <c r="R633">
        <v>2818</v>
      </c>
      <c r="S633">
        <v>2</v>
      </c>
      <c r="T633" t="s">
        <v>35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  <c r="AF633">
        <f t="shared" si="117"/>
        <v>0</v>
      </c>
      <c r="AG633">
        <f t="shared" si="118"/>
        <v>1</v>
      </c>
      <c r="AH633" t="str">
        <f t="shared" si="119"/>
        <v>Master</v>
      </c>
      <c r="AI633" t="str">
        <f t="shared" si="120"/>
        <v>Low</v>
      </c>
      <c r="AJ633" t="str">
        <f t="shared" si="121"/>
        <v>Very High</v>
      </c>
      <c r="AK633" t="str">
        <f t="shared" si="122"/>
        <v>Entry</v>
      </c>
      <c r="AL633" t="str">
        <f t="shared" si="123"/>
        <v>Very High</v>
      </c>
      <c r="AM633" t="str">
        <f t="shared" si="124"/>
        <v>High</v>
      </c>
      <c r="AN633" t="str">
        <f t="shared" si="125"/>
        <v>Low</v>
      </c>
      <c r="AO633" t="str">
        <f t="shared" si="126"/>
        <v>Good</v>
      </c>
      <c r="AP633" t="str">
        <f t="shared" si="127"/>
        <v>35-44</v>
      </c>
      <c r="AQ633" t="str">
        <f t="shared" si="128"/>
        <v>Low</v>
      </c>
      <c r="AR633" t="str">
        <f t="shared" si="129"/>
        <v>3-5 Years</v>
      </c>
    </row>
    <row r="634" spans="1:44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46</v>
      </c>
      <c r="L634">
        <v>35</v>
      </c>
      <c r="M634">
        <v>3</v>
      </c>
      <c r="N634">
        <v>1</v>
      </c>
      <c r="O634" t="s">
        <v>47</v>
      </c>
      <c r="P634">
        <v>4</v>
      </c>
      <c r="Q634" t="s">
        <v>41</v>
      </c>
      <c r="R634">
        <v>2515</v>
      </c>
      <c r="S634">
        <v>5</v>
      </c>
      <c r="T634" t="s">
        <v>35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  <c r="AF634">
        <f t="shared" si="117"/>
        <v>0</v>
      </c>
      <c r="AG634">
        <f t="shared" si="118"/>
        <v>1</v>
      </c>
      <c r="AH634" t="str">
        <f t="shared" si="119"/>
        <v>Below College</v>
      </c>
      <c r="AI634" t="str">
        <f t="shared" si="120"/>
        <v>Medium</v>
      </c>
      <c r="AJ634" t="str">
        <f t="shared" si="121"/>
        <v>High</v>
      </c>
      <c r="AK634" t="str">
        <f t="shared" si="122"/>
        <v>Entry</v>
      </c>
      <c r="AL634" t="str">
        <f t="shared" si="123"/>
        <v>Very High</v>
      </c>
      <c r="AM634" t="str">
        <f t="shared" si="124"/>
        <v>Very High</v>
      </c>
      <c r="AN634" t="str">
        <f t="shared" si="125"/>
        <v>No Options</v>
      </c>
      <c r="AO634" t="str">
        <f t="shared" si="126"/>
        <v>Better</v>
      </c>
      <c r="AP634" t="str">
        <f t="shared" si="127"/>
        <v>35-44</v>
      </c>
      <c r="AQ634" t="str">
        <f t="shared" si="128"/>
        <v>Low</v>
      </c>
      <c r="AR634" t="str">
        <f t="shared" si="129"/>
        <v>0-2 Years</v>
      </c>
    </row>
    <row r="635" spans="1:44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46</v>
      </c>
      <c r="L635">
        <v>77</v>
      </c>
      <c r="M635">
        <v>2</v>
      </c>
      <c r="N635">
        <v>1</v>
      </c>
      <c r="O635" t="s">
        <v>61</v>
      </c>
      <c r="P635">
        <v>1</v>
      </c>
      <c r="Q635" t="s">
        <v>48</v>
      </c>
      <c r="R635">
        <v>2342</v>
      </c>
      <c r="S635">
        <v>0</v>
      </c>
      <c r="T635" t="s">
        <v>43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  <c r="AF635">
        <f t="shared" si="117"/>
        <v>0</v>
      </c>
      <c r="AG635">
        <f t="shared" si="118"/>
        <v>0</v>
      </c>
      <c r="AH635" t="str">
        <f t="shared" si="119"/>
        <v>Bachelor</v>
      </c>
      <c r="AI635" t="str">
        <f t="shared" si="120"/>
        <v>Low</v>
      </c>
      <c r="AJ635" t="str">
        <f t="shared" si="121"/>
        <v>Medium</v>
      </c>
      <c r="AK635" t="str">
        <f t="shared" si="122"/>
        <v>Entry</v>
      </c>
      <c r="AL635" t="str">
        <f t="shared" si="123"/>
        <v>Low</v>
      </c>
      <c r="AM635" t="str">
        <f t="shared" si="124"/>
        <v>High</v>
      </c>
      <c r="AN635" t="str">
        <f t="shared" si="125"/>
        <v>No Options</v>
      </c>
      <c r="AO635" t="str">
        <f t="shared" si="126"/>
        <v>Better</v>
      </c>
      <c r="AP635" t="str">
        <f t="shared" si="127"/>
        <v>35-44</v>
      </c>
      <c r="AQ635" t="str">
        <f t="shared" si="128"/>
        <v>Low</v>
      </c>
      <c r="AR635" t="str">
        <f t="shared" si="129"/>
        <v>3-5 Years</v>
      </c>
    </row>
    <row r="636" spans="1:44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98</v>
      </c>
      <c r="M636">
        <v>3</v>
      </c>
      <c r="N636">
        <v>2</v>
      </c>
      <c r="O636" t="s">
        <v>40</v>
      </c>
      <c r="P636">
        <v>1</v>
      </c>
      <c r="Q636" t="s">
        <v>48</v>
      </c>
      <c r="R636">
        <v>4194</v>
      </c>
      <c r="S636">
        <v>1</v>
      </c>
      <c r="T636" t="s">
        <v>35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  <c r="AF636">
        <f t="shared" si="117"/>
        <v>0</v>
      </c>
      <c r="AG636">
        <f t="shared" si="118"/>
        <v>1</v>
      </c>
      <c r="AH636" t="str">
        <f t="shared" si="119"/>
        <v>Below College</v>
      </c>
      <c r="AI636" t="str">
        <f t="shared" si="120"/>
        <v>High</v>
      </c>
      <c r="AJ636" t="str">
        <f t="shared" si="121"/>
        <v>High</v>
      </c>
      <c r="AK636" t="str">
        <f t="shared" si="122"/>
        <v>Junior</v>
      </c>
      <c r="AL636" t="str">
        <f t="shared" si="123"/>
        <v>Low</v>
      </c>
      <c r="AM636" t="str">
        <f t="shared" si="124"/>
        <v>Very High</v>
      </c>
      <c r="AN636" t="str">
        <f t="shared" si="125"/>
        <v>No Options</v>
      </c>
      <c r="AO636" t="str">
        <f t="shared" si="126"/>
        <v>Better</v>
      </c>
      <c r="AP636" t="str">
        <f t="shared" si="127"/>
        <v>25-34</v>
      </c>
      <c r="AQ636" t="str">
        <f t="shared" si="128"/>
        <v>Lower-Mid</v>
      </c>
      <c r="AR636" t="str">
        <f t="shared" si="129"/>
        <v>3-5 Years</v>
      </c>
    </row>
    <row r="637" spans="1:44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66</v>
      </c>
      <c r="M637">
        <v>2</v>
      </c>
      <c r="N637">
        <v>3</v>
      </c>
      <c r="O637" t="s">
        <v>53</v>
      </c>
      <c r="P637">
        <v>3</v>
      </c>
      <c r="Q637" t="s">
        <v>48</v>
      </c>
      <c r="R637">
        <v>10685</v>
      </c>
      <c r="S637">
        <v>1</v>
      </c>
      <c r="T637" t="s">
        <v>35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  <c r="AF637">
        <f t="shared" si="117"/>
        <v>0</v>
      </c>
      <c r="AG637">
        <f t="shared" si="118"/>
        <v>1</v>
      </c>
      <c r="AH637" t="str">
        <f t="shared" si="119"/>
        <v>Bachelor</v>
      </c>
      <c r="AI637" t="str">
        <f t="shared" si="120"/>
        <v>Very High</v>
      </c>
      <c r="AJ637" t="str">
        <f t="shared" si="121"/>
        <v>Medium</v>
      </c>
      <c r="AK637" t="str">
        <f t="shared" si="122"/>
        <v>Mid-Level</v>
      </c>
      <c r="AL637" t="str">
        <f t="shared" si="123"/>
        <v>High</v>
      </c>
      <c r="AM637" t="str">
        <f t="shared" si="124"/>
        <v>Medium</v>
      </c>
      <c r="AN637" t="str">
        <f t="shared" si="125"/>
        <v>Low</v>
      </c>
      <c r="AO637" t="str">
        <f t="shared" si="126"/>
        <v>Better</v>
      </c>
      <c r="AP637" t="str">
        <f t="shared" si="127"/>
        <v>35-44</v>
      </c>
      <c r="AQ637" t="str">
        <f t="shared" si="128"/>
        <v>Upper-Mid</v>
      </c>
      <c r="AR637" t="str">
        <f t="shared" si="129"/>
        <v>11-20 Years</v>
      </c>
    </row>
    <row r="638" spans="1:44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96</v>
      </c>
      <c r="M638">
        <v>3</v>
      </c>
      <c r="N638">
        <v>1</v>
      </c>
      <c r="O638" t="s">
        <v>47</v>
      </c>
      <c r="P638">
        <v>2</v>
      </c>
      <c r="Q638" t="s">
        <v>52</v>
      </c>
      <c r="R638">
        <v>2022</v>
      </c>
      <c r="S638">
        <v>1</v>
      </c>
      <c r="T638" t="s">
        <v>35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  <c r="AF638">
        <f t="shared" si="117"/>
        <v>1</v>
      </c>
      <c r="AG638">
        <f t="shared" si="118"/>
        <v>1</v>
      </c>
      <c r="AH638" t="str">
        <f t="shared" si="119"/>
        <v>Master</v>
      </c>
      <c r="AI638" t="str">
        <f t="shared" si="120"/>
        <v>Very High</v>
      </c>
      <c r="AJ638" t="str">
        <f t="shared" si="121"/>
        <v>High</v>
      </c>
      <c r="AK638" t="str">
        <f t="shared" si="122"/>
        <v>Entry</v>
      </c>
      <c r="AL638" t="str">
        <f t="shared" si="123"/>
        <v>Medium</v>
      </c>
      <c r="AM638" t="str">
        <f t="shared" si="124"/>
        <v>Low</v>
      </c>
      <c r="AN638" t="str">
        <f t="shared" si="125"/>
        <v>Low</v>
      </c>
      <c r="AO638" t="str">
        <f t="shared" si="126"/>
        <v>Good</v>
      </c>
      <c r="AP638" t="str">
        <f t="shared" si="127"/>
        <v>35-44</v>
      </c>
      <c r="AQ638" t="str">
        <f t="shared" si="128"/>
        <v>Low</v>
      </c>
      <c r="AR638" t="str">
        <f t="shared" si="129"/>
        <v>6-10 Years</v>
      </c>
    </row>
    <row r="639" spans="1:44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46</v>
      </c>
      <c r="L639">
        <v>61</v>
      </c>
      <c r="M639">
        <v>3</v>
      </c>
      <c r="N639">
        <v>1</v>
      </c>
      <c r="O639" t="s">
        <v>50</v>
      </c>
      <c r="P639">
        <v>4</v>
      </c>
      <c r="Q639" t="s">
        <v>52</v>
      </c>
      <c r="R639">
        <v>2314</v>
      </c>
      <c r="S639">
        <v>0</v>
      </c>
      <c r="T639" t="s">
        <v>43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  <c r="AF639">
        <f t="shared" si="117"/>
        <v>0</v>
      </c>
      <c r="AG639">
        <f t="shared" si="118"/>
        <v>0</v>
      </c>
      <c r="AH639" t="str">
        <f t="shared" si="119"/>
        <v>Bachelor</v>
      </c>
      <c r="AI639" t="str">
        <f t="shared" si="120"/>
        <v>Very High</v>
      </c>
      <c r="AJ639" t="str">
        <f t="shared" si="121"/>
        <v>High</v>
      </c>
      <c r="AK639" t="str">
        <f t="shared" si="122"/>
        <v>Entry</v>
      </c>
      <c r="AL639" t="str">
        <f t="shared" si="123"/>
        <v>Very High</v>
      </c>
      <c r="AM639" t="str">
        <f t="shared" si="124"/>
        <v>Medium</v>
      </c>
      <c r="AN639" t="str">
        <f t="shared" si="125"/>
        <v>Low</v>
      </c>
      <c r="AO639" t="str">
        <f t="shared" si="126"/>
        <v>Better</v>
      </c>
      <c r="AP639" t="str">
        <f t="shared" si="127"/>
        <v>25-34</v>
      </c>
      <c r="AQ639" t="str">
        <f t="shared" si="128"/>
        <v>Low</v>
      </c>
      <c r="AR639" t="str">
        <f t="shared" si="129"/>
        <v>3-5 Years</v>
      </c>
    </row>
    <row r="640" spans="1:44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t="s">
        <v>46</v>
      </c>
      <c r="L640">
        <v>87</v>
      </c>
      <c r="M640">
        <v>2</v>
      </c>
      <c r="N640">
        <v>2</v>
      </c>
      <c r="O640" t="s">
        <v>40</v>
      </c>
      <c r="P640">
        <v>1</v>
      </c>
      <c r="Q640" t="s">
        <v>48</v>
      </c>
      <c r="R640">
        <v>4256</v>
      </c>
      <c r="S640">
        <v>1</v>
      </c>
      <c r="T640" t="s">
        <v>43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  <c r="AF640">
        <f t="shared" si="117"/>
        <v>0</v>
      </c>
      <c r="AG640">
        <f t="shared" si="118"/>
        <v>0</v>
      </c>
      <c r="AH640" t="str">
        <f t="shared" si="119"/>
        <v>Below College</v>
      </c>
      <c r="AI640" t="str">
        <f t="shared" si="120"/>
        <v>High</v>
      </c>
      <c r="AJ640" t="str">
        <f t="shared" si="121"/>
        <v>Medium</v>
      </c>
      <c r="AK640" t="str">
        <f t="shared" si="122"/>
        <v>Junior</v>
      </c>
      <c r="AL640" t="str">
        <f t="shared" si="123"/>
        <v>Low</v>
      </c>
      <c r="AM640" t="str">
        <f t="shared" si="124"/>
        <v>Low</v>
      </c>
      <c r="AN640" t="str">
        <f t="shared" si="125"/>
        <v>No Options</v>
      </c>
      <c r="AO640" t="str">
        <f t="shared" si="126"/>
        <v>Best</v>
      </c>
      <c r="AP640" t="str">
        <f t="shared" si="127"/>
        <v>25-34</v>
      </c>
      <c r="AQ640" t="str">
        <f t="shared" si="128"/>
        <v>Lower-Mid</v>
      </c>
      <c r="AR640" t="str">
        <f t="shared" si="129"/>
        <v>3-5 Years</v>
      </c>
    </row>
    <row r="641" spans="1:44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t="s">
        <v>39</v>
      </c>
      <c r="L641">
        <v>36</v>
      </c>
      <c r="M641">
        <v>3</v>
      </c>
      <c r="N641">
        <v>1</v>
      </c>
      <c r="O641" t="s">
        <v>47</v>
      </c>
      <c r="P641">
        <v>1</v>
      </c>
      <c r="Q641" t="s">
        <v>48</v>
      </c>
      <c r="R641">
        <v>3580</v>
      </c>
      <c r="S641">
        <v>2</v>
      </c>
      <c r="T641" t="s">
        <v>43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  <c r="AF641">
        <f t="shared" si="117"/>
        <v>0</v>
      </c>
      <c r="AG641">
        <f t="shared" si="118"/>
        <v>0</v>
      </c>
      <c r="AH641" t="str">
        <f t="shared" si="119"/>
        <v>Bachelor</v>
      </c>
      <c r="AI641" t="str">
        <f t="shared" si="120"/>
        <v>High</v>
      </c>
      <c r="AJ641" t="str">
        <f t="shared" si="121"/>
        <v>High</v>
      </c>
      <c r="AK641" t="str">
        <f t="shared" si="122"/>
        <v>Entry</v>
      </c>
      <c r="AL641" t="str">
        <f t="shared" si="123"/>
        <v>Low</v>
      </c>
      <c r="AM641" t="str">
        <f t="shared" si="124"/>
        <v>Medium</v>
      </c>
      <c r="AN641" t="str">
        <f t="shared" si="125"/>
        <v>Low</v>
      </c>
      <c r="AO641" t="str">
        <f t="shared" si="126"/>
        <v>Better</v>
      </c>
      <c r="AP641" t="str">
        <f t="shared" si="127"/>
        <v>45-54</v>
      </c>
      <c r="AQ641" t="str">
        <f t="shared" si="128"/>
        <v>Lower-Mid</v>
      </c>
      <c r="AR641" t="str">
        <f t="shared" si="129"/>
        <v>3-5 Years</v>
      </c>
    </row>
    <row r="642" spans="1:44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46</v>
      </c>
      <c r="L642">
        <v>46</v>
      </c>
      <c r="M642">
        <v>2</v>
      </c>
      <c r="N642">
        <v>1</v>
      </c>
      <c r="O642" t="s">
        <v>50</v>
      </c>
      <c r="P642">
        <v>4</v>
      </c>
      <c r="Q642" t="s">
        <v>48</v>
      </c>
      <c r="R642">
        <v>3162</v>
      </c>
      <c r="S642">
        <v>0</v>
      </c>
      <c r="T642" t="s">
        <v>43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  <c r="AF642">
        <f t="shared" si="117"/>
        <v>0</v>
      </c>
      <c r="AG642">
        <f t="shared" si="118"/>
        <v>0</v>
      </c>
      <c r="AH642" t="str">
        <f t="shared" si="119"/>
        <v>Below College</v>
      </c>
      <c r="AI642" t="str">
        <f t="shared" si="120"/>
        <v>Low</v>
      </c>
      <c r="AJ642" t="str">
        <f t="shared" si="121"/>
        <v>Medium</v>
      </c>
      <c r="AK642" t="str">
        <f t="shared" si="122"/>
        <v>Entry</v>
      </c>
      <c r="AL642" t="str">
        <f t="shared" si="123"/>
        <v>Very High</v>
      </c>
      <c r="AM642" t="str">
        <f t="shared" si="124"/>
        <v>Very High</v>
      </c>
      <c r="AN642" t="str">
        <f t="shared" si="125"/>
        <v>No Options</v>
      </c>
      <c r="AO642" t="str">
        <f t="shared" si="126"/>
        <v>Good</v>
      </c>
      <c r="AP642" t="str">
        <f t="shared" si="127"/>
        <v>Under 25</v>
      </c>
      <c r="AQ642" t="str">
        <f t="shared" si="128"/>
        <v>Lower-Mid</v>
      </c>
      <c r="AR642" t="str">
        <f t="shared" si="129"/>
        <v>3-5 Years</v>
      </c>
    </row>
    <row r="643" spans="1:44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46</v>
      </c>
      <c r="L643">
        <v>48</v>
      </c>
      <c r="M643">
        <v>3</v>
      </c>
      <c r="N643">
        <v>2</v>
      </c>
      <c r="O643" t="s">
        <v>40</v>
      </c>
      <c r="P643">
        <v>2</v>
      </c>
      <c r="Q643" t="s">
        <v>48</v>
      </c>
      <c r="R643">
        <v>6524</v>
      </c>
      <c r="S643">
        <v>1</v>
      </c>
      <c r="T643" t="s">
        <v>43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  <c r="AF643">
        <f t="shared" ref="AF643:AF706" si="130">IF(B643="Yes",1,0)</f>
        <v>0</v>
      </c>
      <c r="AG643">
        <f t="shared" ref="AG643:AG706" si="131">IF(T643="Yes",1,0)</f>
        <v>0</v>
      </c>
      <c r="AH643" t="str">
        <f t="shared" ref="AH643:AH706" si="132">CHOOSE(G643,"Below College","College","Bachelor","Master","Doctor")</f>
        <v>College</v>
      </c>
      <c r="AI643" t="str">
        <f t="shared" ref="AI643:AI706" si="133">CHOOSE(J643,"Low","Medium","High","Very High")</f>
        <v>Medium</v>
      </c>
      <c r="AJ643" t="str">
        <f t="shared" ref="AJ643:AJ706" si="134">CHOOSE(M643,"Low","Medium","High","Very High")</f>
        <v>High</v>
      </c>
      <c r="AK643" t="str">
        <f t="shared" ref="AK643:AK706" si="135">CHOOSE(N643,"Entry","Junior","Mid-Level","Senior","Executive")</f>
        <v>Junior</v>
      </c>
      <c r="AL643" t="str">
        <f t="shared" ref="AL643:AL706" si="136">CHOOSE(P643,"Low","Medium","High","Very High")</f>
        <v>Medium</v>
      </c>
      <c r="AM643" t="str">
        <f t="shared" ref="AM643:AM706" si="137">CHOOSE(W643,"Low","Medium","High","Very High")</f>
        <v>Very High</v>
      </c>
      <c r="AN643" t="str">
        <f t="shared" ref="AN643:AN706" si="138">CHOOSE(X643+1,"No Options","Low","Medium","High")</f>
        <v>Low</v>
      </c>
      <c r="AO643" t="str">
        <f t="shared" ref="AO643:AO706" si="139">CHOOSE(AA643,"Bad","Good","Better","Best")</f>
        <v>Better</v>
      </c>
      <c r="AP643" t="str">
        <f t="shared" ref="AP643:AP706" si="140">IF(A643&lt;=24,"Under 25",IF(A643&lt;=34,"25-34",IF(A643&lt;=44,"35-44",IF(A643&lt;=54,"45-54","55+"))))</f>
        <v>25-34</v>
      </c>
      <c r="AQ643" t="str">
        <f t="shared" ref="AQ643:AQ706" si="141">IF(R643&lt;3000,"Low",IF(R643&lt;7000,"Lower-Mid",IF(R643&lt;13000,"Upper-Mid","High")))</f>
        <v>Lower-Mid</v>
      </c>
      <c r="AR643" t="str">
        <f t="shared" ref="AR643:AR706" si="142">IF(AB643&lt;=2,"0-2 Years",IF(AB643&lt;=5,"3-5 Years",IF(AB643&lt;=10,"6-10 Years",IF(AB643&lt;=20,"11-20 Years","20+ Years"))))</f>
        <v>6-10 Years</v>
      </c>
    </row>
    <row r="644" spans="1:44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t="s">
        <v>46</v>
      </c>
      <c r="L644">
        <v>98</v>
      </c>
      <c r="M644">
        <v>2</v>
      </c>
      <c r="N644">
        <v>1</v>
      </c>
      <c r="O644" t="s">
        <v>57</v>
      </c>
      <c r="P644">
        <v>2</v>
      </c>
      <c r="Q644" t="s">
        <v>48</v>
      </c>
      <c r="R644">
        <v>2899</v>
      </c>
      <c r="S644">
        <v>0</v>
      </c>
      <c r="T644" t="s">
        <v>43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  <c r="AF644">
        <f t="shared" si="130"/>
        <v>0</v>
      </c>
      <c r="AG644">
        <f t="shared" si="131"/>
        <v>0</v>
      </c>
      <c r="AH644" t="str">
        <f t="shared" si="132"/>
        <v>Bachelor</v>
      </c>
      <c r="AI644" t="str">
        <f t="shared" si="133"/>
        <v>Medium</v>
      </c>
      <c r="AJ644" t="str">
        <f t="shared" si="134"/>
        <v>Medium</v>
      </c>
      <c r="AK644" t="str">
        <f t="shared" si="135"/>
        <v>Entry</v>
      </c>
      <c r="AL644" t="str">
        <f t="shared" si="136"/>
        <v>Medium</v>
      </c>
      <c r="AM644" t="str">
        <f t="shared" si="137"/>
        <v>Very High</v>
      </c>
      <c r="AN644" t="str">
        <f t="shared" si="138"/>
        <v>Low</v>
      </c>
      <c r="AO644" t="str">
        <f t="shared" si="139"/>
        <v>Better</v>
      </c>
      <c r="AP644" t="str">
        <f t="shared" si="140"/>
        <v>35-44</v>
      </c>
      <c r="AQ644" t="str">
        <f t="shared" si="141"/>
        <v>Low</v>
      </c>
      <c r="AR644" t="str">
        <f t="shared" si="142"/>
        <v>0-2 Years</v>
      </c>
    </row>
    <row r="645" spans="1:44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95</v>
      </c>
      <c r="M645">
        <v>4</v>
      </c>
      <c r="N645">
        <v>2</v>
      </c>
      <c r="O645" t="s">
        <v>50</v>
      </c>
      <c r="P645">
        <v>4</v>
      </c>
      <c r="Q645" t="s">
        <v>48</v>
      </c>
      <c r="R645">
        <v>5231</v>
      </c>
      <c r="S645">
        <v>2</v>
      </c>
      <c r="T645" t="s">
        <v>35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  <c r="AF645">
        <f t="shared" si="130"/>
        <v>0</v>
      </c>
      <c r="AG645">
        <f t="shared" si="131"/>
        <v>1</v>
      </c>
      <c r="AH645" t="str">
        <f t="shared" si="132"/>
        <v>Bachelor</v>
      </c>
      <c r="AI645" t="str">
        <f t="shared" si="133"/>
        <v>High</v>
      </c>
      <c r="AJ645" t="str">
        <f t="shared" si="134"/>
        <v>Very High</v>
      </c>
      <c r="AK645" t="str">
        <f t="shared" si="135"/>
        <v>Junior</v>
      </c>
      <c r="AL645" t="str">
        <f t="shared" si="136"/>
        <v>Very High</v>
      </c>
      <c r="AM645" t="str">
        <f t="shared" si="137"/>
        <v>Medium</v>
      </c>
      <c r="AN645" t="str">
        <f t="shared" si="138"/>
        <v>Low</v>
      </c>
      <c r="AO645" t="str">
        <f t="shared" si="139"/>
        <v>Good</v>
      </c>
      <c r="AP645" t="str">
        <f t="shared" si="140"/>
        <v>35-44</v>
      </c>
      <c r="AQ645" t="str">
        <f t="shared" si="141"/>
        <v>Lower-Mid</v>
      </c>
      <c r="AR645" t="str">
        <f t="shared" si="142"/>
        <v>3-5 Years</v>
      </c>
    </row>
    <row r="646" spans="1:44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46</v>
      </c>
      <c r="L646">
        <v>48</v>
      </c>
      <c r="M646">
        <v>3</v>
      </c>
      <c r="N646">
        <v>1</v>
      </c>
      <c r="O646" t="s">
        <v>47</v>
      </c>
      <c r="P646">
        <v>4</v>
      </c>
      <c r="Q646" t="s">
        <v>48</v>
      </c>
      <c r="R646">
        <v>2356</v>
      </c>
      <c r="S646">
        <v>3</v>
      </c>
      <c r="T646" t="s">
        <v>35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  <c r="AF646">
        <f t="shared" si="130"/>
        <v>0</v>
      </c>
      <c r="AG646">
        <f t="shared" si="131"/>
        <v>1</v>
      </c>
      <c r="AH646" t="str">
        <f t="shared" si="132"/>
        <v>Master</v>
      </c>
      <c r="AI646" t="str">
        <f t="shared" si="133"/>
        <v>Very High</v>
      </c>
      <c r="AJ646" t="str">
        <f t="shared" si="134"/>
        <v>High</v>
      </c>
      <c r="AK646" t="str">
        <f t="shared" si="135"/>
        <v>Entry</v>
      </c>
      <c r="AL646" t="str">
        <f t="shared" si="136"/>
        <v>Very High</v>
      </c>
      <c r="AM646" t="str">
        <f t="shared" si="137"/>
        <v>Medium</v>
      </c>
      <c r="AN646" t="str">
        <f t="shared" si="138"/>
        <v>Low</v>
      </c>
      <c r="AO646" t="str">
        <f t="shared" si="139"/>
        <v>Better</v>
      </c>
      <c r="AP646" t="str">
        <f t="shared" si="140"/>
        <v>25-34</v>
      </c>
      <c r="AQ646" t="str">
        <f t="shared" si="141"/>
        <v>Low</v>
      </c>
      <c r="AR646" t="str">
        <f t="shared" si="142"/>
        <v>6-10 Years</v>
      </c>
    </row>
    <row r="647" spans="1:44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39</v>
      </c>
      <c r="L647">
        <v>48</v>
      </c>
      <c r="M647">
        <v>2</v>
      </c>
      <c r="N647">
        <v>1</v>
      </c>
      <c r="O647" t="s">
        <v>57</v>
      </c>
      <c r="P647">
        <v>3</v>
      </c>
      <c r="Q647" t="s">
        <v>52</v>
      </c>
      <c r="R647">
        <v>2800</v>
      </c>
      <c r="S647">
        <v>6</v>
      </c>
      <c r="T647" t="s">
        <v>35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  <c r="AF647">
        <f t="shared" si="130"/>
        <v>1</v>
      </c>
      <c r="AG647">
        <f t="shared" si="131"/>
        <v>1</v>
      </c>
      <c r="AH647" t="str">
        <f t="shared" si="132"/>
        <v>Bachelor</v>
      </c>
      <c r="AI647" t="str">
        <f t="shared" si="133"/>
        <v>Medium</v>
      </c>
      <c r="AJ647" t="str">
        <f t="shared" si="134"/>
        <v>Medium</v>
      </c>
      <c r="AK647" t="str">
        <f t="shared" si="135"/>
        <v>Entry</v>
      </c>
      <c r="AL647" t="str">
        <f t="shared" si="136"/>
        <v>High</v>
      </c>
      <c r="AM647" t="str">
        <f t="shared" si="137"/>
        <v>High</v>
      </c>
      <c r="AN647" t="str">
        <f t="shared" si="138"/>
        <v>High</v>
      </c>
      <c r="AO647" t="str">
        <f t="shared" si="139"/>
        <v>Better</v>
      </c>
      <c r="AP647" t="str">
        <f t="shared" si="140"/>
        <v>25-34</v>
      </c>
      <c r="AQ647" t="str">
        <f t="shared" si="141"/>
        <v>Low</v>
      </c>
      <c r="AR647" t="str">
        <f t="shared" si="142"/>
        <v>3-5 Years</v>
      </c>
    </row>
    <row r="648" spans="1:44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t="s">
        <v>46</v>
      </c>
      <c r="L648">
        <v>73</v>
      </c>
      <c r="M648">
        <v>3</v>
      </c>
      <c r="N648">
        <v>4</v>
      </c>
      <c r="O648" t="s">
        <v>40</v>
      </c>
      <c r="P648">
        <v>4</v>
      </c>
      <c r="Q648" t="s">
        <v>48</v>
      </c>
      <c r="R648">
        <v>11836</v>
      </c>
      <c r="S648">
        <v>5</v>
      </c>
      <c r="T648" t="s">
        <v>43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  <c r="AF648">
        <f t="shared" si="130"/>
        <v>0</v>
      </c>
      <c r="AG648">
        <f t="shared" si="131"/>
        <v>0</v>
      </c>
      <c r="AH648" t="str">
        <f t="shared" si="132"/>
        <v>Bachelor</v>
      </c>
      <c r="AI648" t="str">
        <f t="shared" si="133"/>
        <v>Low</v>
      </c>
      <c r="AJ648" t="str">
        <f t="shared" si="134"/>
        <v>High</v>
      </c>
      <c r="AK648" t="str">
        <f t="shared" si="135"/>
        <v>Senior</v>
      </c>
      <c r="AL648" t="str">
        <f t="shared" si="136"/>
        <v>Very High</v>
      </c>
      <c r="AM648" t="str">
        <f t="shared" si="137"/>
        <v>High</v>
      </c>
      <c r="AN648" t="str">
        <f t="shared" si="138"/>
        <v>Low</v>
      </c>
      <c r="AO648" t="str">
        <f t="shared" si="139"/>
        <v>Better</v>
      </c>
      <c r="AP648" t="str">
        <f t="shared" si="140"/>
        <v>45-54</v>
      </c>
      <c r="AQ648" t="str">
        <f t="shared" si="141"/>
        <v>Upper-Mid</v>
      </c>
      <c r="AR648" t="str">
        <f t="shared" si="142"/>
        <v>0-2 Years</v>
      </c>
    </row>
    <row r="649" spans="1:44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t="s">
        <v>46</v>
      </c>
      <c r="L649">
        <v>78</v>
      </c>
      <c r="M649">
        <v>2</v>
      </c>
      <c r="N649">
        <v>3</v>
      </c>
      <c r="O649" t="s">
        <v>53</v>
      </c>
      <c r="P649">
        <v>2</v>
      </c>
      <c r="Q649" t="s">
        <v>48</v>
      </c>
      <c r="R649">
        <v>10903</v>
      </c>
      <c r="S649">
        <v>3</v>
      </c>
      <c r="T649" t="s">
        <v>43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  <c r="AF649">
        <f t="shared" si="130"/>
        <v>0</v>
      </c>
      <c r="AG649">
        <f t="shared" si="131"/>
        <v>0</v>
      </c>
      <c r="AH649" t="str">
        <f t="shared" si="132"/>
        <v>Bachelor</v>
      </c>
      <c r="AI649" t="str">
        <f t="shared" si="133"/>
        <v>Very High</v>
      </c>
      <c r="AJ649" t="str">
        <f t="shared" si="134"/>
        <v>Medium</v>
      </c>
      <c r="AK649" t="str">
        <f t="shared" si="135"/>
        <v>Mid-Level</v>
      </c>
      <c r="AL649" t="str">
        <f t="shared" si="136"/>
        <v>Medium</v>
      </c>
      <c r="AM649" t="str">
        <f t="shared" si="137"/>
        <v>Low</v>
      </c>
      <c r="AN649" t="str">
        <f t="shared" si="138"/>
        <v>No Options</v>
      </c>
      <c r="AO649" t="str">
        <f t="shared" si="139"/>
        <v>Better</v>
      </c>
      <c r="AP649" t="str">
        <f t="shared" si="140"/>
        <v>35-44</v>
      </c>
      <c r="AQ649" t="str">
        <f t="shared" si="141"/>
        <v>Upper-Mid</v>
      </c>
      <c r="AR649" t="str">
        <f t="shared" si="142"/>
        <v>11-20 Years</v>
      </c>
    </row>
    <row r="650" spans="1:44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39</v>
      </c>
      <c r="L650">
        <v>54</v>
      </c>
      <c r="M650">
        <v>3</v>
      </c>
      <c r="N650">
        <v>1</v>
      </c>
      <c r="O650" t="s">
        <v>57</v>
      </c>
      <c r="P650">
        <v>4</v>
      </c>
      <c r="Q650" t="s">
        <v>48</v>
      </c>
      <c r="R650">
        <v>2973</v>
      </c>
      <c r="S650">
        <v>5</v>
      </c>
      <c r="T650" t="s">
        <v>43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  <c r="AF650">
        <f t="shared" si="130"/>
        <v>0</v>
      </c>
      <c r="AG650">
        <f t="shared" si="131"/>
        <v>0</v>
      </c>
      <c r="AH650" t="str">
        <f t="shared" si="132"/>
        <v>College</v>
      </c>
      <c r="AI650" t="str">
        <f t="shared" si="133"/>
        <v>High</v>
      </c>
      <c r="AJ650" t="str">
        <f t="shared" si="134"/>
        <v>High</v>
      </c>
      <c r="AK650" t="str">
        <f t="shared" si="135"/>
        <v>Entry</v>
      </c>
      <c r="AL650" t="str">
        <f t="shared" si="136"/>
        <v>Very High</v>
      </c>
      <c r="AM650" t="str">
        <f t="shared" si="137"/>
        <v>Medium</v>
      </c>
      <c r="AN650" t="str">
        <f t="shared" si="138"/>
        <v>Low</v>
      </c>
      <c r="AO650" t="str">
        <f t="shared" si="139"/>
        <v>Better</v>
      </c>
      <c r="AP650" t="str">
        <f t="shared" si="140"/>
        <v>35-44</v>
      </c>
      <c r="AQ650" t="str">
        <f t="shared" si="141"/>
        <v>Low</v>
      </c>
      <c r="AR650" t="str">
        <f t="shared" si="142"/>
        <v>3-5 Years</v>
      </c>
    </row>
    <row r="651" spans="1:44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72</v>
      </c>
      <c r="M651">
        <v>3</v>
      </c>
      <c r="N651">
        <v>4</v>
      </c>
      <c r="O651" t="s">
        <v>58</v>
      </c>
      <c r="P651">
        <v>4</v>
      </c>
      <c r="Q651" t="s">
        <v>41</v>
      </c>
      <c r="R651">
        <v>14275</v>
      </c>
      <c r="S651">
        <v>6</v>
      </c>
      <c r="T651" t="s">
        <v>43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  <c r="AF651">
        <f t="shared" si="130"/>
        <v>0</v>
      </c>
      <c r="AG651">
        <f t="shared" si="131"/>
        <v>0</v>
      </c>
      <c r="AH651" t="str">
        <f t="shared" si="132"/>
        <v>Master</v>
      </c>
      <c r="AI651" t="str">
        <f t="shared" si="133"/>
        <v>Very High</v>
      </c>
      <c r="AJ651" t="str">
        <f t="shared" si="134"/>
        <v>High</v>
      </c>
      <c r="AK651" t="str">
        <f t="shared" si="135"/>
        <v>Senior</v>
      </c>
      <c r="AL651" t="str">
        <f t="shared" si="136"/>
        <v>Very High</v>
      </c>
      <c r="AM651" t="str">
        <f t="shared" si="137"/>
        <v>High</v>
      </c>
      <c r="AN651" t="str">
        <f t="shared" si="138"/>
        <v>No Options</v>
      </c>
      <c r="AO651" t="str">
        <f t="shared" si="139"/>
        <v>Better</v>
      </c>
      <c r="AP651" t="str">
        <f t="shared" si="140"/>
        <v>45-54</v>
      </c>
      <c r="AQ651" t="str">
        <f t="shared" si="141"/>
        <v>High</v>
      </c>
      <c r="AR651" t="str">
        <f t="shared" si="142"/>
        <v>11-20 Years</v>
      </c>
    </row>
    <row r="652" spans="1:44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33</v>
      </c>
      <c r="M652">
        <v>3</v>
      </c>
      <c r="N652">
        <v>2</v>
      </c>
      <c r="O652" t="s">
        <v>54</v>
      </c>
      <c r="P652">
        <v>4</v>
      </c>
      <c r="Q652" t="s">
        <v>48</v>
      </c>
      <c r="R652">
        <v>5562</v>
      </c>
      <c r="S652">
        <v>4</v>
      </c>
      <c r="T652" t="s">
        <v>43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  <c r="AF652">
        <f t="shared" si="130"/>
        <v>0</v>
      </c>
      <c r="AG652">
        <f t="shared" si="131"/>
        <v>0</v>
      </c>
      <c r="AH652" t="str">
        <f t="shared" si="132"/>
        <v>Bachelor</v>
      </c>
      <c r="AI652" t="str">
        <f t="shared" si="133"/>
        <v>Very High</v>
      </c>
      <c r="AJ652" t="str">
        <f t="shared" si="134"/>
        <v>High</v>
      </c>
      <c r="AK652" t="str">
        <f t="shared" si="135"/>
        <v>Junior</v>
      </c>
      <c r="AL652" t="str">
        <f t="shared" si="136"/>
        <v>Very High</v>
      </c>
      <c r="AM652" t="str">
        <f t="shared" si="137"/>
        <v>Medium</v>
      </c>
      <c r="AN652" t="str">
        <f t="shared" si="138"/>
        <v>Low</v>
      </c>
      <c r="AO652" t="str">
        <f t="shared" si="139"/>
        <v>Good</v>
      </c>
      <c r="AP652" t="str">
        <f t="shared" si="140"/>
        <v>35-44</v>
      </c>
      <c r="AQ652" t="str">
        <f t="shared" si="141"/>
        <v>Lower-Mid</v>
      </c>
      <c r="AR652" t="str">
        <f t="shared" si="142"/>
        <v>3-5 Years</v>
      </c>
    </row>
    <row r="653" spans="1:44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t="s">
        <v>39</v>
      </c>
      <c r="L653">
        <v>35</v>
      </c>
      <c r="M653">
        <v>3</v>
      </c>
      <c r="N653">
        <v>2</v>
      </c>
      <c r="O653" t="s">
        <v>40</v>
      </c>
      <c r="P653">
        <v>4</v>
      </c>
      <c r="Q653" t="s">
        <v>48</v>
      </c>
      <c r="R653">
        <v>4537</v>
      </c>
      <c r="S653">
        <v>0</v>
      </c>
      <c r="T653" t="s">
        <v>35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  <c r="AF653">
        <f t="shared" si="130"/>
        <v>0</v>
      </c>
      <c r="AG653">
        <f t="shared" si="131"/>
        <v>1</v>
      </c>
      <c r="AH653" t="str">
        <f t="shared" si="132"/>
        <v>College</v>
      </c>
      <c r="AI653" t="str">
        <f t="shared" si="133"/>
        <v>High</v>
      </c>
      <c r="AJ653" t="str">
        <f t="shared" si="134"/>
        <v>High</v>
      </c>
      <c r="AK653" t="str">
        <f t="shared" si="135"/>
        <v>Junior</v>
      </c>
      <c r="AL653" t="str">
        <f t="shared" si="136"/>
        <v>Very High</v>
      </c>
      <c r="AM653" t="str">
        <f t="shared" si="137"/>
        <v>Low</v>
      </c>
      <c r="AN653" t="str">
        <f t="shared" si="138"/>
        <v>Low</v>
      </c>
      <c r="AO653" t="str">
        <f t="shared" si="139"/>
        <v>Better</v>
      </c>
      <c r="AP653" t="str">
        <f t="shared" si="140"/>
        <v>45-54</v>
      </c>
      <c r="AQ653" t="str">
        <f t="shared" si="141"/>
        <v>Lower-Mid</v>
      </c>
      <c r="AR653" t="str">
        <f t="shared" si="142"/>
        <v>6-10 Years</v>
      </c>
    </row>
    <row r="654" spans="1:44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46</v>
      </c>
      <c r="L654">
        <v>32</v>
      </c>
      <c r="M654">
        <v>3</v>
      </c>
      <c r="N654">
        <v>3</v>
      </c>
      <c r="O654" t="s">
        <v>40</v>
      </c>
      <c r="P654">
        <v>2</v>
      </c>
      <c r="Q654" t="s">
        <v>41</v>
      </c>
      <c r="R654">
        <v>7642</v>
      </c>
      <c r="S654">
        <v>1</v>
      </c>
      <c r="T654" t="s">
        <v>35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  <c r="AF654">
        <f t="shared" si="130"/>
        <v>0</v>
      </c>
      <c r="AG654">
        <f t="shared" si="131"/>
        <v>1</v>
      </c>
      <c r="AH654" t="str">
        <f t="shared" si="132"/>
        <v>College</v>
      </c>
      <c r="AI654" t="str">
        <f t="shared" si="133"/>
        <v>Low</v>
      </c>
      <c r="AJ654" t="str">
        <f t="shared" si="134"/>
        <v>High</v>
      </c>
      <c r="AK654" t="str">
        <f t="shared" si="135"/>
        <v>Mid-Level</v>
      </c>
      <c r="AL654" t="str">
        <f t="shared" si="136"/>
        <v>Medium</v>
      </c>
      <c r="AM654" t="str">
        <f t="shared" si="137"/>
        <v>Very High</v>
      </c>
      <c r="AN654" t="str">
        <f t="shared" si="138"/>
        <v>No Options</v>
      </c>
      <c r="AO654" t="str">
        <f t="shared" si="139"/>
        <v>Better</v>
      </c>
      <c r="AP654" t="str">
        <f t="shared" si="140"/>
        <v>35-44</v>
      </c>
      <c r="AQ654" t="str">
        <f t="shared" si="141"/>
        <v>Upper-Mid</v>
      </c>
      <c r="AR654" t="str">
        <f t="shared" si="142"/>
        <v>6-10 Years</v>
      </c>
    </row>
    <row r="655" spans="1:44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46</v>
      </c>
      <c r="L655">
        <v>98</v>
      </c>
      <c r="M655">
        <v>3</v>
      </c>
      <c r="N655">
        <v>4</v>
      </c>
      <c r="O655" t="s">
        <v>56</v>
      </c>
      <c r="P655">
        <v>1</v>
      </c>
      <c r="Q655" t="s">
        <v>52</v>
      </c>
      <c r="R655">
        <v>17924</v>
      </c>
      <c r="S655">
        <v>1</v>
      </c>
      <c r="T655" t="s">
        <v>43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  <c r="AF655">
        <f t="shared" si="130"/>
        <v>0</v>
      </c>
      <c r="AG655">
        <f t="shared" si="131"/>
        <v>0</v>
      </c>
      <c r="AH655" t="str">
        <f t="shared" si="132"/>
        <v>Master</v>
      </c>
      <c r="AI655" t="str">
        <f t="shared" si="133"/>
        <v>Low</v>
      </c>
      <c r="AJ655" t="str">
        <f t="shared" si="134"/>
        <v>High</v>
      </c>
      <c r="AK655" t="str">
        <f t="shared" si="135"/>
        <v>Senior</v>
      </c>
      <c r="AL655" t="str">
        <f t="shared" si="136"/>
        <v>Low</v>
      </c>
      <c r="AM655" t="str">
        <f t="shared" si="137"/>
        <v>Very High</v>
      </c>
      <c r="AN655" t="str">
        <f t="shared" si="138"/>
        <v>Low</v>
      </c>
      <c r="AO655" t="str">
        <f t="shared" si="139"/>
        <v>Better</v>
      </c>
      <c r="AP655" t="str">
        <f t="shared" si="140"/>
        <v>45-54</v>
      </c>
      <c r="AQ655" t="str">
        <f t="shared" si="141"/>
        <v>High</v>
      </c>
      <c r="AR655" t="str">
        <f t="shared" si="142"/>
        <v>20+ Years</v>
      </c>
    </row>
    <row r="656" spans="1:44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42</v>
      </c>
      <c r="M656">
        <v>2</v>
      </c>
      <c r="N656">
        <v>2</v>
      </c>
      <c r="O656" t="s">
        <v>61</v>
      </c>
      <c r="P656">
        <v>4</v>
      </c>
      <c r="Q656" t="s">
        <v>48</v>
      </c>
      <c r="R656">
        <v>5204</v>
      </c>
      <c r="S656">
        <v>8</v>
      </c>
      <c r="T656" t="s">
        <v>43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  <c r="AF656">
        <f t="shared" si="130"/>
        <v>0</v>
      </c>
      <c r="AG656">
        <f t="shared" si="131"/>
        <v>0</v>
      </c>
      <c r="AH656" t="str">
        <f t="shared" si="132"/>
        <v>Bachelor</v>
      </c>
      <c r="AI656" t="str">
        <f t="shared" si="133"/>
        <v>Very High</v>
      </c>
      <c r="AJ656" t="str">
        <f t="shared" si="134"/>
        <v>Medium</v>
      </c>
      <c r="AK656" t="str">
        <f t="shared" si="135"/>
        <v>Junior</v>
      </c>
      <c r="AL656" t="str">
        <f t="shared" si="136"/>
        <v>Very High</v>
      </c>
      <c r="AM656" t="str">
        <f t="shared" si="137"/>
        <v>High</v>
      </c>
      <c r="AN656" t="str">
        <f t="shared" si="138"/>
        <v>Medium</v>
      </c>
      <c r="AO656" t="str">
        <f t="shared" si="139"/>
        <v>Better</v>
      </c>
      <c r="AP656" t="str">
        <f t="shared" si="140"/>
        <v>35-44</v>
      </c>
      <c r="AQ656" t="str">
        <f t="shared" si="141"/>
        <v>Lower-Mid</v>
      </c>
      <c r="AR656" t="str">
        <f t="shared" si="142"/>
        <v>3-5 Years</v>
      </c>
    </row>
    <row r="657" spans="1:44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t="s">
        <v>46</v>
      </c>
      <c r="L657">
        <v>57</v>
      </c>
      <c r="M657">
        <v>3</v>
      </c>
      <c r="N657">
        <v>1</v>
      </c>
      <c r="O657" t="s">
        <v>61</v>
      </c>
      <c r="P657">
        <v>2</v>
      </c>
      <c r="Q657" t="s">
        <v>52</v>
      </c>
      <c r="R657">
        <v>2277</v>
      </c>
      <c r="S657">
        <v>3</v>
      </c>
      <c r="T657" t="s">
        <v>35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  <c r="AF657">
        <f t="shared" si="130"/>
        <v>0</v>
      </c>
      <c r="AG657">
        <f t="shared" si="131"/>
        <v>1</v>
      </c>
      <c r="AH657" t="str">
        <f t="shared" si="132"/>
        <v>College</v>
      </c>
      <c r="AI657" t="str">
        <f t="shared" si="133"/>
        <v>Very High</v>
      </c>
      <c r="AJ657" t="str">
        <f t="shared" si="134"/>
        <v>High</v>
      </c>
      <c r="AK657" t="str">
        <f t="shared" si="135"/>
        <v>Entry</v>
      </c>
      <c r="AL657" t="str">
        <f t="shared" si="136"/>
        <v>Medium</v>
      </c>
      <c r="AM657" t="str">
        <f t="shared" si="137"/>
        <v>High</v>
      </c>
      <c r="AN657" t="str">
        <f t="shared" si="138"/>
        <v>Low</v>
      </c>
      <c r="AO657" t="str">
        <f t="shared" si="139"/>
        <v>Best</v>
      </c>
      <c r="AP657" t="str">
        <f t="shared" si="140"/>
        <v>25-34</v>
      </c>
      <c r="AQ657" t="str">
        <f t="shared" si="141"/>
        <v>Low</v>
      </c>
      <c r="AR657" t="str">
        <f t="shared" si="142"/>
        <v>3-5 Years</v>
      </c>
    </row>
    <row r="658" spans="1:44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46</v>
      </c>
      <c r="L658">
        <v>87</v>
      </c>
      <c r="M658">
        <v>3</v>
      </c>
      <c r="N658">
        <v>1</v>
      </c>
      <c r="O658" t="s">
        <v>50</v>
      </c>
      <c r="P658">
        <v>4</v>
      </c>
      <c r="Q658" t="s">
        <v>41</v>
      </c>
      <c r="R658">
        <v>2795</v>
      </c>
      <c r="S658">
        <v>1</v>
      </c>
      <c r="T658" t="s">
        <v>35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  <c r="AF658">
        <f t="shared" si="130"/>
        <v>1</v>
      </c>
      <c r="AG658">
        <f t="shared" si="131"/>
        <v>1</v>
      </c>
      <c r="AH658" t="str">
        <f t="shared" si="132"/>
        <v>Master</v>
      </c>
      <c r="AI658" t="str">
        <f t="shared" si="133"/>
        <v>Low</v>
      </c>
      <c r="AJ658" t="str">
        <f t="shared" si="134"/>
        <v>High</v>
      </c>
      <c r="AK658" t="str">
        <f t="shared" si="135"/>
        <v>Entry</v>
      </c>
      <c r="AL658" t="str">
        <f t="shared" si="136"/>
        <v>Very High</v>
      </c>
      <c r="AM658" t="str">
        <f t="shared" si="137"/>
        <v>High</v>
      </c>
      <c r="AN658" t="str">
        <f t="shared" si="138"/>
        <v>No Options</v>
      </c>
      <c r="AO658" t="str">
        <f t="shared" si="139"/>
        <v>Bad</v>
      </c>
      <c r="AP658" t="str">
        <f t="shared" si="140"/>
        <v>25-34</v>
      </c>
      <c r="AQ658" t="str">
        <f t="shared" si="141"/>
        <v>Low</v>
      </c>
      <c r="AR658" t="str">
        <f t="shared" si="142"/>
        <v>0-2 Years</v>
      </c>
    </row>
    <row r="659" spans="1:44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39</v>
      </c>
      <c r="L659">
        <v>62</v>
      </c>
      <c r="M659">
        <v>2</v>
      </c>
      <c r="N659">
        <v>1</v>
      </c>
      <c r="O659" t="s">
        <v>50</v>
      </c>
      <c r="P659">
        <v>4</v>
      </c>
      <c r="Q659" t="s">
        <v>52</v>
      </c>
      <c r="R659">
        <v>2532</v>
      </c>
      <c r="S659">
        <v>6</v>
      </c>
      <c r="T659" t="s">
        <v>43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  <c r="AF659">
        <f t="shared" si="130"/>
        <v>0</v>
      </c>
      <c r="AG659">
        <f t="shared" si="131"/>
        <v>0</v>
      </c>
      <c r="AH659" t="str">
        <f t="shared" si="132"/>
        <v>Below College</v>
      </c>
      <c r="AI659" t="str">
        <f t="shared" si="133"/>
        <v>Low</v>
      </c>
      <c r="AJ659" t="str">
        <f t="shared" si="134"/>
        <v>Medium</v>
      </c>
      <c r="AK659" t="str">
        <f t="shared" si="135"/>
        <v>Entry</v>
      </c>
      <c r="AL659" t="str">
        <f t="shared" si="136"/>
        <v>Very High</v>
      </c>
      <c r="AM659" t="str">
        <f t="shared" si="137"/>
        <v>High</v>
      </c>
      <c r="AN659" t="str">
        <f t="shared" si="138"/>
        <v>High</v>
      </c>
      <c r="AO659" t="str">
        <f t="shared" si="139"/>
        <v>Better</v>
      </c>
      <c r="AP659" t="str">
        <f t="shared" si="140"/>
        <v>25-34</v>
      </c>
      <c r="AQ659" t="str">
        <f t="shared" si="141"/>
        <v>Low</v>
      </c>
      <c r="AR659" t="str">
        <f t="shared" si="142"/>
        <v>3-5 Years</v>
      </c>
    </row>
    <row r="660" spans="1:44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46</v>
      </c>
      <c r="L660">
        <v>61</v>
      </c>
      <c r="M660">
        <v>3</v>
      </c>
      <c r="N660">
        <v>1</v>
      </c>
      <c r="O660" t="s">
        <v>47</v>
      </c>
      <c r="P660">
        <v>1</v>
      </c>
      <c r="Q660" t="s">
        <v>48</v>
      </c>
      <c r="R660">
        <v>2559</v>
      </c>
      <c r="S660">
        <v>1</v>
      </c>
      <c r="T660" t="s">
        <v>35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  <c r="AF660">
        <f t="shared" si="130"/>
        <v>0</v>
      </c>
      <c r="AG660">
        <f t="shared" si="131"/>
        <v>1</v>
      </c>
      <c r="AH660" t="str">
        <f t="shared" si="132"/>
        <v>College</v>
      </c>
      <c r="AI660" t="str">
        <f t="shared" si="133"/>
        <v>Medium</v>
      </c>
      <c r="AJ660" t="str">
        <f t="shared" si="134"/>
        <v>High</v>
      </c>
      <c r="AK660" t="str">
        <f t="shared" si="135"/>
        <v>Entry</v>
      </c>
      <c r="AL660" t="str">
        <f t="shared" si="136"/>
        <v>Low</v>
      </c>
      <c r="AM660" t="str">
        <f t="shared" si="137"/>
        <v>Very High</v>
      </c>
      <c r="AN660" t="str">
        <f t="shared" si="138"/>
        <v>No Options</v>
      </c>
      <c r="AO660" t="str">
        <f t="shared" si="139"/>
        <v>Better</v>
      </c>
      <c r="AP660" t="str">
        <f t="shared" si="140"/>
        <v>35-44</v>
      </c>
      <c r="AQ660" t="str">
        <f t="shared" si="141"/>
        <v>Low</v>
      </c>
      <c r="AR660" t="str">
        <f t="shared" si="142"/>
        <v>6-10 Years</v>
      </c>
    </row>
    <row r="661" spans="1:44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46</v>
      </c>
      <c r="L661">
        <v>98</v>
      </c>
      <c r="M661">
        <v>3</v>
      </c>
      <c r="N661">
        <v>2</v>
      </c>
      <c r="O661" t="s">
        <v>40</v>
      </c>
      <c r="P661">
        <v>4</v>
      </c>
      <c r="Q661" t="s">
        <v>41</v>
      </c>
      <c r="R661">
        <v>4908</v>
      </c>
      <c r="S661">
        <v>1</v>
      </c>
      <c r="T661" t="s">
        <v>43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  <c r="AF661">
        <f t="shared" si="130"/>
        <v>0</v>
      </c>
      <c r="AG661">
        <f t="shared" si="131"/>
        <v>0</v>
      </c>
      <c r="AH661" t="str">
        <f t="shared" si="132"/>
        <v>Master</v>
      </c>
      <c r="AI661" t="str">
        <f t="shared" si="133"/>
        <v>Low</v>
      </c>
      <c r="AJ661" t="str">
        <f t="shared" si="134"/>
        <v>High</v>
      </c>
      <c r="AK661" t="str">
        <f t="shared" si="135"/>
        <v>Junior</v>
      </c>
      <c r="AL661" t="str">
        <f t="shared" si="136"/>
        <v>Very High</v>
      </c>
      <c r="AM661" t="str">
        <f t="shared" si="137"/>
        <v>Medium</v>
      </c>
      <c r="AN661" t="str">
        <f t="shared" si="138"/>
        <v>No Options</v>
      </c>
      <c r="AO661" t="str">
        <f t="shared" si="139"/>
        <v>Better</v>
      </c>
      <c r="AP661" t="str">
        <f t="shared" si="140"/>
        <v>25-34</v>
      </c>
      <c r="AQ661" t="str">
        <f t="shared" si="141"/>
        <v>Lower-Mid</v>
      </c>
      <c r="AR661" t="str">
        <f t="shared" si="142"/>
        <v>3-5 Years</v>
      </c>
    </row>
    <row r="662" spans="1:44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46</v>
      </c>
      <c r="L662">
        <v>57</v>
      </c>
      <c r="M662">
        <v>2</v>
      </c>
      <c r="N662">
        <v>1</v>
      </c>
      <c r="O662" t="s">
        <v>50</v>
      </c>
      <c r="P662">
        <v>4</v>
      </c>
      <c r="Q662" t="s">
        <v>52</v>
      </c>
      <c r="R662">
        <v>2380</v>
      </c>
      <c r="S662">
        <v>9</v>
      </c>
      <c r="T662" t="s">
        <v>35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  <c r="AF662">
        <f t="shared" si="130"/>
        <v>1</v>
      </c>
      <c r="AG662">
        <f t="shared" si="131"/>
        <v>1</v>
      </c>
      <c r="AH662" t="str">
        <f t="shared" si="132"/>
        <v>Below College</v>
      </c>
      <c r="AI662" t="str">
        <f t="shared" si="133"/>
        <v>Very High</v>
      </c>
      <c r="AJ662" t="str">
        <f t="shared" si="134"/>
        <v>Medium</v>
      </c>
      <c r="AK662" t="str">
        <f t="shared" si="135"/>
        <v>Entry</v>
      </c>
      <c r="AL662" t="str">
        <f t="shared" si="136"/>
        <v>Very High</v>
      </c>
      <c r="AM662" t="str">
        <f t="shared" si="137"/>
        <v>Very High</v>
      </c>
      <c r="AN662" t="str">
        <f t="shared" si="138"/>
        <v>Low</v>
      </c>
      <c r="AO662" t="str">
        <f t="shared" si="139"/>
        <v>Good</v>
      </c>
      <c r="AP662" t="str">
        <f t="shared" si="140"/>
        <v>55+</v>
      </c>
      <c r="AQ662" t="str">
        <f t="shared" si="141"/>
        <v>Low</v>
      </c>
      <c r="AR662" t="str">
        <f t="shared" si="142"/>
        <v>0-2 Years</v>
      </c>
    </row>
    <row r="663" spans="1:44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55</v>
      </c>
      <c r="M663">
        <v>3</v>
      </c>
      <c r="N663">
        <v>2</v>
      </c>
      <c r="O663" t="s">
        <v>53</v>
      </c>
      <c r="P663">
        <v>2</v>
      </c>
      <c r="Q663" t="s">
        <v>52</v>
      </c>
      <c r="R663">
        <v>4765</v>
      </c>
      <c r="S663">
        <v>4</v>
      </c>
      <c r="T663" t="s">
        <v>43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  <c r="AF663">
        <f t="shared" si="130"/>
        <v>0</v>
      </c>
      <c r="AG663">
        <f t="shared" si="131"/>
        <v>0</v>
      </c>
      <c r="AH663" t="str">
        <f t="shared" si="132"/>
        <v>Bachelor</v>
      </c>
      <c r="AI663" t="str">
        <f t="shared" si="133"/>
        <v>Low</v>
      </c>
      <c r="AJ663" t="str">
        <f t="shared" si="134"/>
        <v>High</v>
      </c>
      <c r="AK663" t="str">
        <f t="shared" si="135"/>
        <v>Junior</v>
      </c>
      <c r="AL663" t="str">
        <f t="shared" si="136"/>
        <v>Medium</v>
      </c>
      <c r="AM663" t="str">
        <f t="shared" si="137"/>
        <v>High</v>
      </c>
      <c r="AN663" t="str">
        <f t="shared" si="138"/>
        <v>Low</v>
      </c>
      <c r="AO663" t="str">
        <f t="shared" si="139"/>
        <v>Best</v>
      </c>
      <c r="AP663" t="str">
        <f t="shared" si="140"/>
        <v>35-44</v>
      </c>
      <c r="AQ663" t="str">
        <f t="shared" si="141"/>
        <v>Lower-Mid</v>
      </c>
      <c r="AR663" t="str">
        <f t="shared" si="142"/>
        <v>0-2 Years</v>
      </c>
    </row>
    <row r="664" spans="1:44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39</v>
      </c>
      <c r="L664">
        <v>49</v>
      </c>
      <c r="M664">
        <v>2</v>
      </c>
      <c r="N664">
        <v>1</v>
      </c>
      <c r="O664" t="s">
        <v>57</v>
      </c>
      <c r="P664">
        <v>3</v>
      </c>
      <c r="Q664" t="s">
        <v>41</v>
      </c>
      <c r="R664">
        <v>2044</v>
      </c>
      <c r="S664">
        <v>1</v>
      </c>
      <c r="T664" t="s">
        <v>43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  <c r="AF664">
        <f t="shared" si="130"/>
        <v>1</v>
      </c>
      <c r="AG664">
        <f t="shared" si="131"/>
        <v>0</v>
      </c>
      <c r="AH664" t="str">
        <f t="shared" si="132"/>
        <v>Bachelor</v>
      </c>
      <c r="AI664" t="str">
        <f t="shared" si="133"/>
        <v>High</v>
      </c>
      <c r="AJ664" t="str">
        <f t="shared" si="134"/>
        <v>Medium</v>
      </c>
      <c r="AK664" t="str">
        <f t="shared" si="135"/>
        <v>Entry</v>
      </c>
      <c r="AL664" t="str">
        <f t="shared" si="136"/>
        <v>High</v>
      </c>
      <c r="AM664" t="str">
        <f t="shared" si="137"/>
        <v>Very High</v>
      </c>
      <c r="AN664" t="str">
        <f t="shared" si="138"/>
        <v>No Options</v>
      </c>
      <c r="AO664" t="str">
        <f t="shared" si="139"/>
        <v>Good</v>
      </c>
      <c r="AP664" t="str">
        <f t="shared" si="140"/>
        <v>Under 25</v>
      </c>
      <c r="AQ664" t="str">
        <f t="shared" si="141"/>
        <v>Low</v>
      </c>
      <c r="AR664" t="str">
        <f t="shared" si="142"/>
        <v>0-2 Years</v>
      </c>
    </row>
    <row r="665" spans="1:44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39</v>
      </c>
      <c r="L665">
        <v>65</v>
      </c>
      <c r="M665">
        <v>3</v>
      </c>
      <c r="N665">
        <v>1</v>
      </c>
      <c r="O665" t="s">
        <v>47</v>
      </c>
      <c r="P665">
        <v>4</v>
      </c>
      <c r="Q665" t="s">
        <v>41</v>
      </c>
      <c r="R665">
        <v>2693</v>
      </c>
      <c r="S665">
        <v>1</v>
      </c>
      <c r="T665" t="s">
        <v>43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  <c r="AF665">
        <f t="shared" si="130"/>
        <v>1</v>
      </c>
      <c r="AG665">
        <f t="shared" si="131"/>
        <v>0</v>
      </c>
      <c r="AH665" t="str">
        <f t="shared" si="132"/>
        <v>Below College</v>
      </c>
      <c r="AI665" t="str">
        <f t="shared" si="133"/>
        <v>Very High</v>
      </c>
      <c r="AJ665" t="str">
        <f t="shared" si="134"/>
        <v>High</v>
      </c>
      <c r="AK665" t="str">
        <f t="shared" si="135"/>
        <v>Entry</v>
      </c>
      <c r="AL665" t="str">
        <f t="shared" si="136"/>
        <v>Very High</v>
      </c>
      <c r="AM665" t="str">
        <f t="shared" si="137"/>
        <v>Low</v>
      </c>
      <c r="AN665" t="str">
        <f t="shared" si="138"/>
        <v>No Options</v>
      </c>
      <c r="AO665" t="str">
        <f t="shared" si="139"/>
        <v>Good</v>
      </c>
      <c r="AP665" t="str">
        <f t="shared" si="140"/>
        <v>Under 25</v>
      </c>
      <c r="AQ665" t="str">
        <f t="shared" si="141"/>
        <v>Low</v>
      </c>
      <c r="AR665" t="str">
        <f t="shared" si="142"/>
        <v>0-2 Years</v>
      </c>
    </row>
    <row r="666" spans="1:44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46</v>
      </c>
      <c r="L666">
        <v>68</v>
      </c>
      <c r="M666">
        <v>3</v>
      </c>
      <c r="N666">
        <v>2</v>
      </c>
      <c r="O666" t="s">
        <v>54</v>
      </c>
      <c r="P666">
        <v>4</v>
      </c>
      <c r="Q666" t="s">
        <v>48</v>
      </c>
      <c r="R666">
        <v>6586</v>
      </c>
      <c r="S666">
        <v>0</v>
      </c>
      <c r="T666" t="s">
        <v>35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  <c r="AF666">
        <f t="shared" si="130"/>
        <v>0</v>
      </c>
      <c r="AG666">
        <f t="shared" si="131"/>
        <v>1</v>
      </c>
      <c r="AH666" t="str">
        <f t="shared" si="132"/>
        <v>Below College</v>
      </c>
      <c r="AI666" t="str">
        <f t="shared" si="133"/>
        <v>High</v>
      </c>
      <c r="AJ666" t="str">
        <f t="shared" si="134"/>
        <v>High</v>
      </c>
      <c r="AK666" t="str">
        <f t="shared" si="135"/>
        <v>Junior</v>
      </c>
      <c r="AL666" t="str">
        <f t="shared" si="136"/>
        <v>Very High</v>
      </c>
      <c r="AM666" t="str">
        <f t="shared" si="137"/>
        <v>Low</v>
      </c>
      <c r="AN666" t="str">
        <f t="shared" si="138"/>
        <v>Low</v>
      </c>
      <c r="AO666" t="str">
        <f t="shared" si="139"/>
        <v>Good</v>
      </c>
      <c r="AP666" t="str">
        <f t="shared" si="140"/>
        <v>35-44</v>
      </c>
      <c r="AQ666" t="str">
        <f t="shared" si="141"/>
        <v>Lower-Mid</v>
      </c>
      <c r="AR666" t="str">
        <f t="shared" si="142"/>
        <v>11-20 Years</v>
      </c>
    </row>
    <row r="667" spans="1:44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65</v>
      </c>
      <c r="M667">
        <v>2</v>
      </c>
      <c r="N667">
        <v>1</v>
      </c>
      <c r="O667" t="s">
        <v>57</v>
      </c>
      <c r="P667">
        <v>4</v>
      </c>
      <c r="Q667" t="s">
        <v>41</v>
      </c>
      <c r="R667">
        <v>3294</v>
      </c>
      <c r="S667">
        <v>1</v>
      </c>
      <c r="T667" t="s">
        <v>35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  <c r="AF667">
        <f t="shared" si="130"/>
        <v>0</v>
      </c>
      <c r="AG667">
        <f t="shared" si="131"/>
        <v>1</v>
      </c>
      <c r="AH667" t="str">
        <f t="shared" si="132"/>
        <v>Master</v>
      </c>
      <c r="AI667" t="str">
        <f t="shared" si="133"/>
        <v>Very High</v>
      </c>
      <c r="AJ667" t="str">
        <f t="shared" si="134"/>
        <v>Medium</v>
      </c>
      <c r="AK667" t="str">
        <f t="shared" si="135"/>
        <v>Entry</v>
      </c>
      <c r="AL667" t="str">
        <f t="shared" si="136"/>
        <v>Very High</v>
      </c>
      <c r="AM667" t="str">
        <f t="shared" si="137"/>
        <v>Low</v>
      </c>
      <c r="AN667" t="str">
        <f t="shared" si="138"/>
        <v>No Options</v>
      </c>
      <c r="AO667" t="str">
        <f t="shared" si="139"/>
        <v>Good</v>
      </c>
      <c r="AP667" t="str">
        <f t="shared" si="140"/>
        <v>45-54</v>
      </c>
      <c r="AQ667" t="str">
        <f t="shared" si="141"/>
        <v>Lower-Mid</v>
      </c>
      <c r="AR667" t="str">
        <f t="shared" si="142"/>
        <v>3-5 Years</v>
      </c>
    </row>
    <row r="668" spans="1:44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34</v>
      </c>
      <c r="M668">
        <v>3</v>
      </c>
      <c r="N668">
        <v>2</v>
      </c>
      <c r="O668" t="s">
        <v>53</v>
      </c>
      <c r="P668">
        <v>3</v>
      </c>
      <c r="Q668" t="s">
        <v>48</v>
      </c>
      <c r="R668">
        <v>4171</v>
      </c>
      <c r="S668">
        <v>0</v>
      </c>
      <c r="T668" t="s">
        <v>35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  <c r="AF668">
        <f t="shared" si="130"/>
        <v>1</v>
      </c>
      <c r="AG668">
        <f t="shared" si="131"/>
        <v>1</v>
      </c>
      <c r="AH668" t="str">
        <f t="shared" si="132"/>
        <v>Below College</v>
      </c>
      <c r="AI668" t="str">
        <f t="shared" si="133"/>
        <v>Medium</v>
      </c>
      <c r="AJ668" t="str">
        <f t="shared" si="134"/>
        <v>High</v>
      </c>
      <c r="AK668" t="str">
        <f t="shared" si="135"/>
        <v>Junior</v>
      </c>
      <c r="AL668" t="str">
        <f t="shared" si="136"/>
        <v>High</v>
      </c>
      <c r="AM668" t="str">
        <f t="shared" si="137"/>
        <v>Low</v>
      </c>
      <c r="AN668" t="str">
        <f t="shared" si="138"/>
        <v>Low</v>
      </c>
      <c r="AO668" t="str">
        <f t="shared" si="139"/>
        <v>Best</v>
      </c>
      <c r="AP668" t="str">
        <f t="shared" si="140"/>
        <v>Under 25</v>
      </c>
      <c r="AQ668" t="str">
        <f t="shared" si="141"/>
        <v>Lower-Mid</v>
      </c>
      <c r="AR668" t="str">
        <f t="shared" si="142"/>
        <v>3-5 Years</v>
      </c>
    </row>
    <row r="669" spans="1:44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57</v>
      </c>
      <c r="M669">
        <v>1</v>
      </c>
      <c r="N669">
        <v>1</v>
      </c>
      <c r="O669" t="s">
        <v>50</v>
      </c>
      <c r="P669">
        <v>4</v>
      </c>
      <c r="Q669" t="s">
        <v>52</v>
      </c>
      <c r="R669">
        <v>2778</v>
      </c>
      <c r="S669">
        <v>4</v>
      </c>
      <c r="T669" t="s">
        <v>35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  <c r="AF669">
        <f t="shared" si="130"/>
        <v>1</v>
      </c>
      <c r="AG669">
        <f t="shared" si="131"/>
        <v>1</v>
      </c>
      <c r="AH669" t="str">
        <f t="shared" si="132"/>
        <v>Master</v>
      </c>
      <c r="AI669" t="str">
        <f t="shared" si="133"/>
        <v>Medium</v>
      </c>
      <c r="AJ669" t="str">
        <f t="shared" si="134"/>
        <v>Low</v>
      </c>
      <c r="AK669" t="str">
        <f t="shared" si="135"/>
        <v>Entry</v>
      </c>
      <c r="AL669" t="str">
        <f t="shared" si="136"/>
        <v>Very High</v>
      </c>
      <c r="AM669" t="str">
        <f t="shared" si="137"/>
        <v>High</v>
      </c>
      <c r="AN669" t="str">
        <f t="shared" si="138"/>
        <v>Low</v>
      </c>
      <c r="AO669" t="str">
        <f t="shared" si="139"/>
        <v>Good</v>
      </c>
      <c r="AP669" t="str">
        <f t="shared" si="140"/>
        <v>35-44</v>
      </c>
      <c r="AQ669" t="str">
        <f t="shared" si="141"/>
        <v>Low</v>
      </c>
      <c r="AR669" t="str">
        <f t="shared" si="142"/>
        <v>6-10 Years</v>
      </c>
    </row>
    <row r="670" spans="1:44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39</v>
      </c>
      <c r="L670">
        <v>77</v>
      </c>
      <c r="M670">
        <v>3</v>
      </c>
      <c r="N670">
        <v>1</v>
      </c>
      <c r="O670" t="s">
        <v>47</v>
      </c>
      <c r="P670">
        <v>3</v>
      </c>
      <c r="Q670" t="s">
        <v>52</v>
      </c>
      <c r="R670">
        <v>2377</v>
      </c>
      <c r="S670">
        <v>5</v>
      </c>
      <c r="T670" t="s">
        <v>43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  <c r="AF670">
        <f t="shared" si="130"/>
        <v>0</v>
      </c>
      <c r="AG670">
        <f t="shared" si="131"/>
        <v>0</v>
      </c>
      <c r="AH670" t="str">
        <f t="shared" si="132"/>
        <v>Bachelor</v>
      </c>
      <c r="AI670" t="str">
        <f t="shared" si="133"/>
        <v>High</v>
      </c>
      <c r="AJ670" t="str">
        <f t="shared" si="134"/>
        <v>High</v>
      </c>
      <c r="AK670" t="str">
        <f t="shared" si="135"/>
        <v>Entry</v>
      </c>
      <c r="AL670" t="str">
        <f t="shared" si="136"/>
        <v>High</v>
      </c>
      <c r="AM670" t="str">
        <f t="shared" si="137"/>
        <v>Medium</v>
      </c>
      <c r="AN670" t="str">
        <f t="shared" si="138"/>
        <v>Low</v>
      </c>
      <c r="AO670" t="str">
        <f t="shared" si="139"/>
        <v>Better</v>
      </c>
      <c r="AP670" t="str">
        <f t="shared" si="140"/>
        <v>25-34</v>
      </c>
      <c r="AQ670" t="str">
        <f t="shared" si="141"/>
        <v>Low</v>
      </c>
      <c r="AR670" t="str">
        <f t="shared" si="142"/>
        <v>0-2 Years</v>
      </c>
    </row>
    <row r="671" spans="1:44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46</v>
      </c>
      <c r="L671">
        <v>70</v>
      </c>
      <c r="M671">
        <v>3</v>
      </c>
      <c r="N671">
        <v>1</v>
      </c>
      <c r="O671" t="s">
        <v>50</v>
      </c>
      <c r="P671">
        <v>1</v>
      </c>
      <c r="Q671" t="s">
        <v>48</v>
      </c>
      <c r="R671">
        <v>2404</v>
      </c>
      <c r="S671">
        <v>7</v>
      </c>
      <c r="T671" t="s">
        <v>35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  <c r="AF671">
        <f t="shared" si="130"/>
        <v>1</v>
      </c>
      <c r="AG671">
        <f t="shared" si="131"/>
        <v>1</v>
      </c>
      <c r="AH671" t="str">
        <f t="shared" si="132"/>
        <v>Bachelor</v>
      </c>
      <c r="AI671" t="str">
        <f t="shared" si="133"/>
        <v>Very High</v>
      </c>
      <c r="AJ671" t="str">
        <f t="shared" si="134"/>
        <v>High</v>
      </c>
      <c r="AK671" t="str">
        <f t="shared" si="135"/>
        <v>Entry</v>
      </c>
      <c r="AL671" t="str">
        <f t="shared" si="136"/>
        <v>Low</v>
      </c>
      <c r="AM671" t="str">
        <f t="shared" si="137"/>
        <v>Very High</v>
      </c>
      <c r="AN671" t="str">
        <f t="shared" si="138"/>
        <v>No Options</v>
      </c>
      <c r="AO671" t="str">
        <f t="shared" si="139"/>
        <v>Bad</v>
      </c>
      <c r="AP671" t="str">
        <f t="shared" si="140"/>
        <v>35-44</v>
      </c>
      <c r="AQ671" t="str">
        <f t="shared" si="141"/>
        <v>Low</v>
      </c>
      <c r="AR671" t="str">
        <f t="shared" si="142"/>
        <v>0-2 Years</v>
      </c>
    </row>
    <row r="672" spans="1:44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76</v>
      </c>
      <c r="M672">
        <v>3</v>
      </c>
      <c r="N672">
        <v>1</v>
      </c>
      <c r="O672" t="s">
        <v>47</v>
      </c>
      <c r="P672">
        <v>3</v>
      </c>
      <c r="Q672" t="s">
        <v>41</v>
      </c>
      <c r="R672">
        <v>2318</v>
      </c>
      <c r="S672">
        <v>1</v>
      </c>
      <c r="T672" t="s">
        <v>43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  <c r="AF672">
        <f t="shared" si="130"/>
        <v>0</v>
      </c>
      <c r="AG672">
        <f t="shared" si="131"/>
        <v>0</v>
      </c>
      <c r="AH672" t="str">
        <f t="shared" si="132"/>
        <v>Bachelor</v>
      </c>
      <c r="AI672" t="str">
        <f t="shared" si="133"/>
        <v>Medium</v>
      </c>
      <c r="AJ672" t="str">
        <f t="shared" si="134"/>
        <v>High</v>
      </c>
      <c r="AK672" t="str">
        <f t="shared" si="135"/>
        <v>Entry</v>
      </c>
      <c r="AL672" t="str">
        <f t="shared" si="136"/>
        <v>High</v>
      </c>
      <c r="AM672" t="str">
        <f t="shared" si="137"/>
        <v>High</v>
      </c>
      <c r="AN672" t="str">
        <f t="shared" si="138"/>
        <v>No Options</v>
      </c>
      <c r="AO672" t="str">
        <f t="shared" si="139"/>
        <v>Better</v>
      </c>
      <c r="AP672" t="str">
        <f t="shared" si="140"/>
        <v>25-34</v>
      </c>
      <c r="AQ672" t="str">
        <f t="shared" si="141"/>
        <v>Low</v>
      </c>
      <c r="AR672" t="str">
        <f t="shared" si="142"/>
        <v>0-2 Years</v>
      </c>
    </row>
    <row r="673" spans="1:44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46</v>
      </c>
      <c r="L673">
        <v>83</v>
      </c>
      <c r="M673">
        <v>3</v>
      </c>
      <c r="N673">
        <v>1</v>
      </c>
      <c r="O673" t="s">
        <v>50</v>
      </c>
      <c r="P673">
        <v>2</v>
      </c>
      <c r="Q673" t="s">
        <v>52</v>
      </c>
      <c r="R673">
        <v>2008</v>
      </c>
      <c r="S673">
        <v>1</v>
      </c>
      <c r="T673" t="s">
        <v>43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  <c r="AF673">
        <f t="shared" si="130"/>
        <v>0</v>
      </c>
      <c r="AG673">
        <f t="shared" si="131"/>
        <v>0</v>
      </c>
      <c r="AH673" t="str">
        <f t="shared" si="132"/>
        <v>Bachelor</v>
      </c>
      <c r="AI673" t="str">
        <f t="shared" si="133"/>
        <v>Medium</v>
      </c>
      <c r="AJ673" t="str">
        <f t="shared" si="134"/>
        <v>High</v>
      </c>
      <c r="AK673" t="str">
        <f t="shared" si="135"/>
        <v>Entry</v>
      </c>
      <c r="AL673" t="str">
        <f t="shared" si="136"/>
        <v>Medium</v>
      </c>
      <c r="AM673" t="str">
        <f t="shared" si="137"/>
        <v>Medium</v>
      </c>
      <c r="AN673" t="str">
        <f t="shared" si="138"/>
        <v>Medium</v>
      </c>
      <c r="AO673" t="str">
        <f t="shared" si="139"/>
        <v>Better</v>
      </c>
      <c r="AP673" t="str">
        <f t="shared" si="140"/>
        <v>25-34</v>
      </c>
      <c r="AQ673" t="str">
        <f t="shared" si="141"/>
        <v>Low</v>
      </c>
      <c r="AR673" t="str">
        <f t="shared" si="142"/>
        <v>0-2 Years</v>
      </c>
    </row>
    <row r="674" spans="1:44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39</v>
      </c>
      <c r="L674">
        <v>68</v>
      </c>
      <c r="M674">
        <v>2</v>
      </c>
      <c r="N674">
        <v>2</v>
      </c>
      <c r="O674" t="s">
        <v>40</v>
      </c>
      <c r="P674">
        <v>3</v>
      </c>
      <c r="Q674" t="s">
        <v>41</v>
      </c>
      <c r="R674">
        <v>6244</v>
      </c>
      <c r="S674">
        <v>7</v>
      </c>
      <c r="T674" t="s">
        <v>43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  <c r="AF674">
        <f t="shared" si="130"/>
        <v>0</v>
      </c>
      <c r="AG674">
        <f t="shared" si="131"/>
        <v>0</v>
      </c>
      <c r="AH674" t="str">
        <f t="shared" si="132"/>
        <v>College</v>
      </c>
      <c r="AI674" t="str">
        <f t="shared" si="133"/>
        <v>High</v>
      </c>
      <c r="AJ674" t="str">
        <f t="shared" si="134"/>
        <v>Medium</v>
      </c>
      <c r="AK674" t="str">
        <f t="shared" si="135"/>
        <v>Junior</v>
      </c>
      <c r="AL674" t="str">
        <f t="shared" si="136"/>
        <v>High</v>
      </c>
      <c r="AM674" t="str">
        <f t="shared" si="137"/>
        <v>Low</v>
      </c>
      <c r="AN674" t="str">
        <f t="shared" si="138"/>
        <v>No Options</v>
      </c>
      <c r="AO674" t="str">
        <f t="shared" si="139"/>
        <v>Better</v>
      </c>
      <c r="AP674" t="str">
        <f t="shared" si="140"/>
        <v>35-44</v>
      </c>
      <c r="AQ674" t="str">
        <f t="shared" si="141"/>
        <v>Lower-Mid</v>
      </c>
      <c r="AR674" t="str">
        <f t="shared" si="142"/>
        <v>3-5 Years</v>
      </c>
    </row>
    <row r="675" spans="1:44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100</v>
      </c>
      <c r="M675">
        <v>2</v>
      </c>
      <c r="N675">
        <v>1</v>
      </c>
      <c r="O675" t="s">
        <v>47</v>
      </c>
      <c r="P675">
        <v>1</v>
      </c>
      <c r="Q675" t="s">
        <v>41</v>
      </c>
      <c r="R675">
        <v>2799</v>
      </c>
      <c r="S675">
        <v>3</v>
      </c>
      <c r="T675" t="s">
        <v>35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  <c r="AF675">
        <f t="shared" si="130"/>
        <v>0</v>
      </c>
      <c r="AG675">
        <f t="shared" si="131"/>
        <v>1</v>
      </c>
      <c r="AH675" t="str">
        <f t="shared" si="132"/>
        <v>Master</v>
      </c>
      <c r="AI675" t="str">
        <f t="shared" si="133"/>
        <v>High</v>
      </c>
      <c r="AJ675" t="str">
        <f t="shared" si="134"/>
        <v>Medium</v>
      </c>
      <c r="AK675" t="str">
        <f t="shared" si="135"/>
        <v>Entry</v>
      </c>
      <c r="AL675" t="str">
        <f t="shared" si="136"/>
        <v>Low</v>
      </c>
      <c r="AM675" t="str">
        <f t="shared" si="137"/>
        <v>Medium</v>
      </c>
      <c r="AN675" t="str">
        <f t="shared" si="138"/>
        <v>No Options</v>
      </c>
      <c r="AO675" t="str">
        <f t="shared" si="139"/>
        <v>Better</v>
      </c>
      <c r="AP675" t="str">
        <f t="shared" si="140"/>
        <v>25-34</v>
      </c>
      <c r="AQ675" t="str">
        <f t="shared" si="141"/>
        <v>Low</v>
      </c>
      <c r="AR675" t="str">
        <f t="shared" si="142"/>
        <v>3-5 Years</v>
      </c>
    </row>
    <row r="676" spans="1:44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t="s">
        <v>39</v>
      </c>
      <c r="L676">
        <v>37</v>
      </c>
      <c r="M676">
        <v>2</v>
      </c>
      <c r="N676">
        <v>3</v>
      </c>
      <c r="O676" t="s">
        <v>54</v>
      </c>
      <c r="P676">
        <v>2</v>
      </c>
      <c r="Q676" t="s">
        <v>52</v>
      </c>
      <c r="R676">
        <v>10552</v>
      </c>
      <c r="S676">
        <v>2</v>
      </c>
      <c r="T676" t="s">
        <v>35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  <c r="AF676">
        <f t="shared" si="130"/>
        <v>0</v>
      </c>
      <c r="AG676">
        <f t="shared" si="131"/>
        <v>1</v>
      </c>
      <c r="AH676" t="str">
        <f t="shared" si="132"/>
        <v>Bachelor</v>
      </c>
      <c r="AI676" t="str">
        <f t="shared" si="133"/>
        <v>High</v>
      </c>
      <c r="AJ676" t="str">
        <f t="shared" si="134"/>
        <v>Medium</v>
      </c>
      <c r="AK676" t="str">
        <f t="shared" si="135"/>
        <v>Mid-Level</v>
      </c>
      <c r="AL676" t="str">
        <f t="shared" si="136"/>
        <v>Medium</v>
      </c>
      <c r="AM676" t="str">
        <f t="shared" si="137"/>
        <v>Very High</v>
      </c>
      <c r="AN676" t="str">
        <f t="shared" si="138"/>
        <v>Low</v>
      </c>
      <c r="AO676" t="str">
        <f t="shared" si="139"/>
        <v>Better</v>
      </c>
      <c r="AP676" t="str">
        <f t="shared" si="140"/>
        <v>55+</v>
      </c>
      <c r="AQ676" t="str">
        <f t="shared" si="141"/>
        <v>Upper-Mid</v>
      </c>
      <c r="AR676" t="str">
        <f t="shared" si="142"/>
        <v>6-10 Years</v>
      </c>
    </row>
    <row r="677" spans="1:44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46</v>
      </c>
      <c r="L677">
        <v>41</v>
      </c>
      <c r="M677">
        <v>2</v>
      </c>
      <c r="N677">
        <v>1</v>
      </c>
      <c r="O677" t="s">
        <v>57</v>
      </c>
      <c r="P677">
        <v>3</v>
      </c>
      <c r="Q677" t="s">
        <v>48</v>
      </c>
      <c r="R677">
        <v>2329</v>
      </c>
      <c r="S677">
        <v>3</v>
      </c>
      <c r="T677" t="s">
        <v>43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  <c r="AF677">
        <f t="shared" si="130"/>
        <v>0</v>
      </c>
      <c r="AG677">
        <f t="shared" si="131"/>
        <v>0</v>
      </c>
      <c r="AH677" t="str">
        <f t="shared" si="132"/>
        <v>Master</v>
      </c>
      <c r="AI677" t="str">
        <f t="shared" si="133"/>
        <v>Medium</v>
      </c>
      <c r="AJ677" t="str">
        <f t="shared" si="134"/>
        <v>Medium</v>
      </c>
      <c r="AK677" t="str">
        <f t="shared" si="135"/>
        <v>Entry</v>
      </c>
      <c r="AL677" t="str">
        <f t="shared" si="136"/>
        <v>High</v>
      </c>
      <c r="AM677" t="str">
        <f t="shared" si="137"/>
        <v>Medium</v>
      </c>
      <c r="AN677" t="str">
        <f t="shared" si="138"/>
        <v>No Options</v>
      </c>
      <c r="AO677" t="str">
        <f t="shared" si="139"/>
        <v>Best</v>
      </c>
      <c r="AP677" t="str">
        <f t="shared" si="140"/>
        <v>25-34</v>
      </c>
      <c r="AQ677" t="str">
        <f t="shared" si="141"/>
        <v>Low</v>
      </c>
      <c r="AR677" t="str">
        <f t="shared" si="142"/>
        <v>6-10 Years</v>
      </c>
    </row>
    <row r="678" spans="1:44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51</v>
      </c>
      <c r="M678">
        <v>3</v>
      </c>
      <c r="N678">
        <v>2</v>
      </c>
      <c r="O678" t="s">
        <v>54</v>
      </c>
      <c r="P678">
        <v>4</v>
      </c>
      <c r="Q678" t="s">
        <v>48</v>
      </c>
      <c r="R678">
        <v>4014</v>
      </c>
      <c r="S678">
        <v>1</v>
      </c>
      <c r="T678" t="s">
        <v>35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  <c r="AF678">
        <f t="shared" si="130"/>
        <v>0</v>
      </c>
      <c r="AG678">
        <f t="shared" si="131"/>
        <v>1</v>
      </c>
      <c r="AH678" t="str">
        <f t="shared" si="132"/>
        <v>Below College</v>
      </c>
      <c r="AI678" t="str">
        <f t="shared" si="133"/>
        <v>Very High</v>
      </c>
      <c r="AJ678" t="str">
        <f t="shared" si="134"/>
        <v>High</v>
      </c>
      <c r="AK678" t="str">
        <f t="shared" si="135"/>
        <v>Junior</v>
      </c>
      <c r="AL678" t="str">
        <f t="shared" si="136"/>
        <v>Very High</v>
      </c>
      <c r="AM678" t="str">
        <f t="shared" si="137"/>
        <v>Very High</v>
      </c>
      <c r="AN678" t="str">
        <f t="shared" si="138"/>
        <v>Low</v>
      </c>
      <c r="AO678" t="str">
        <f t="shared" si="139"/>
        <v>Bad</v>
      </c>
      <c r="AP678" t="str">
        <f t="shared" si="140"/>
        <v>35-44</v>
      </c>
      <c r="AQ678" t="str">
        <f t="shared" si="141"/>
        <v>Lower-Mid</v>
      </c>
      <c r="AR678" t="str">
        <f t="shared" si="142"/>
        <v>6-10 Years</v>
      </c>
    </row>
    <row r="679" spans="1:44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39</v>
      </c>
      <c r="L679">
        <v>51</v>
      </c>
      <c r="M679">
        <v>3</v>
      </c>
      <c r="N679">
        <v>3</v>
      </c>
      <c r="O679" t="s">
        <v>50</v>
      </c>
      <c r="P679">
        <v>2</v>
      </c>
      <c r="Q679" t="s">
        <v>48</v>
      </c>
      <c r="R679">
        <v>7403</v>
      </c>
      <c r="S679">
        <v>4</v>
      </c>
      <c r="T679" t="s">
        <v>43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  <c r="AF679">
        <f t="shared" si="130"/>
        <v>0</v>
      </c>
      <c r="AG679">
        <f t="shared" si="131"/>
        <v>0</v>
      </c>
      <c r="AH679" t="str">
        <f t="shared" si="132"/>
        <v>College</v>
      </c>
      <c r="AI679" t="str">
        <f t="shared" si="133"/>
        <v>Low</v>
      </c>
      <c r="AJ679" t="str">
        <f t="shared" si="134"/>
        <v>High</v>
      </c>
      <c r="AK679" t="str">
        <f t="shared" si="135"/>
        <v>Mid-Level</v>
      </c>
      <c r="AL679" t="str">
        <f t="shared" si="136"/>
        <v>Medium</v>
      </c>
      <c r="AM679" t="str">
        <f t="shared" si="137"/>
        <v>High</v>
      </c>
      <c r="AN679" t="str">
        <f t="shared" si="138"/>
        <v>Low</v>
      </c>
      <c r="AO679" t="str">
        <f t="shared" si="139"/>
        <v>Good</v>
      </c>
      <c r="AP679" t="str">
        <f t="shared" si="140"/>
        <v>45-54</v>
      </c>
      <c r="AQ679" t="str">
        <f t="shared" si="141"/>
        <v>Upper-Mid</v>
      </c>
      <c r="AR679" t="str">
        <f t="shared" si="142"/>
        <v>20+ Years</v>
      </c>
    </row>
    <row r="680" spans="1:44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46</v>
      </c>
      <c r="L680">
        <v>51</v>
      </c>
      <c r="M680">
        <v>3</v>
      </c>
      <c r="N680">
        <v>1</v>
      </c>
      <c r="O680" t="s">
        <v>47</v>
      </c>
      <c r="P680">
        <v>3</v>
      </c>
      <c r="Q680" t="s">
        <v>48</v>
      </c>
      <c r="R680">
        <v>2259</v>
      </c>
      <c r="S680">
        <v>4</v>
      </c>
      <c r="T680" t="s">
        <v>43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f t="shared" si="130"/>
        <v>0</v>
      </c>
      <c r="AG680">
        <f t="shared" si="131"/>
        <v>0</v>
      </c>
      <c r="AH680" t="str">
        <f t="shared" si="132"/>
        <v>Master</v>
      </c>
      <c r="AI680" t="str">
        <f t="shared" si="133"/>
        <v>Very High</v>
      </c>
      <c r="AJ680" t="str">
        <f t="shared" si="134"/>
        <v>High</v>
      </c>
      <c r="AK680" t="str">
        <f t="shared" si="135"/>
        <v>Entry</v>
      </c>
      <c r="AL680" t="str">
        <f t="shared" si="136"/>
        <v>High</v>
      </c>
      <c r="AM680" t="str">
        <f t="shared" si="137"/>
        <v>Low</v>
      </c>
      <c r="AN680" t="str">
        <f t="shared" si="138"/>
        <v>Medium</v>
      </c>
      <c r="AO680" t="str">
        <f t="shared" si="139"/>
        <v>Good</v>
      </c>
      <c r="AP680" t="str">
        <f t="shared" si="140"/>
        <v>45-54</v>
      </c>
      <c r="AQ680" t="str">
        <f t="shared" si="141"/>
        <v>Low</v>
      </c>
      <c r="AR680" t="str">
        <f t="shared" si="142"/>
        <v>0-2 Years</v>
      </c>
    </row>
    <row r="681" spans="1:44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t="s">
        <v>39</v>
      </c>
      <c r="L681">
        <v>45</v>
      </c>
      <c r="M681">
        <v>3</v>
      </c>
      <c r="N681">
        <v>2</v>
      </c>
      <c r="O681" t="s">
        <v>40</v>
      </c>
      <c r="P681">
        <v>3</v>
      </c>
      <c r="Q681" t="s">
        <v>48</v>
      </c>
      <c r="R681">
        <v>6932</v>
      </c>
      <c r="S681">
        <v>1</v>
      </c>
      <c r="T681" t="s">
        <v>43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  <c r="AF681">
        <f t="shared" si="130"/>
        <v>0</v>
      </c>
      <c r="AG681">
        <f t="shared" si="131"/>
        <v>0</v>
      </c>
      <c r="AH681" t="str">
        <f t="shared" si="132"/>
        <v>College</v>
      </c>
      <c r="AI681" t="str">
        <f t="shared" si="133"/>
        <v>Very High</v>
      </c>
      <c r="AJ681" t="str">
        <f t="shared" si="134"/>
        <v>High</v>
      </c>
      <c r="AK681" t="str">
        <f t="shared" si="135"/>
        <v>Junior</v>
      </c>
      <c r="AL681" t="str">
        <f t="shared" si="136"/>
        <v>High</v>
      </c>
      <c r="AM681" t="str">
        <f t="shared" si="137"/>
        <v>Very High</v>
      </c>
      <c r="AN681" t="str">
        <f t="shared" si="138"/>
        <v>Low</v>
      </c>
      <c r="AO681" t="str">
        <f t="shared" si="139"/>
        <v>Good</v>
      </c>
      <c r="AP681" t="str">
        <f t="shared" si="140"/>
        <v>25-34</v>
      </c>
      <c r="AQ681" t="str">
        <f t="shared" si="141"/>
        <v>Lower-Mid</v>
      </c>
      <c r="AR681" t="str">
        <f t="shared" si="142"/>
        <v>6-10 Years</v>
      </c>
    </row>
    <row r="682" spans="1:44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65</v>
      </c>
      <c r="M682">
        <v>3</v>
      </c>
      <c r="N682">
        <v>1</v>
      </c>
      <c r="O682" t="s">
        <v>47</v>
      </c>
      <c r="P682">
        <v>4</v>
      </c>
      <c r="Q682" t="s">
        <v>41</v>
      </c>
      <c r="R682">
        <v>4678</v>
      </c>
      <c r="S682">
        <v>2</v>
      </c>
      <c r="T682" t="s">
        <v>43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  <c r="AF682">
        <f t="shared" si="130"/>
        <v>0</v>
      </c>
      <c r="AG682">
        <f t="shared" si="131"/>
        <v>0</v>
      </c>
      <c r="AH682" t="str">
        <f t="shared" si="132"/>
        <v>Master</v>
      </c>
      <c r="AI682" t="str">
        <f t="shared" si="133"/>
        <v>Medium</v>
      </c>
      <c r="AJ682" t="str">
        <f t="shared" si="134"/>
        <v>High</v>
      </c>
      <c r="AK682" t="str">
        <f t="shared" si="135"/>
        <v>Entry</v>
      </c>
      <c r="AL682" t="str">
        <f t="shared" si="136"/>
        <v>Very High</v>
      </c>
      <c r="AM682" t="str">
        <f t="shared" si="137"/>
        <v>High</v>
      </c>
      <c r="AN682" t="str">
        <f t="shared" si="138"/>
        <v>No Options</v>
      </c>
      <c r="AO682" t="str">
        <f t="shared" si="139"/>
        <v>Better</v>
      </c>
      <c r="AP682" t="str">
        <f t="shared" si="140"/>
        <v>35-44</v>
      </c>
      <c r="AQ682" t="str">
        <f t="shared" si="141"/>
        <v>Lower-Mid</v>
      </c>
      <c r="AR682" t="str">
        <f t="shared" si="142"/>
        <v>6-10 Years</v>
      </c>
    </row>
    <row r="683" spans="1:44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t="s">
        <v>39</v>
      </c>
      <c r="L683">
        <v>80</v>
      </c>
      <c r="M683">
        <v>3</v>
      </c>
      <c r="N683">
        <v>3</v>
      </c>
      <c r="O683" t="s">
        <v>58</v>
      </c>
      <c r="P683">
        <v>1</v>
      </c>
      <c r="Q683" t="s">
        <v>48</v>
      </c>
      <c r="R683">
        <v>13582</v>
      </c>
      <c r="S683">
        <v>1</v>
      </c>
      <c r="T683" t="s">
        <v>43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  <c r="AF683">
        <f t="shared" si="130"/>
        <v>0</v>
      </c>
      <c r="AG683">
        <f t="shared" si="131"/>
        <v>0</v>
      </c>
      <c r="AH683" t="str">
        <f t="shared" si="132"/>
        <v>Bachelor</v>
      </c>
      <c r="AI683" t="str">
        <f t="shared" si="133"/>
        <v>Very High</v>
      </c>
      <c r="AJ683" t="str">
        <f t="shared" si="134"/>
        <v>High</v>
      </c>
      <c r="AK683" t="str">
        <f t="shared" si="135"/>
        <v>Mid-Level</v>
      </c>
      <c r="AL683" t="str">
        <f t="shared" si="136"/>
        <v>Low</v>
      </c>
      <c r="AM683" t="str">
        <f t="shared" si="137"/>
        <v>Medium</v>
      </c>
      <c r="AN683" t="str">
        <f t="shared" si="138"/>
        <v>Low</v>
      </c>
      <c r="AO683" t="str">
        <f t="shared" si="139"/>
        <v>Better</v>
      </c>
      <c r="AP683" t="str">
        <f t="shared" si="140"/>
        <v>35-44</v>
      </c>
      <c r="AQ683" t="str">
        <f t="shared" si="141"/>
        <v>High</v>
      </c>
      <c r="AR683" t="str">
        <f t="shared" si="142"/>
        <v>11-20 Years</v>
      </c>
    </row>
    <row r="684" spans="1:44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70</v>
      </c>
      <c r="M684">
        <v>2</v>
      </c>
      <c r="N684">
        <v>1</v>
      </c>
      <c r="O684" t="s">
        <v>50</v>
      </c>
      <c r="P684">
        <v>2</v>
      </c>
      <c r="Q684" t="s">
        <v>48</v>
      </c>
      <c r="R684">
        <v>2332</v>
      </c>
      <c r="S684">
        <v>6</v>
      </c>
      <c r="T684" t="s">
        <v>43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  <c r="AF684">
        <f t="shared" si="130"/>
        <v>0</v>
      </c>
      <c r="AG684">
        <f t="shared" si="131"/>
        <v>0</v>
      </c>
      <c r="AH684" t="str">
        <f t="shared" si="132"/>
        <v>Bachelor</v>
      </c>
      <c r="AI684" t="str">
        <f t="shared" si="133"/>
        <v>High</v>
      </c>
      <c r="AJ684" t="str">
        <f t="shared" si="134"/>
        <v>Medium</v>
      </c>
      <c r="AK684" t="str">
        <f t="shared" si="135"/>
        <v>Entry</v>
      </c>
      <c r="AL684" t="str">
        <f t="shared" si="136"/>
        <v>Medium</v>
      </c>
      <c r="AM684" t="str">
        <f t="shared" si="137"/>
        <v>High</v>
      </c>
      <c r="AN684" t="str">
        <f t="shared" si="138"/>
        <v>No Options</v>
      </c>
      <c r="AO684" t="str">
        <f t="shared" si="139"/>
        <v>Better</v>
      </c>
      <c r="AP684" t="str">
        <f t="shared" si="140"/>
        <v>25-34</v>
      </c>
      <c r="AQ684" t="str">
        <f t="shared" si="141"/>
        <v>Low</v>
      </c>
      <c r="AR684" t="str">
        <f t="shared" si="142"/>
        <v>3-5 Years</v>
      </c>
    </row>
    <row r="685" spans="1:44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t="s">
        <v>46</v>
      </c>
      <c r="L685">
        <v>36</v>
      </c>
      <c r="M685">
        <v>2</v>
      </c>
      <c r="N685">
        <v>1</v>
      </c>
      <c r="O685" t="s">
        <v>57</v>
      </c>
      <c r="P685">
        <v>2</v>
      </c>
      <c r="Q685" t="s">
        <v>48</v>
      </c>
      <c r="R685">
        <v>2413</v>
      </c>
      <c r="S685">
        <v>1</v>
      </c>
      <c r="T685" t="s">
        <v>35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  <c r="AF685">
        <f t="shared" si="130"/>
        <v>1</v>
      </c>
      <c r="AG685">
        <f t="shared" si="131"/>
        <v>1</v>
      </c>
      <c r="AH685" t="str">
        <f t="shared" si="132"/>
        <v>College</v>
      </c>
      <c r="AI685" t="str">
        <f t="shared" si="133"/>
        <v>High</v>
      </c>
      <c r="AJ685" t="str">
        <f t="shared" si="134"/>
        <v>Medium</v>
      </c>
      <c r="AK685" t="str">
        <f t="shared" si="135"/>
        <v>Entry</v>
      </c>
      <c r="AL685" t="str">
        <f t="shared" si="136"/>
        <v>Medium</v>
      </c>
      <c r="AM685" t="str">
        <f t="shared" si="137"/>
        <v>High</v>
      </c>
      <c r="AN685" t="str">
        <f t="shared" si="138"/>
        <v>High</v>
      </c>
      <c r="AO685" t="str">
        <f t="shared" si="139"/>
        <v>Better</v>
      </c>
      <c r="AP685" t="str">
        <f t="shared" si="140"/>
        <v>25-34</v>
      </c>
      <c r="AQ685" t="str">
        <f t="shared" si="141"/>
        <v>Low</v>
      </c>
      <c r="AR685" t="str">
        <f t="shared" si="142"/>
        <v>0-2 Years</v>
      </c>
    </row>
    <row r="686" spans="1:44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t="s">
        <v>46</v>
      </c>
      <c r="L686">
        <v>67</v>
      </c>
      <c r="M686">
        <v>2</v>
      </c>
      <c r="N686">
        <v>3</v>
      </c>
      <c r="O686" t="s">
        <v>40</v>
      </c>
      <c r="P686">
        <v>2</v>
      </c>
      <c r="Q686" t="s">
        <v>52</v>
      </c>
      <c r="R686">
        <v>9705</v>
      </c>
      <c r="S686">
        <v>2</v>
      </c>
      <c r="T686" t="s">
        <v>43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  <c r="AF686">
        <f t="shared" si="130"/>
        <v>0</v>
      </c>
      <c r="AG686">
        <f t="shared" si="131"/>
        <v>0</v>
      </c>
      <c r="AH686" t="str">
        <f t="shared" si="132"/>
        <v>Master</v>
      </c>
      <c r="AI686" t="str">
        <f t="shared" si="133"/>
        <v>Low</v>
      </c>
      <c r="AJ686" t="str">
        <f t="shared" si="134"/>
        <v>Medium</v>
      </c>
      <c r="AK686" t="str">
        <f t="shared" si="135"/>
        <v>Mid-Level</v>
      </c>
      <c r="AL686" t="str">
        <f t="shared" si="136"/>
        <v>Medium</v>
      </c>
      <c r="AM686" t="str">
        <f t="shared" si="137"/>
        <v>Medium</v>
      </c>
      <c r="AN686" t="str">
        <f t="shared" si="138"/>
        <v>Low</v>
      </c>
      <c r="AO686" t="str">
        <f t="shared" si="139"/>
        <v>Good</v>
      </c>
      <c r="AP686" t="str">
        <f t="shared" si="140"/>
        <v>35-44</v>
      </c>
      <c r="AQ686" t="str">
        <f t="shared" si="141"/>
        <v>Upper-Mid</v>
      </c>
      <c r="AR686" t="str">
        <f t="shared" si="142"/>
        <v>0-2 Years</v>
      </c>
    </row>
    <row r="687" spans="1:44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46</v>
      </c>
      <c r="L687">
        <v>52</v>
      </c>
      <c r="M687">
        <v>2</v>
      </c>
      <c r="N687">
        <v>2</v>
      </c>
      <c r="O687" t="s">
        <v>40</v>
      </c>
      <c r="P687">
        <v>1</v>
      </c>
      <c r="Q687" t="s">
        <v>41</v>
      </c>
      <c r="R687">
        <v>4294</v>
      </c>
      <c r="S687">
        <v>1</v>
      </c>
      <c r="T687" t="s">
        <v>43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  <c r="AF687">
        <f t="shared" si="130"/>
        <v>0</v>
      </c>
      <c r="AG687">
        <f t="shared" si="131"/>
        <v>0</v>
      </c>
      <c r="AH687" t="str">
        <f t="shared" si="132"/>
        <v>Bachelor</v>
      </c>
      <c r="AI687" t="str">
        <f t="shared" si="133"/>
        <v>High</v>
      </c>
      <c r="AJ687" t="str">
        <f t="shared" si="134"/>
        <v>Medium</v>
      </c>
      <c r="AK687" t="str">
        <f t="shared" si="135"/>
        <v>Junior</v>
      </c>
      <c r="AL687" t="str">
        <f t="shared" si="136"/>
        <v>Low</v>
      </c>
      <c r="AM687" t="str">
        <f t="shared" si="137"/>
        <v>Medium</v>
      </c>
      <c r="AN687" t="str">
        <f t="shared" si="138"/>
        <v>No Options</v>
      </c>
      <c r="AO687" t="str">
        <f t="shared" si="139"/>
        <v>Better</v>
      </c>
      <c r="AP687" t="str">
        <f t="shared" si="140"/>
        <v>25-34</v>
      </c>
      <c r="AQ687" t="str">
        <f t="shared" si="141"/>
        <v>Lower-Mid</v>
      </c>
      <c r="AR687" t="str">
        <f t="shared" si="142"/>
        <v>6-10 Years</v>
      </c>
    </row>
    <row r="688" spans="1:44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46</v>
      </c>
      <c r="L688">
        <v>59</v>
      </c>
      <c r="M688">
        <v>3</v>
      </c>
      <c r="N688">
        <v>1</v>
      </c>
      <c r="O688" t="s">
        <v>50</v>
      </c>
      <c r="P688">
        <v>1</v>
      </c>
      <c r="Q688" t="s">
        <v>41</v>
      </c>
      <c r="R688">
        <v>4721</v>
      </c>
      <c r="S688">
        <v>2</v>
      </c>
      <c r="T688" t="s">
        <v>35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  <c r="AF688">
        <f t="shared" si="130"/>
        <v>0</v>
      </c>
      <c r="AG688">
        <f t="shared" si="131"/>
        <v>1</v>
      </c>
      <c r="AH688" t="str">
        <f t="shared" si="132"/>
        <v>Bachelor</v>
      </c>
      <c r="AI688" t="str">
        <f t="shared" si="133"/>
        <v>Very High</v>
      </c>
      <c r="AJ688" t="str">
        <f t="shared" si="134"/>
        <v>High</v>
      </c>
      <c r="AK688" t="str">
        <f t="shared" si="135"/>
        <v>Entry</v>
      </c>
      <c r="AL688" t="str">
        <f t="shared" si="136"/>
        <v>Low</v>
      </c>
      <c r="AM688" t="str">
        <f t="shared" si="137"/>
        <v>High</v>
      </c>
      <c r="AN688" t="str">
        <f t="shared" si="138"/>
        <v>No Options</v>
      </c>
      <c r="AO688" t="str">
        <f t="shared" si="139"/>
        <v>Better</v>
      </c>
      <c r="AP688" t="str">
        <f t="shared" si="140"/>
        <v>35-44</v>
      </c>
      <c r="AQ688" t="str">
        <f t="shared" si="141"/>
        <v>Lower-Mid</v>
      </c>
      <c r="AR688" t="str">
        <f t="shared" si="142"/>
        <v>11-20 Years</v>
      </c>
    </row>
    <row r="689" spans="1:44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46</v>
      </c>
      <c r="L689">
        <v>79</v>
      </c>
      <c r="M689">
        <v>3</v>
      </c>
      <c r="N689">
        <v>1</v>
      </c>
      <c r="O689" t="s">
        <v>50</v>
      </c>
      <c r="P689">
        <v>3</v>
      </c>
      <c r="Q689" t="s">
        <v>41</v>
      </c>
      <c r="R689">
        <v>2519</v>
      </c>
      <c r="S689">
        <v>4</v>
      </c>
      <c r="T689" t="s">
        <v>43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  <c r="AF689">
        <f t="shared" si="130"/>
        <v>0</v>
      </c>
      <c r="AG689">
        <f t="shared" si="131"/>
        <v>0</v>
      </c>
      <c r="AH689" t="str">
        <f t="shared" si="132"/>
        <v>Master</v>
      </c>
      <c r="AI689" t="str">
        <f t="shared" si="133"/>
        <v>High</v>
      </c>
      <c r="AJ689" t="str">
        <f t="shared" si="134"/>
        <v>High</v>
      </c>
      <c r="AK689" t="str">
        <f t="shared" si="135"/>
        <v>Entry</v>
      </c>
      <c r="AL689" t="str">
        <f t="shared" si="136"/>
        <v>High</v>
      </c>
      <c r="AM689" t="str">
        <f t="shared" si="137"/>
        <v>High</v>
      </c>
      <c r="AN689" t="str">
        <f t="shared" si="138"/>
        <v>No Options</v>
      </c>
      <c r="AO689" t="str">
        <f t="shared" si="139"/>
        <v>Better</v>
      </c>
      <c r="AP689" t="str">
        <f t="shared" si="140"/>
        <v>35-44</v>
      </c>
      <c r="AQ689" t="str">
        <f t="shared" si="141"/>
        <v>Low</v>
      </c>
      <c r="AR689" t="str">
        <f t="shared" si="142"/>
        <v>11-20 Years</v>
      </c>
    </row>
    <row r="690" spans="1:44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37</v>
      </c>
      <c r="M690">
        <v>2</v>
      </c>
      <c r="N690">
        <v>1</v>
      </c>
      <c r="O690" t="s">
        <v>57</v>
      </c>
      <c r="P690">
        <v>2</v>
      </c>
      <c r="Q690" t="s">
        <v>41</v>
      </c>
      <c r="R690">
        <v>2121</v>
      </c>
      <c r="S690">
        <v>1</v>
      </c>
      <c r="T690" t="s">
        <v>35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  <c r="AF690">
        <f t="shared" si="130"/>
        <v>1</v>
      </c>
      <c r="AG690">
        <f t="shared" si="131"/>
        <v>1</v>
      </c>
      <c r="AH690" t="str">
        <f t="shared" si="132"/>
        <v>Bachelor</v>
      </c>
      <c r="AI690" t="str">
        <f t="shared" si="133"/>
        <v>Very High</v>
      </c>
      <c r="AJ690" t="str">
        <f t="shared" si="134"/>
        <v>Medium</v>
      </c>
      <c r="AK690" t="str">
        <f t="shared" si="135"/>
        <v>Entry</v>
      </c>
      <c r="AL690" t="str">
        <f t="shared" si="136"/>
        <v>Medium</v>
      </c>
      <c r="AM690" t="str">
        <f t="shared" si="137"/>
        <v>Medium</v>
      </c>
      <c r="AN690" t="str">
        <f t="shared" si="138"/>
        <v>No Options</v>
      </c>
      <c r="AO690" t="str">
        <f t="shared" si="139"/>
        <v>Best</v>
      </c>
      <c r="AP690" t="str">
        <f t="shared" si="140"/>
        <v>Under 25</v>
      </c>
      <c r="AQ690" t="str">
        <f t="shared" si="141"/>
        <v>Low</v>
      </c>
      <c r="AR690" t="str">
        <f t="shared" si="142"/>
        <v>0-2 Years</v>
      </c>
    </row>
    <row r="691" spans="1:44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t="s">
        <v>46</v>
      </c>
      <c r="L691">
        <v>84</v>
      </c>
      <c r="M691">
        <v>3</v>
      </c>
      <c r="N691">
        <v>1</v>
      </c>
      <c r="O691" t="s">
        <v>50</v>
      </c>
      <c r="P691">
        <v>1</v>
      </c>
      <c r="Q691" t="s">
        <v>41</v>
      </c>
      <c r="R691">
        <v>2973</v>
      </c>
      <c r="S691">
        <v>1</v>
      </c>
      <c r="T691" t="s">
        <v>43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  <c r="AF691">
        <f t="shared" si="130"/>
        <v>1</v>
      </c>
      <c r="AG691">
        <f t="shared" si="131"/>
        <v>0</v>
      </c>
      <c r="AH691" t="str">
        <f t="shared" si="132"/>
        <v>Bachelor</v>
      </c>
      <c r="AI691" t="str">
        <f t="shared" si="133"/>
        <v>Low</v>
      </c>
      <c r="AJ691" t="str">
        <f t="shared" si="134"/>
        <v>High</v>
      </c>
      <c r="AK691" t="str">
        <f t="shared" si="135"/>
        <v>Entry</v>
      </c>
      <c r="AL691" t="str">
        <f t="shared" si="136"/>
        <v>Low</v>
      </c>
      <c r="AM691" t="str">
        <f t="shared" si="137"/>
        <v>Medium</v>
      </c>
      <c r="AN691" t="str">
        <f t="shared" si="138"/>
        <v>No Options</v>
      </c>
      <c r="AO691" t="str">
        <f t="shared" si="139"/>
        <v>Better</v>
      </c>
      <c r="AP691" t="str">
        <f t="shared" si="140"/>
        <v>Under 25</v>
      </c>
      <c r="AQ691" t="str">
        <f t="shared" si="141"/>
        <v>Low</v>
      </c>
      <c r="AR691" t="str">
        <f t="shared" si="142"/>
        <v>0-2 Years</v>
      </c>
    </row>
    <row r="692" spans="1:44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39</v>
      </c>
      <c r="L692">
        <v>41</v>
      </c>
      <c r="M692">
        <v>3</v>
      </c>
      <c r="N692">
        <v>2</v>
      </c>
      <c r="O692" t="s">
        <v>54</v>
      </c>
      <c r="P692">
        <v>4</v>
      </c>
      <c r="Q692" t="s">
        <v>48</v>
      </c>
      <c r="R692">
        <v>5855</v>
      </c>
      <c r="S692">
        <v>0</v>
      </c>
      <c r="T692" t="s">
        <v>35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  <c r="AF692">
        <f t="shared" si="130"/>
        <v>0</v>
      </c>
      <c r="AG692">
        <f t="shared" si="131"/>
        <v>1</v>
      </c>
      <c r="AH692" t="str">
        <f t="shared" si="132"/>
        <v>Bachelor</v>
      </c>
      <c r="AI692" t="str">
        <f t="shared" si="133"/>
        <v>Very High</v>
      </c>
      <c r="AJ692" t="str">
        <f t="shared" si="134"/>
        <v>High</v>
      </c>
      <c r="AK692" t="str">
        <f t="shared" si="135"/>
        <v>Junior</v>
      </c>
      <c r="AL692" t="str">
        <f t="shared" si="136"/>
        <v>Very High</v>
      </c>
      <c r="AM692" t="str">
        <f t="shared" si="137"/>
        <v>High</v>
      </c>
      <c r="AN692" t="str">
        <f t="shared" si="138"/>
        <v>Medium</v>
      </c>
      <c r="AO692" t="str">
        <f t="shared" si="139"/>
        <v>Bad</v>
      </c>
      <c r="AP692" t="str">
        <f t="shared" si="140"/>
        <v>25-34</v>
      </c>
      <c r="AQ692" t="str">
        <f t="shared" si="141"/>
        <v>Lower-Mid</v>
      </c>
      <c r="AR692" t="str">
        <f t="shared" si="142"/>
        <v>6-10 Years</v>
      </c>
    </row>
    <row r="693" spans="1:44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46</v>
      </c>
      <c r="L693">
        <v>35</v>
      </c>
      <c r="M693">
        <v>3</v>
      </c>
      <c r="N693">
        <v>1</v>
      </c>
      <c r="O693" t="s">
        <v>47</v>
      </c>
      <c r="P693">
        <v>2</v>
      </c>
      <c r="Q693" t="s">
        <v>52</v>
      </c>
      <c r="R693">
        <v>3617</v>
      </c>
      <c r="S693">
        <v>8</v>
      </c>
      <c r="T693" t="s">
        <v>35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  <c r="AF693">
        <f t="shared" si="130"/>
        <v>0</v>
      </c>
      <c r="AG693">
        <f t="shared" si="131"/>
        <v>1</v>
      </c>
      <c r="AH693" t="str">
        <f t="shared" si="132"/>
        <v>Master</v>
      </c>
      <c r="AI693" t="str">
        <f t="shared" si="133"/>
        <v>Very High</v>
      </c>
      <c r="AJ693" t="str">
        <f t="shared" si="134"/>
        <v>High</v>
      </c>
      <c r="AK693" t="str">
        <f t="shared" si="135"/>
        <v>Entry</v>
      </c>
      <c r="AL693" t="str">
        <f t="shared" si="136"/>
        <v>Medium</v>
      </c>
      <c r="AM693" t="str">
        <f t="shared" si="137"/>
        <v>Very High</v>
      </c>
      <c r="AN693" t="str">
        <f t="shared" si="138"/>
        <v>Low</v>
      </c>
      <c r="AO693" t="str">
        <f t="shared" si="139"/>
        <v>Better</v>
      </c>
      <c r="AP693" t="str">
        <f t="shared" si="140"/>
        <v>35-44</v>
      </c>
      <c r="AQ693" t="str">
        <f t="shared" si="141"/>
        <v>Lower-Mid</v>
      </c>
      <c r="AR693" t="str">
        <f t="shared" si="142"/>
        <v>0-2 Years</v>
      </c>
    </row>
    <row r="694" spans="1:44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39</v>
      </c>
      <c r="L694">
        <v>93</v>
      </c>
      <c r="M694">
        <v>3</v>
      </c>
      <c r="N694">
        <v>2</v>
      </c>
      <c r="O694" t="s">
        <v>53</v>
      </c>
      <c r="P694">
        <v>1</v>
      </c>
      <c r="Q694" t="s">
        <v>48</v>
      </c>
      <c r="R694">
        <v>6725</v>
      </c>
      <c r="S694">
        <v>1</v>
      </c>
      <c r="T694" t="s">
        <v>43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  <c r="AF694">
        <f t="shared" si="130"/>
        <v>0</v>
      </c>
      <c r="AG694">
        <f t="shared" si="131"/>
        <v>0</v>
      </c>
      <c r="AH694" t="str">
        <f t="shared" si="132"/>
        <v>Master</v>
      </c>
      <c r="AI694" t="str">
        <f t="shared" si="133"/>
        <v>High</v>
      </c>
      <c r="AJ694" t="str">
        <f t="shared" si="134"/>
        <v>High</v>
      </c>
      <c r="AK694" t="str">
        <f t="shared" si="135"/>
        <v>Junior</v>
      </c>
      <c r="AL694" t="str">
        <f t="shared" si="136"/>
        <v>Low</v>
      </c>
      <c r="AM694" t="str">
        <f t="shared" si="137"/>
        <v>High</v>
      </c>
      <c r="AN694" t="str">
        <f t="shared" si="138"/>
        <v>Low</v>
      </c>
      <c r="AO694" t="str">
        <f t="shared" si="139"/>
        <v>Best</v>
      </c>
      <c r="AP694" t="str">
        <f t="shared" si="140"/>
        <v>25-34</v>
      </c>
      <c r="AQ694" t="str">
        <f t="shared" si="141"/>
        <v>Lower-Mid</v>
      </c>
      <c r="AR694" t="str">
        <f t="shared" si="142"/>
        <v>6-10 Years</v>
      </c>
    </row>
    <row r="695" spans="1:44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46</v>
      </c>
      <c r="L695">
        <v>51</v>
      </c>
      <c r="M695">
        <v>2</v>
      </c>
      <c r="N695">
        <v>3</v>
      </c>
      <c r="O695" t="s">
        <v>40</v>
      </c>
      <c r="P695">
        <v>4</v>
      </c>
      <c r="Q695" t="s">
        <v>48</v>
      </c>
      <c r="R695">
        <v>10325</v>
      </c>
      <c r="S695">
        <v>1</v>
      </c>
      <c r="T695" t="s">
        <v>35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  <c r="AF695">
        <f t="shared" si="130"/>
        <v>1</v>
      </c>
      <c r="AG695">
        <f t="shared" si="131"/>
        <v>1</v>
      </c>
      <c r="AH695" t="str">
        <f t="shared" si="132"/>
        <v>Below College</v>
      </c>
      <c r="AI695" t="str">
        <f t="shared" si="133"/>
        <v>High</v>
      </c>
      <c r="AJ695" t="str">
        <f t="shared" si="134"/>
        <v>Medium</v>
      </c>
      <c r="AK695" t="str">
        <f t="shared" si="135"/>
        <v>Mid-Level</v>
      </c>
      <c r="AL695" t="str">
        <f t="shared" si="136"/>
        <v>Very High</v>
      </c>
      <c r="AM695" t="str">
        <f t="shared" si="137"/>
        <v>Low</v>
      </c>
      <c r="AN695" t="str">
        <f t="shared" si="138"/>
        <v>Low</v>
      </c>
      <c r="AO695" t="str">
        <f t="shared" si="139"/>
        <v>Better</v>
      </c>
      <c r="AP695" t="str">
        <f t="shared" si="140"/>
        <v>35-44</v>
      </c>
      <c r="AQ695" t="str">
        <f t="shared" si="141"/>
        <v>Upper-Mid</v>
      </c>
      <c r="AR695" t="str">
        <f t="shared" si="142"/>
        <v>11-20 Years</v>
      </c>
    </row>
    <row r="696" spans="1:44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42</v>
      </c>
      <c r="M696">
        <v>2</v>
      </c>
      <c r="N696">
        <v>2</v>
      </c>
      <c r="O696" t="s">
        <v>54</v>
      </c>
      <c r="P696">
        <v>4</v>
      </c>
      <c r="Q696" t="s">
        <v>41</v>
      </c>
      <c r="R696">
        <v>6949</v>
      </c>
      <c r="S696">
        <v>0</v>
      </c>
      <c r="T696" t="s">
        <v>43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  <c r="AF696">
        <f t="shared" si="130"/>
        <v>0</v>
      </c>
      <c r="AG696">
        <f t="shared" si="131"/>
        <v>0</v>
      </c>
      <c r="AH696" t="str">
        <f t="shared" si="132"/>
        <v>Bachelor</v>
      </c>
      <c r="AI696" t="str">
        <f t="shared" si="133"/>
        <v>Medium</v>
      </c>
      <c r="AJ696" t="str">
        <f t="shared" si="134"/>
        <v>Medium</v>
      </c>
      <c r="AK696" t="str">
        <f t="shared" si="135"/>
        <v>Junior</v>
      </c>
      <c r="AL696" t="str">
        <f t="shared" si="136"/>
        <v>Very High</v>
      </c>
      <c r="AM696" t="str">
        <f t="shared" si="137"/>
        <v>Low</v>
      </c>
      <c r="AN696" t="str">
        <f t="shared" si="138"/>
        <v>No Options</v>
      </c>
      <c r="AO696" t="str">
        <f t="shared" si="139"/>
        <v>Better</v>
      </c>
      <c r="AP696" t="str">
        <f t="shared" si="140"/>
        <v>25-34</v>
      </c>
      <c r="AQ696" t="str">
        <f t="shared" si="141"/>
        <v>Lower-Mid</v>
      </c>
      <c r="AR696" t="str">
        <f t="shared" si="142"/>
        <v>3-5 Years</v>
      </c>
    </row>
    <row r="697" spans="1:44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46</v>
      </c>
      <c r="L697">
        <v>46</v>
      </c>
      <c r="M697">
        <v>2</v>
      </c>
      <c r="N697">
        <v>3</v>
      </c>
      <c r="O697" t="s">
        <v>40</v>
      </c>
      <c r="P697">
        <v>3</v>
      </c>
      <c r="Q697" t="s">
        <v>48</v>
      </c>
      <c r="R697">
        <v>10609</v>
      </c>
      <c r="S697">
        <v>5</v>
      </c>
      <c r="T697" t="s">
        <v>43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  <c r="AF697">
        <f t="shared" si="130"/>
        <v>1</v>
      </c>
      <c r="AG697">
        <f t="shared" si="131"/>
        <v>0</v>
      </c>
      <c r="AH697" t="str">
        <f t="shared" si="132"/>
        <v>Master</v>
      </c>
      <c r="AI697" t="str">
        <f t="shared" si="133"/>
        <v>Low</v>
      </c>
      <c r="AJ697" t="str">
        <f t="shared" si="134"/>
        <v>Medium</v>
      </c>
      <c r="AK697" t="str">
        <f t="shared" si="135"/>
        <v>Mid-Level</v>
      </c>
      <c r="AL697" t="str">
        <f t="shared" si="136"/>
        <v>High</v>
      </c>
      <c r="AM697" t="str">
        <f t="shared" si="137"/>
        <v>High</v>
      </c>
      <c r="AN697" t="str">
        <f t="shared" si="138"/>
        <v>No Options</v>
      </c>
      <c r="AO697" t="str">
        <f t="shared" si="139"/>
        <v>Bad</v>
      </c>
      <c r="AP697" t="str">
        <f t="shared" si="140"/>
        <v>35-44</v>
      </c>
      <c r="AQ697" t="str">
        <f t="shared" si="141"/>
        <v>Upper-Mid</v>
      </c>
      <c r="AR697" t="str">
        <f t="shared" si="142"/>
        <v>11-20 Years</v>
      </c>
    </row>
    <row r="698" spans="1:44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46</v>
      </c>
      <c r="L698">
        <v>57</v>
      </c>
      <c r="M698">
        <v>3</v>
      </c>
      <c r="N698">
        <v>2</v>
      </c>
      <c r="O698" t="s">
        <v>50</v>
      </c>
      <c r="P698">
        <v>2</v>
      </c>
      <c r="Q698" t="s">
        <v>48</v>
      </c>
      <c r="R698">
        <v>4447</v>
      </c>
      <c r="S698">
        <v>1</v>
      </c>
      <c r="T698" t="s">
        <v>43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  <c r="AF698">
        <f t="shared" si="130"/>
        <v>0</v>
      </c>
      <c r="AG698">
        <f t="shared" si="131"/>
        <v>0</v>
      </c>
      <c r="AH698" t="str">
        <f t="shared" si="132"/>
        <v>College</v>
      </c>
      <c r="AI698" t="str">
        <f t="shared" si="133"/>
        <v>High</v>
      </c>
      <c r="AJ698" t="str">
        <f t="shared" si="134"/>
        <v>High</v>
      </c>
      <c r="AK698" t="str">
        <f t="shared" si="135"/>
        <v>Junior</v>
      </c>
      <c r="AL698" t="str">
        <f t="shared" si="136"/>
        <v>Medium</v>
      </c>
      <c r="AM698" t="str">
        <f t="shared" si="137"/>
        <v>Medium</v>
      </c>
      <c r="AN698" t="str">
        <f t="shared" si="138"/>
        <v>No Options</v>
      </c>
      <c r="AO698" t="str">
        <f t="shared" si="139"/>
        <v>Good</v>
      </c>
      <c r="AP698" t="str">
        <f t="shared" si="140"/>
        <v>45-54</v>
      </c>
      <c r="AQ698" t="str">
        <f t="shared" si="141"/>
        <v>Lower-Mid</v>
      </c>
      <c r="AR698" t="str">
        <f t="shared" si="142"/>
        <v>6-10 Years</v>
      </c>
    </row>
    <row r="699" spans="1:44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t="s">
        <v>39</v>
      </c>
      <c r="L699">
        <v>84</v>
      </c>
      <c r="M699">
        <v>3</v>
      </c>
      <c r="N699">
        <v>1</v>
      </c>
      <c r="O699" t="s">
        <v>57</v>
      </c>
      <c r="P699">
        <v>4</v>
      </c>
      <c r="Q699" t="s">
        <v>48</v>
      </c>
      <c r="R699">
        <v>2157</v>
      </c>
      <c r="S699">
        <v>1</v>
      </c>
      <c r="T699" t="s">
        <v>43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  <c r="AF699">
        <f t="shared" si="130"/>
        <v>0</v>
      </c>
      <c r="AG699">
        <f t="shared" si="131"/>
        <v>0</v>
      </c>
      <c r="AH699" t="str">
        <f t="shared" si="132"/>
        <v>Bachelor</v>
      </c>
      <c r="AI699" t="str">
        <f t="shared" si="133"/>
        <v>High</v>
      </c>
      <c r="AJ699" t="str">
        <f t="shared" si="134"/>
        <v>High</v>
      </c>
      <c r="AK699" t="str">
        <f t="shared" si="135"/>
        <v>Entry</v>
      </c>
      <c r="AL699" t="str">
        <f t="shared" si="136"/>
        <v>Very High</v>
      </c>
      <c r="AM699" t="str">
        <f t="shared" si="137"/>
        <v>Medium</v>
      </c>
      <c r="AN699" t="str">
        <f t="shared" si="138"/>
        <v>Low</v>
      </c>
      <c r="AO699" t="str">
        <f t="shared" si="139"/>
        <v>Better</v>
      </c>
      <c r="AP699" t="str">
        <f t="shared" si="140"/>
        <v>25-34</v>
      </c>
      <c r="AQ699" t="str">
        <f t="shared" si="141"/>
        <v>Low</v>
      </c>
      <c r="AR699" t="str">
        <f t="shared" si="142"/>
        <v>3-5 Years</v>
      </c>
    </row>
    <row r="700" spans="1:44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39</v>
      </c>
      <c r="L700">
        <v>86</v>
      </c>
      <c r="M700">
        <v>3</v>
      </c>
      <c r="N700">
        <v>2</v>
      </c>
      <c r="O700" t="s">
        <v>40</v>
      </c>
      <c r="P700">
        <v>3</v>
      </c>
      <c r="Q700" t="s">
        <v>48</v>
      </c>
      <c r="R700">
        <v>4601</v>
      </c>
      <c r="S700">
        <v>1</v>
      </c>
      <c r="T700" t="s">
        <v>43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  <c r="AF700">
        <f t="shared" si="130"/>
        <v>0</v>
      </c>
      <c r="AG700">
        <f t="shared" si="131"/>
        <v>0</v>
      </c>
      <c r="AH700" t="str">
        <f t="shared" si="132"/>
        <v>Bachelor</v>
      </c>
      <c r="AI700" t="str">
        <f t="shared" si="133"/>
        <v>High</v>
      </c>
      <c r="AJ700" t="str">
        <f t="shared" si="134"/>
        <v>High</v>
      </c>
      <c r="AK700" t="str">
        <f t="shared" si="135"/>
        <v>Junior</v>
      </c>
      <c r="AL700" t="str">
        <f t="shared" si="136"/>
        <v>High</v>
      </c>
      <c r="AM700" t="str">
        <f t="shared" si="137"/>
        <v>Medium</v>
      </c>
      <c r="AN700" t="str">
        <f t="shared" si="138"/>
        <v>No Options</v>
      </c>
      <c r="AO700" t="str">
        <f t="shared" si="139"/>
        <v>Better</v>
      </c>
      <c r="AP700" t="str">
        <f t="shared" si="140"/>
        <v>35-44</v>
      </c>
      <c r="AQ700" t="str">
        <f t="shared" si="141"/>
        <v>Lower-Mid</v>
      </c>
      <c r="AR700" t="str">
        <f t="shared" si="142"/>
        <v>3-5 Years</v>
      </c>
    </row>
    <row r="701" spans="1:44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46</v>
      </c>
      <c r="L701">
        <v>70</v>
      </c>
      <c r="M701">
        <v>3</v>
      </c>
      <c r="N701">
        <v>4</v>
      </c>
      <c r="O701" t="s">
        <v>56</v>
      </c>
      <c r="P701">
        <v>4</v>
      </c>
      <c r="Q701" t="s">
        <v>48</v>
      </c>
      <c r="R701">
        <v>17099</v>
      </c>
      <c r="S701">
        <v>2</v>
      </c>
      <c r="T701" t="s">
        <v>43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  <c r="AF701">
        <f t="shared" si="130"/>
        <v>0</v>
      </c>
      <c r="AG701">
        <f t="shared" si="131"/>
        <v>0</v>
      </c>
      <c r="AH701" t="str">
        <f t="shared" si="132"/>
        <v>College</v>
      </c>
      <c r="AI701" t="str">
        <f t="shared" si="133"/>
        <v>Very High</v>
      </c>
      <c r="AJ701" t="str">
        <f t="shared" si="134"/>
        <v>High</v>
      </c>
      <c r="AK701" t="str">
        <f t="shared" si="135"/>
        <v>Senior</v>
      </c>
      <c r="AL701" t="str">
        <f t="shared" si="136"/>
        <v>Very High</v>
      </c>
      <c r="AM701" t="str">
        <f t="shared" si="137"/>
        <v>Medium</v>
      </c>
      <c r="AN701" t="str">
        <f t="shared" si="138"/>
        <v>Low</v>
      </c>
      <c r="AO701" t="str">
        <f t="shared" si="139"/>
        <v>Good</v>
      </c>
      <c r="AP701" t="str">
        <f t="shared" si="140"/>
        <v>45-54</v>
      </c>
      <c r="AQ701" t="str">
        <f t="shared" si="141"/>
        <v>High</v>
      </c>
      <c r="AR701" t="str">
        <f t="shared" si="142"/>
        <v>6-10 Years</v>
      </c>
    </row>
    <row r="702" spans="1:44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t="s">
        <v>46</v>
      </c>
      <c r="L702">
        <v>51</v>
      </c>
      <c r="M702">
        <v>3</v>
      </c>
      <c r="N702">
        <v>1</v>
      </c>
      <c r="O702" t="s">
        <v>47</v>
      </c>
      <c r="P702">
        <v>3</v>
      </c>
      <c r="Q702" t="s">
        <v>41</v>
      </c>
      <c r="R702">
        <v>2479</v>
      </c>
      <c r="S702">
        <v>4</v>
      </c>
      <c r="T702" t="s">
        <v>43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  <c r="AF702">
        <f t="shared" si="130"/>
        <v>1</v>
      </c>
      <c r="AG702">
        <f t="shared" si="131"/>
        <v>0</v>
      </c>
      <c r="AH702" t="str">
        <f t="shared" si="132"/>
        <v>Bachelor</v>
      </c>
      <c r="AI702" t="str">
        <f t="shared" si="133"/>
        <v>Very High</v>
      </c>
      <c r="AJ702" t="str">
        <f t="shared" si="134"/>
        <v>High</v>
      </c>
      <c r="AK702" t="str">
        <f t="shared" si="135"/>
        <v>Entry</v>
      </c>
      <c r="AL702" t="str">
        <f t="shared" si="136"/>
        <v>High</v>
      </c>
      <c r="AM702" t="str">
        <f t="shared" si="137"/>
        <v>Low</v>
      </c>
      <c r="AN702" t="str">
        <f t="shared" si="138"/>
        <v>No Options</v>
      </c>
      <c r="AO702" t="str">
        <f t="shared" si="139"/>
        <v>Better</v>
      </c>
      <c r="AP702" t="str">
        <f t="shared" si="140"/>
        <v>55+</v>
      </c>
      <c r="AQ702" t="str">
        <f t="shared" si="141"/>
        <v>Low</v>
      </c>
      <c r="AR702" t="str">
        <f t="shared" si="142"/>
        <v>0-2 Years</v>
      </c>
    </row>
    <row r="703" spans="1:44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46</v>
      </c>
      <c r="L703">
        <v>45</v>
      </c>
      <c r="M703">
        <v>3</v>
      </c>
      <c r="N703">
        <v>4</v>
      </c>
      <c r="O703" t="s">
        <v>56</v>
      </c>
      <c r="P703">
        <v>3</v>
      </c>
      <c r="Q703" t="s">
        <v>52</v>
      </c>
      <c r="R703">
        <v>14852</v>
      </c>
      <c r="S703">
        <v>6</v>
      </c>
      <c r="T703" t="s">
        <v>43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  <c r="AF703">
        <f t="shared" si="130"/>
        <v>0</v>
      </c>
      <c r="AG703">
        <f t="shared" si="131"/>
        <v>0</v>
      </c>
      <c r="AH703" t="str">
        <f t="shared" si="132"/>
        <v>College</v>
      </c>
      <c r="AI703" t="str">
        <f t="shared" si="133"/>
        <v>High</v>
      </c>
      <c r="AJ703" t="str">
        <f t="shared" si="134"/>
        <v>High</v>
      </c>
      <c r="AK703" t="str">
        <f t="shared" si="135"/>
        <v>Senior</v>
      </c>
      <c r="AL703" t="str">
        <f t="shared" si="136"/>
        <v>High</v>
      </c>
      <c r="AM703" t="str">
        <f t="shared" si="137"/>
        <v>High</v>
      </c>
      <c r="AN703" t="str">
        <f t="shared" si="138"/>
        <v>Low</v>
      </c>
      <c r="AO703" t="str">
        <f t="shared" si="139"/>
        <v>Best</v>
      </c>
      <c r="AP703" t="str">
        <f t="shared" si="140"/>
        <v>45-54</v>
      </c>
      <c r="AQ703" t="str">
        <f t="shared" si="141"/>
        <v>High</v>
      </c>
      <c r="AR703" t="str">
        <f t="shared" si="142"/>
        <v>11-20 Years</v>
      </c>
    </row>
    <row r="704" spans="1:44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62</v>
      </c>
      <c r="M704">
        <v>3</v>
      </c>
      <c r="N704">
        <v>3</v>
      </c>
      <c r="O704" t="s">
        <v>40</v>
      </c>
      <c r="P704">
        <v>3</v>
      </c>
      <c r="Q704" t="s">
        <v>52</v>
      </c>
      <c r="R704">
        <v>7264</v>
      </c>
      <c r="S704">
        <v>5</v>
      </c>
      <c r="T704" t="s">
        <v>43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  <c r="AF704">
        <f t="shared" si="130"/>
        <v>0</v>
      </c>
      <c r="AG704">
        <f t="shared" si="131"/>
        <v>0</v>
      </c>
      <c r="AH704" t="str">
        <f t="shared" si="132"/>
        <v>College</v>
      </c>
      <c r="AI704" t="str">
        <f t="shared" si="133"/>
        <v>High</v>
      </c>
      <c r="AJ704" t="str">
        <f t="shared" si="134"/>
        <v>High</v>
      </c>
      <c r="AK704" t="str">
        <f t="shared" si="135"/>
        <v>Mid-Level</v>
      </c>
      <c r="AL704" t="str">
        <f t="shared" si="136"/>
        <v>High</v>
      </c>
      <c r="AM704" t="str">
        <f t="shared" si="137"/>
        <v>Low</v>
      </c>
      <c r="AN704" t="str">
        <f t="shared" si="138"/>
        <v>Low</v>
      </c>
      <c r="AO704" t="str">
        <f t="shared" si="139"/>
        <v>Best</v>
      </c>
      <c r="AP704" t="str">
        <f t="shared" si="140"/>
        <v>25-34</v>
      </c>
      <c r="AQ704" t="str">
        <f t="shared" si="141"/>
        <v>Upper-Mid</v>
      </c>
      <c r="AR704" t="str">
        <f t="shared" si="142"/>
        <v>6-10 Years</v>
      </c>
    </row>
    <row r="705" spans="1:44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t="s">
        <v>39</v>
      </c>
      <c r="L705">
        <v>85</v>
      </c>
      <c r="M705">
        <v>3</v>
      </c>
      <c r="N705">
        <v>2</v>
      </c>
      <c r="O705" t="s">
        <v>40</v>
      </c>
      <c r="P705">
        <v>4</v>
      </c>
      <c r="Q705" t="s">
        <v>41</v>
      </c>
      <c r="R705">
        <v>5666</v>
      </c>
      <c r="S705">
        <v>1</v>
      </c>
      <c r="T705" t="s">
        <v>35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  <c r="AF705">
        <f t="shared" si="130"/>
        <v>0</v>
      </c>
      <c r="AG705">
        <f t="shared" si="131"/>
        <v>1</v>
      </c>
      <c r="AH705" t="str">
        <f t="shared" si="132"/>
        <v>Bachelor</v>
      </c>
      <c r="AI705" t="str">
        <f t="shared" si="133"/>
        <v>High</v>
      </c>
      <c r="AJ705" t="str">
        <f t="shared" si="134"/>
        <v>High</v>
      </c>
      <c r="AK705" t="str">
        <f t="shared" si="135"/>
        <v>Junior</v>
      </c>
      <c r="AL705" t="str">
        <f t="shared" si="136"/>
        <v>Very High</v>
      </c>
      <c r="AM705" t="str">
        <f t="shared" si="137"/>
        <v>Medium</v>
      </c>
      <c r="AN705" t="str">
        <f t="shared" si="138"/>
        <v>No Options</v>
      </c>
      <c r="AO705" t="str">
        <f t="shared" si="139"/>
        <v>Better</v>
      </c>
      <c r="AP705" t="str">
        <f t="shared" si="140"/>
        <v>35-44</v>
      </c>
      <c r="AQ705" t="str">
        <f t="shared" si="141"/>
        <v>Lower-Mid</v>
      </c>
      <c r="AR705" t="str">
        <f t="shared" si="142"/>
        <v>3-5 Years</v>
      </c>
    </row>
    <row r="706" spans="1:44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46</v>
      </c>
      <c r="L706">
        <v>92</v>
      </c>
      <c r="M706">
        <v>3</v>
      </c>
      <c r="N706">
        <v>3</v>
      </c>
      <c r="O706" t="s">
        <v>40</v>
      </c>
      <c r="P706">
        <v>4</v>
      </c>
      <c r="Q706" t="s">
        <v>52</v>
      </c>
      <c r="R706">
        <v>7823</v>
      </c>
      <c r="S706">
        <v>6</v>
      </c>
      <c r="T706" t="s">
        <v>43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  <c r="AF706">
        <f t="shared" si="130"/>
        <v>0</v>
      </c>
      <c r="AG706">
        <f t="shared" si="131"/>
        <v>0</v>
      </c>
      <c r="AH706" t="str">
        <f t="shared" si="132"/>
        <v>Master</v>
      </c>
      <c r="AI706" t="str">
        <f t="shared" si="133"/>
        <v>Very High</v>
      </c>
      <c r="AJ706" t="str">
        <f t="shared" si="134"/>
        <v>High</v>
      </c>
      <c r="AK706" t="str">
        <f t="shared" si="135"/>
        <v>Mid-Level</v>
      </c>
      <c r="AL706" t="str">
        <f t="shared" si="136"/>
        <v>Very High</v>
      </c>
      <c r="AM706" t="str">
        <f t="shared" si="137"/>
        <v>Medium</v>
      </c>
      <c r="AN706" t="str">
        <f t="shared" si="138"/>
        <v>Low</v>
      </c>
      <c r="AO706" t="str">
        <f t="shared" si="139"/>
        <v>Better</v>
      </c>
      <c r="AP706" t="str">
        <f t="shared" si="140"/>
        <v>35-44</v>
      </c>
      <c r="AQ706" t="str">
        <f t="shared" si="141"/>
        <v>Upper-Mid</v>
      </c>
      <c r="AR706" t="str">
        <f t="shared" si="142"/>
        <v>6-10 Years</v>
      </c>
    </row>
    <row r="707" spans="1:44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46</v>
      </c>
      <c r="L707">
        <v>41</v>
      </c>
      <c r="M707">
        <v>4</v>
      </c>
      <c r="N707">
        <v>3</v>
      </c>
      <c r="O707" t="s">
        <v>40</v>
      </c>
      <c r="P707">
        <v>3</v>
      </c>
      <c r="Q707" t="s">
        <v>41</v>
      </c>
      <c r="R707">
        <v>7880</v>
      </c>
      <c r="S707">
        <v>0</v>
      </c>
      <c r="T707" t="s">
        <v>43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  <c r="AF707">
        <f t="shared" ref="AF707:AF770" si="143">IF(B707="Yes",1,0)</f>
        <v>0</v>
      </c>
      <c r="AG707">
        <f t="shared" ref="AG707:AG770" si="144">IF(T707="Yes",1,0)</f>
        <v>0</v>
      </c>
      <c r="AH707" t="str">
        <f t="shared" ref="AH707:AH770" si="145">CHOOSE(G707,"Below College","College","Bachelor","Master","Doctor")</f>
        <v>Doctor</v>
      </c>
      <c r="AI707" t="str">
        <f t="shared" ref="AI707:AI770" si="146">CHOOSE(J707,"Low","Medium","High","Very High")</f>
        <v>Low</v>
      </c>
      <c r="AJ707" t="str">
        <f t="shared" ref="AJ707:AJ770" si="147">CHOOSE(M707,"Low","Medium","High","Very High")</f>
        <v>Very High</v>
      </c>
      <c r="AK707" t="str">
        <f t="shared" ref="AK707:AK770" si="148">CHOOSE(N707,"Entry","Junior","Mid-Level","Senior","Executive")</f>
        <v>Mid-Level</v>
      </c>
      <c r="AL707" t="str">
        <f t="shared" ref="AL707:AL770" si="149">CHOOSE(P707,"Low","Medium","High","Very High")</f>
        <v>High</v>
      </c>
      <c r="AM707" t="str">
        <f t="shared" ref="AM707:AM770" si="150">CHOOSE(W707,"Low","Medium","High","Very High")</f>
        <v>Very High</v>
      </c>
      <c r="AN707" t="str">
        <f t="shared" ref="AN707:AN770" si="151">CHOOSE(X707+1,"No Options","Low","Medium","High")</f>
        <v>No Options</v>
      </c>
      <c r="AO707" t="str">
        <f t="shared" ref="AO707:AO770" si="152">CHOOSE(AA707,"Bad","Good","Better","Best")</f>
        <v>Better</v>
      </c>
      <c r="AP707" t="str">
        <f t="shared" ref="AP707:AP770" si="153">IF(A707&lt;=24,"Under 25",IF(A707&lt;=34,"25-34",IF(A707&lt;=44,"35-44",IF(A707&lt;=54,"45-54","55+"))))</f>
        <v>35-44</v>
      </c>
      <c r="AQ707" t="str">
        <f t="shared" ref="AQ707:AQ770" si="154">IF(R707&lt;3000,"Low",IF(R707&lt;7000,"Lower-Mid",IF(R707&lt;13000,"Upper-Mid","High")))</f>
        <v>Upper-Mid</v>
      </c>
      <c r="AR707" t="str">
        <f t="shared" ref="AR707:AR770" si="155">IF(AB707&lt;=2,"0-2 Years",IF(AB707&lt;=5,"3-5 Years",IF(AB707&lt;=10,"6-10 Years",IF(AB707&lt;=20,"11-20 Years","20+ Years"))))</f>
        <v>6-10 Years</v>
      </c>
    </row>
    <row r="708" spans="1:44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100</v>
      </c>
      <c r="M708">
        <v>4</v>
      </c>
      <c r="N708">
        <v>4</v>
      </c>
      <c r="O708" t="s">
        <v>40</v>
      </c>
      <c r="P708">
        <v>2</v>
      </c>
      <c r="Q708" t="s">
        <v>41</v>
      </c>
      <c r="R708">
        <v>13194</v>
      </c>
      <c r="S708">
        <v>4</v>
      </c>
      <c r="T708" t="s">
        <v>35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  <c r="AF708">
        <f t="shared" si="143"/>
        <v>1</v>
      </c>
      <c r="AG708">
        <f t="shared" si="144"/>
        <v>1</v>
      </c>
      <c r="AH708" t="str">
        <f t="shared" si="145"/>
        <v>Bachelor</v>
      </c>
      <c r="AI708" t="str">
        <f t="shared" si="146"/>
        <v>Medium</v>
      </c>
      <c r="AJ708" t="str">
        <f t="shared" si="147"/>
        <v>Very High</v>
      </c>
      <c r="AK708" t="str">
        <f t="shared" si="148"/>
        <v>Senior</v>
      </c>
      <c r="AL708" t="str">
        <f t="shared" si="149"/>
        <v>Medium</v>
      </c>
      <c r="AM708" t="str">
        <f t="shared" si="150"/>
        <v>Very High</v>
      </c>
      <c r="AN708" t="str">
        <f t="shared" si="151"/>
        <v>No Options</v>
      </c>
      <c r="AO708" t="str">
        <f t="shared" si="152"/>
        <v>Good</v>
      </c>
      <c r="AP708" t="str">
        <f t="shared" si="153"/>
        <v>35-44</v>
      </c>
      <c r="AQ708" t="str">
        <f t="shared" si="154"/>
        <v>High</v>
      </c>
      <c r="AR708" t="str">
        <f t="shared" si="155"/>
        <v>0-2 Years</v>
      </c>
    </row>
    <row r="709" spans="1:44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46</v>
      </c>
      <c r="L709">
        <v>64</v>
      </c>
      <c r="M709">
        <v>4</v>
      </c>
      <c r="N709">
        <v>2</v>
      </c>
      <c r="O709" t="s">
        <v>53</v>
      </c>
      <c r="P709">
        <v>3</v>
      </c>
      <c r="Q709" t="s">
        <v>52</v>
      </c>
      <c r="R709">
        <v>5067</v>
      </c>
      <c r="S709">
        <v>1</v>
      </c>
      <c r="T709" t="s">
        <v>35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  <c r="AF709">
        <f t="shared" si="143"/>
        <v>0</v>
      </c>
      <c r="AG709">
        <f t="shared" si="144"/>
        <v>1</v>
      </c>
      <c r="AH709" t="str">
        <f t="shared" si="145"/>
        <v>Master</v>
      </c>
      <c r="AI709" t="str">
        <f t="shared" si="146"/>
        <v>High</v>
      </c>
      <c r="AJ709" t="str">
        <f t="shared" si="147"/>
        <v>Very High</v>
      </c>
      <c r="AK709" t="str">
        <f t="shared" si="148"/>
        <v>Junior</v>
      </c>
      <c r="AL709" t="str">
        <f t="shared" si="149"/>
        <v>High</v>
      </c>
      <c r="AM709" t="str">
        <f t="shared" si="150"/>
        <v>High</v>
      </c>
      <c r="AN709" t="str">
        <f t="shared" si="151"/>
        <v>No Options</v>
      </c>
      <c r="AO709" t="str">
        <f t="shared" si="152"/>
        <v>Best</v>
      </c>
      <c r="AP709" t="str">
        <f t="shared" si="153"/>
        <v>45-54</v>
      </c>
      <c r="AQ709" t="str">
        <f t="shared" si="154"/>
        <v>Lower-Mid</v>
      </c>
      <c r="AR709" t="str">
        <f t="shared" si="155"/>
        <v>11-20 Years</v>
      </c>
    </row>
    <row r="710" spans="1:44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t="s">
        <v>46</v>
      </c>
      <c r="L710">
        <v>84</v>
      </c>
      <c r="M710">
        <v>3</v>
      </c>
      <c r="N710">
        <v>2</v>
      </c>
      <c r="O710" t="s">
        <v>40</v>
      </c>
      <c r="P710">
        <v>4</v>
      </c>
      <c r="Q710" t="s">
        <v>52</v>
      </c>
      <c r="R710">
        <v>5079</v>
      </c>
      <c r="S710">
        <v>4</v>
      </c>
      <c r="T710" t="s">
        <v>43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  <c r="AF710">
        <f t="shared" si="143"/>
        <v>0</v>
      </c>
      <c r="AG710">
        <f t="shared" si="144"/>
        <v>0</v>
      </c>
      <c r="AH710" t="str">
        <f t="shared" si="145"/>
        <v>Master</v>
      </c>
      <c r="AI710" t="str">
        <f t="shared" si="146"/>
        <v>Low</v>
      </c>
      <c r="AJ710" t="str">
        <f t="shared" si="147"/>
        <v>High</v>
      </c>
      <c r="AK710" t="str">
        <f t="shared" si="148"/>
        <v>Junior</v>
      </c>
      <c r="AL710" t="str">
        <f t="shared" si="149"/>
        <v>Very High</v>
      </c>
      <c r="AM710" t="str">
        <f t="shared" si="150"/>
        <v>Very High</v>
      </c>
      <c r="AN710" t="str">
        <f t="shared" si="151"/>
        <v>Medium</v>
      </c>
      <c r="AO710" t="str">
        <f t="shared" si="152"/>
        <v>Better</v>
      </c>
      <c r="AP710" t="str">
        <f t="shared" si="153"/>
        <v>35-44</v>
      </c>
      <c r="AQ710" t="str">
        <f t="shared" si="154"/>
        <v>Lower-Mid</v>
      </c>
      <c r="AR710" t="str">
        <f t="shared" si="155"/>
        <v>6-10 Years</v>
      </c>
    </row>
    <row r="711" spans="1:44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46</v>
      </c>
      <c r="L711">
        <v>46</v>
      </c>
      <c r="M711">
        <v>2</v>
      </c>
      <c r="N711">
        <v>1</v>
      </c>
      <c r="O711" t="s">
        <v>47</v>
      </c>
      <c r="P711">
        <v>1</v>
      </c>
      <c r="Q711" t="s">
        <v>41</v>
      </c>
      <c r="R711">
        <v>2321</v>
      </c>
      <c r="S711">
        <v>0</v>
      </c>
      <c r="T711" t="s">
        <v>35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  <c r="AF711">
        <f t="shared" si="143"/>
        <v>1</v>
      </c>
      <c r="AG711">
        <f t="shared" si="144"/>
        <v>1</v>
      </c>
      <c r="AH711" t="str">
        <f t="shared" si="145"/>
        <v>College</v>
      </c>
      <c r="AI711" t="str">
        <f t="shared" si="146"/>
        <v>High</v>
      </c>
      <c r="AJ711" t="str">
        <f t="shared" si="147"/>
        <v>Medium</v>
      </c>
      <c r="AK711" t="str">
        <f t="shared" si="148"/>
        <v>Entry</v>
      </c>
      <c r="AL711" t="str">
        <f t="shared" si="149"/>
        <v>Low</v>
      </c>
      <c r="AM711" t="str">
        <f t="shared" si="150"/>
        <v>Low</v>
      </c>
      <c r="AN711" t="str">
        <f t="shared" si="151"/>
        <v>No Options</v>
      </c>
      <c r="AO711" t="str">
        <f t="shared" si="152"/>
        <v>Better</v>
      </c>
      <c r="AP711" t="str">
        <f t="shared" si="153"/>
        <v>25-34</v>
      </c>
      <c r="AQ711" t="str">
        <f t="shared" si="154"/>
        <v>Low</v>
      </c>
      <c r="AR711" t="str">
        <f t="shared" si="155"/>
        <v>3-5 Years</v>
      </c>
    </row>
    <row r="712" spans="1:44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46</v>
      </c>
      <c r="L712">
        <v>38</v>
      </c>
      <c r="M712">
        <v>3</v>
      </c>
      <c r="N712">
        <v>4</v>
      </c>
      <c r="O712" t="s">
        <v>56</v>
      </c>
      <c r="P712">
        <v>3</v>
      </c>
      <c r="Q712" t="s">
        <v>41</v>
      </c>
      <c r="R712">
        <v>17444</v>
      </c>
      <c r="S712">
        <v>1</v>
      </c>
      <c r="T712" t="s">
        <v>43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  <c r="AF712">
        <f t="shared" si="143"/>
        <v>0</v>
      </c>
      <c r="AG712">
        <f t="shared" si="144"/>
        <v>0</v>
      </c>
      <c r="AH712" t="str">
        <f t="shared" si="145"/>
        <v>Bachelor</v>
      </c>
      <c r="AI712" t="str">
        <f t="shared" si="146"/>
        <v>Very High</v>
      </c>
      <c r="AJ712" t="str">
        <f t="shared" si="147"/>
        <v>High</v>
      </c>
      <c r="AK712" t="str">
        <f t="shared" si="148"/>
        <v>Senior</v>
      </c>
      <c r="AL712" t="str">
        <f t="shared" si="149"/>
        <v>High</v>
      </c>
      <c r="AM712" t="str">
        <f t="shared" si="150"/>
        <v>Very High</v>
      </c>
      <c r="AN712" t="str">
        <f t="shared" si="151"/>
        <v>No Options</v>
      </c>
      <c r="AO712" t="str">
        <f t="shared" si="152"/>
        <v>Better</v>
      </c>
      <c r="AP712" t="str">
        <f t="shared" si="153"/>
        <v>25-34</v>
      </c>
      <c r="AQ712" t="str">
        <f t="shared" si="154"/>
        <v>High</v>
      </c>
      <c r="AR712" t="str">
        <f t="shared" si="155"/>
        <v>6-10 Years</v>
      </c>
    </row>
    <row r="713" spans="1:44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92</v>
      </c>
      <c r="M713">
        <v>2</v>
      </c>
      <c r="N713">
        <v>1</v>
      </c>
      <c r="O713" t="s">
        <v>47</v>
      </c>
      <c r="P713">
        <v>1</v>
      </c>
      <c r="Q713" t="s">
        <v>41</v>
      </c>
      <c r="R713">
        <v>2404</v>
      </c>
      <c r="S713">
        <v>6</v>
      </c>
      <c r="T713" t="s">
        <v>35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  <c r="AF713">
        <f t="shared" si="143"/>
        <v>1</v>
      </c>
      <c r="AG713">
        <f t="shared" si="144"/>
        <v>1</v>
      </c>
      <c r="AH713" t="str">
        <f t="shared" si="145"/>
        <v>Bachelor</v>
      </c>
      <c r="AI713" t="str">
        <f t="shared" si="146"/>
        <v>Very High</v>
      </c>
      <c r="AJ713" t="str">
        <f t="shared" si="147"/>
        <v>Medium</v>
      </c>
      <c r="AK713" t="str">
        <f t="shared" si="148"/>
        <v>Entry</v>
      </c>
      <c r="AL713" t="str">
        <f t="shared" si="149"/>
        <v>Low</v>
      </c>
      <c r="AM713" t="str">
        <f t="shared" si="150"/>
        <v>High</v>
      </c>
      <c r="AN713" t="str">
        <f t="shared" si="151"/>
        <v>No Options</v>
      </c>
      <c r="AO713" t="str">
        <f t="shared" si="152"/>
        <v>Better</v>
      </c>
      <c r="AP713" t="str">
        <f t="shared" si="153"/>
        <v>25-34</v>
      </c>
      <c r="AQ713" t="str">
        <f t="shared" si="154"/>
        <v>Low</v>
      </c>
      <c r="AR713" t="str">
        <f t="shared" si="155"/>
        <v>0-2 Years</v>
      </c>
    </row>
    <row r="714" spans="1:44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53</v>
      </c>
      <c r="M714">
        <v>3</v>
      </c>
      <c r="N714">
        <v>1</v>
      </c>
      <c r="O714" t="s">
        <v>47</v>
      </c>
      <c r="P714">
        <v>4</v>
      </c>
      <c r="Q714" t="s">
        <v>41</v>
      </c>
      <c r="R714">
        <v>3452</v>
      </c>
      <c r="S714">
        <v>3</v>
      </c>
      <c r="T714" t="s">
        <v>43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  <c r="AF714">
        <f t="shared" si="143"/>
        <v>0</v>
      </c>
      <c r="AG714">
        <f t="shared" si="144"/>
        <v>0</v>
      </c>
      <c r="AH714" t="str">
        <f t="shared" si="145"/>
        <v>Below College</v>
      </c>
      <c r="AI714" t="str">
        <f t="shared" si="146"/>
        <v>Medium</v>
      </c>
      <c r="AJ714" t="str">
        <f t="shared" si="147"/>
        <v>High</v>
      </c>
      <c r="AK714" t="str">
        <f t="shared" si="148"/>
        <v>Entry</v>
      </c>
      <c r="AL714" t="str">
        <f t="shared" si="149"/>
        <v>Very High</v>
      </c>
      <c r="AM714" t="str">
        <f t="shared" si="150"/>
        <v>Low</v>
      </c>
      <c r="AN714" t="str">
        <f t="shared" si="151"/>
        <v>No Options</v>
      </c>
      <c r="AO714" t="str">
        <f t="shared" si="152"/>
        <v>Better</v>
      </c>
      <c r="AP714" t="str">
        <f t="shared" si="153"/>
        <v>25-34</v>
      </c>
      <c r="AQ714" t="str">
        <f t="shared" si="154"/>
        <v>Lower-Mid</v>
      </c>
      <c r="AR714" t="str">
        <f t="shared" si="155"/>
        <v>3-5 Years</v>
      </c>
    </row>
    <row r="715" spans="1:44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39</v>
      </c>
      <c r="L715">
        <v>91</v>
      </c>
      <c r="M715">
        <v>3</v>
      </c>
      <c r="N715">
        <v>1</v>
      </c>
      <c r="O715" t="s">
        <v>50</v>
      </c>
      <c r="P715">
        <v>4</v>
      </c>
      <c r="Q715" t="s">
        <v>52</v>
      </c>
      <c r="R715">
        <v>2270</v>
      </c>
      <c r="S715">
        <v>3</v>
      </c>
      <c r="T715" t="s">
        <v>43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  <c r="AF715">
        <f t="shared" si="143"/>
        <v>0</v>
      </c>
      <c r="AG715">
        <f t="shared" si="144"/>
        <v>0</v>
      </c>
      <c r="AH715" t="str">
        <f t="shared" si="145"/>
        <v>Master</v>
      </c>
      <c r="AI715" t="str">
        <f t="shared" si="146"/>
        <v>Very High</v>
      </c>
      <c r="AJ715" t="str">
        <f t="shared" si="147"/>
        <v>High</v>
      </c>
      <c r="AK715" t="str">
        <f t="shared" si="148"/>
        <v>Entry</v>
      </c>
      <c r="AL715" t="str">
        <f t="shared" si="149"/>
        <v>Very High</v>
      </c>
      <c r="AM715" t="str">
        <f t="shared" si="150"/>
        <v>Very High</v>
      </c>
      <c r="AN715" t="str">
        <f t="shared" si="151"/>
        <v>Medium</v>
      </c>
      <c r="AO715" t="str">
        <f t="shared" si="152"/>
        <v>Better</v>
      </c>
      <c r="AP715" t="str">
        <f t="shared" si="153"/>
        <v>45-54</v>
      </c>
      <c r="AQ715" t="str">
        <f t="shared" si="154"/>
        <v>Low</v>
      </c>
      <c r="AR715" t="str">
        <f t="shared" si="155"/>
        <v>3-5 Years</v>
      </c>
    </row>
    <row r="716" spans="1:44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46</v>
      </c>
      <c r="L716">
        <v>66</v>
      </c>
      <c r="M716">
        <v>3</v>
      </c>
      <c r="N716">
        <v>4</v>
      </c>
      <c r="O716" t="s">
        <v>58</v>
      </c>
      <c r="P716">
        <v>4</v>
      </c>
      <c r="Q716" t="s">
        <v>52</v>
      </c>
      <c r="R716">
        <v>17399</v>
      </c>
      <c r="S716">
        <v>9</v>
      </c>
      <c r="T716" t="s">
        <v>43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  <c r="AF716">
        <f t="shared" si="143"/>
        <v>0</v>
      </c>
      <c r="AG716">
        <f t="shared" si="144"/>
        <v>0</v>
      </c>
      <c r="AH716" t="str">
        <f t="shared" si="145"/>
        <v>College</v>
      </c>
      <c r="AI716" t="str">
        <f t="shared" si="146"/>
        <v>Very High</v>
      </c>
      <c r="AJ716" t="str">
        <f t="shared" si="147"/>
        <v>High</v>
      </c>
      <c r="AK716" t="str">
        <f t="shared" si="148"/>
        <v>Senior</v>
      </c>
      <c r="AL716" t="str">
        <f t="shared" si="149"/>
        <v>Very High</v>
      </c>
      <c r="AM716" t="str">
        <f t="shared" si="150"/>
        <v>High</v>
      </c>
      <c r="AN716" t="str">
        <f t="shared" si="151"/>
        <v>Low</v>
      </c>
      <c r="AO716" t="str">
        <f t="shared" si="152"/>
        <v>Good</v>
      </c>
      <c r="AP716" t="str">
        <f t="shared" si="153"/>
        <v>45-54</v>
      </c>
      <c r="AQ716" t="str">
        <f t="shared" si="154"/>
        <v>High</v>
      </c>
      <c r="AR716" t="str">
        <f t="shared" si="155"/>
        <v>3-5 Years</v>
      </c>
    </row>
    <row r="717" spans="1:44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39</v>
      </c>
      <c r="L717">
        <v>84</v>
      </c>
      <c r="M717">
        <v>4</v>
      </c>
      <c r="N717">
        <v>2</v>
      </c>
      <c r="O717" t="s">
        <v>54</v>
      </c>
      <c r="P717">
        <v>2</v>
      </c>
      <c r="Q717" t="s">
        <v>48</v>
      </c>
      <c r="R717">
        <v>5488</v>
      </c>
      <c r="S717">
        <v>1</v>
      </c>
      <c r="T717" t="s">
        <v>35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  <c r="AF717">
        <f t="shared" si="143"/>
        <v>0</v>
      </c>
      <c r="AG717">
        <f t="shared" si="144"/>
        <v>1</v>
      </c>
      <c r="AH717" t="str">
        <f t="shared" si="145"/>
        <v>Master</v>
      </c>
      <c r="AI717" t="str">
        <f t="shared" si="146"/>
        <v>High</v>
      </c>
      <c r="AJ717" t="str">
        <f t="shared" si="147"/>
        <v>Very High</v>
      </c>
      <c r="AK717" t="str">
        <f t="shared" si="148"/>
        <v>Junior</v>
      </c>
      <c r="AL717" t="str">
        <f t="shared" si="149"/>
        <v>Medium</v>
      </c>
      <c r="AM717" t="str">
        <f t="shared" si="150"/>
        <v>Low</v>
      </c>
      <c r="AN717" t="str">
        <f t="shared" si="151"/>
        <v>Low</v>
      </c>
      <c r="AO717" t="str">
        <f t="shared" si="152"/>
        <v>Better</v>
      </c>
      <c r="AP717" t="str">
        <f t="shared" si="153"/>
        <v>25-34</v>
      </c>
      <c r="AQ717" t="str">
        <f t="shared" si="154"/>
        <v>Lower-Mid</v>
      </c>
      <c r="AR717" t="str">
        <f t="shared" si="155"/>
        <v>6-10 Years</v>
      </c>
    </row>
    <row r="718" spans="1:44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46</v>
      </c>
      <c r="L718">
        <v>64</v>
      </c>
      <c r="M718">
        <v>3</v>
      </c>
      <c r="N718">
        <v>5</v>
      </c>
      <c r="O718" t="s">
        <v>58</v>
      </c>
      <c r="P718">
        <v>3</v>
      </c>
      <c r="Q718" t="s">
        <v>52</v>
      </c>
      <c r="R718">
        <v>19419</v>
      </c>
      <c r="S718">
        <v>2</v>
      </c>
      <c r="T718" t="s">
        <v>43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  <c r="AF718">
        <f t="shared" si="143"/>
        <v>0</v>
      </c>
      <c r="AG718">
        <f t="shared" si="144"/>
        <v>0</v>
      </c>
      <c r="AH718" t="str">
        <f t="shared" si="145"/>
        <v>Bachelor</v>
      </c>
      <c r="AI718" t="str">
        <f t="shared" si="146"/>
        <v>Low</v>
      </c>
      <c r="AJ718" t="str">
        <f t="shared" si="147"/>
        <v>High</v>
      </c>
      <c r="AK718" t="str">
        <f t="shared" si="148"/>
        <v>Executive</v>
      </c>
      <c r="AL718" t="str">
        <f t="shared" si="149"/>
        <v>High</v>
      </c>
      <c r="AM718" t="str">
        <f t="shared" si="150"/>
        <v>Medium</v>
      </c>
      <c r="AN718" t="str">
        <f t="shared" si="151"/>
        <v>Low</v>
      </c>
      <c r="AO718" t="str">
        <f t="shared" si="152"/>
        <v>Best</v>
      </c>
      <c r="AP718" t="str">
        <f t="shared" si="153"/>
        <v>35-44</v>
      </c>
      <c r="AQ718" t="str">
        <f t="shared" si="154"/>
        <v>High</v>
      </c>
      <c r="AR718" t="str">
        <f t="shared" si="155"/>
        <v>11-20 Years</v>
      </c>
    </row>
    <row r="719" spans="1:44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t="s">
        <v>39</v>
      </c>
      <c r="L719">
        <v>37</v>
      </c>
      <c r="M719">
        <v>3</v>
      </c>
      <c r="N719">
        <v>1</v>
      </c>
      <c r="O719" t="s">
        <v>50</v>
      </c>
      <c r="P719">
        <v>2</v>
      </c>
      <c r="Q719" t="s">
        <v>48</v>
      </c>
      <c r="R719">
        <v>2811</v>
      </c>
      <c r="S719">
        <v>9</v>
      </c>
      <c r="T719" t="s">
        <v>43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  <c r="AF719">
        <f t="shared" si="143"/>
        <v>0</v>
      </c>
      <c r="AG719">
        <f t="shared" si="144"/>
        <v>0</v>
      </c>
      <c r="AH719" t="str">
        <f t="shared" si="145"/>
        <v>Master</v>
      </c>
      <c r="AI719" t="str">
        <f t="shared" si="146"/>
        <v>High</v>
      </c>
      <c r="AJ719" t="str">
        <f t="shared" si="147"/>
        <v>High</v>
      </c>
      <c r="AK719" t="str">
        <f t="shared" si="148"/>
        <v>Entry</v>
      </c>
      <c r="AL719" t="str">
        <f t="shared" si="149"/>
        <v>Medium</v>
      </c>
      <c r="AM719" t="str">
        <f t="shared" si="150"/>
        <v>Medium</v>
      </c>
      <c r="AN719" t="str">
        <f t="shared" si="151"/>
        <v>Low</v>
      </c>
      <c r="AO719" t="str">
        <f t="shared" si="152"/>
        <v>Better</v>
      </c>
      <c r="AP719" t="str">
        <f t="shared" si="153"/>
        <v>25-34</v>
      </c>
      <c r="AQ719" t="str">
        <f t="shared" si="154"/>
        <v>Low</v>
      </c>
      <c r="AR719" t="str">
        <f t="shared" si="155"/>
        <v>0-2 Years</v>
      </c>
    </row>
    <row r="720" spans="1:44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46</v>
      </c>
      <c r="L720">
        <v>42</v>
      </c>
      <c r="M720">
        <v>3</v>
      </c>
      <c r="N720">
        <v>2</v>
      </c>
      <c r="O720" t="s">
        <v>50</v>
      </c>
      <c r="P720">
        <v>1</v>
      </c>
      <c r="Q720" t="s">
        <v>48</v>
      </c>
      <c r="R720">
        <v>3633</v>
      </c>
      <c r="S720">
        <v>1</v>
      </c>
      <c r="T720" t="s">
        <v>35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  <c r="AF720">
        <f t="shared" si="143"/>
        <v>0</v>
      </c>
      <c r="AG720">
        <f t="shared" si="144"/>
        <v>1</v>
      </c>
      <c r="AH720" t="str">
        <f t="shared" si="145"/>
        <v>College</v>
      </c>
      <c r="AI720" t="str">
        <f t="shared" si="146"/>
        <v>Very High</v>
      </c>
      <c r="AJ720" t="str">
        <f t="shared" si="147"/>
        <v>High</v>
      </c>
      <c r="AK720" t="str">
        <f t="shared" si="148"/>
        <v>Junior</v>
      </c>
      <c r="AL720" t="str">
        <f t="shared" si="149"/>
        <v>Low</v>
      </c>
      <c r="AM720" t="str">
        <f t="shared" si="150"/>
        <v>High</v>
      </c>
      <c r="AN720" t="str">
        <f t="shared" si="151"/>
        <v>Low</v>
      </c>
      <c r="AO720" t="str">
        <f t="shared" si="152"/>
        <v>Better</v>
      </c>
      <c r="AP720" t="str">
        <f t="shared" si="153"/>
        <v>45-54</v>
      </c>
      <c r="AQ720" t="str">
        <f t="shared" si="154"/>
        <v>Lower-Mid</v>
      </c>
      <c r="AR720" t="str">
        <f t="shared" si="155"/>
        <v>6-10 Years</v>
      </c>
    </row>
    <row r="721" spans="1:44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83</v>
      </c>
      <c r="M721">
        <v>3</v>
      </c>
      <c r="N721">
        <v>2</v>
      </c>
      <c r="O721" t="s">
        <v>40</v>
      </c>
      <c r="P721">
        <v>4</v>
      </c>
      <c r="Q721" t="s">
        <v>41</v>
      </c>
      <c r="R721">
        <v>4163</v>
      </c>
      <c r="S721">
        <v>1</v>
      </c>
      <c r="T721" t="s">
        <v>35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  <c r="AF721">
        <f t="shared" si="143"/>
        <v>0</v>
      </c>
      <c r="AG721">
        <f t="shared" si="144"/>
        <v>1</v>
      </c>
      <c r="AH721" t="str">
        <f t="shared" si="145"/>
        <v>College</v>
      </c>
      <c r="AI721" t="str">
        <f t="shared" si="146"/>
        <v>Very High</v>
      </c>
      <c r="AJ721" t="str">
        <f t="shared" si="147"/>
        <v>High</v>
      </c>
      <c r="AK721" t="str">
        <f t="shared" si="148"/>
        <v>Junior</v>
      </c>
      <c r="AL721" t="str">
        <f t="shared" si="149"/>
        <v>Very High</v>
      </c>
      <c r="AM721" t="str">
        <f t="shared" si="150"/>
        <v>High</v>
      </c>
      <c r="AN721" t="str">
        <f t="shared" si="151"/>
        <v>No Options</v>
      </c>
      <c r="AO721" t="str">
        <f t="shared" si="152"/>
        <v>Better</v>
      </c>
      <c r="AP721" t="str">
        <f t="shared" si="153"/>
        <v>45-54</v>
      </c>
      <c r="AQ721" t="str">
        <f t="shared" si="154"/>
        <v>Lower-Mid</v>
      </c>
      <c r="AR721" t="str">
        <f t="shared" si="155"/>
        <v>6-10 Years</v>
      </c>
    </row>
    <row r="722" spans="1:44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48</v>
      </c>
      <c r="M722">
        <v>3</v>
      </c>
      <c r="N722">
        <v>1</v>
      </c>
      <c r="O722" t="s">
        <v>47</v>
      </c>
      <c r="P722">
        <v>3</v>
      </c>
      <c r="Q722" t="s">
        <v>48</v>
      </c>
      <c r="R722">
        <v>2132</v>
      </c>
      <c r="S722">
        <v>4</v>
      </c>
      <c r="T722" t="s">
        <v>35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  <c r="AF722">
        <f t="shared" si="143"/>
        <v>1</v>
      </c>
      <c r="AG722">
        <f t="shared" si="144"/>
        <v>1</v>
      </c>
      <c r="AH722" t="str">
        <f t="shared" si="145"/>
        <v>Bachelor</v>
      </c>
      <c r="AI722" t="str">
        <f t="shared" si="146"/>
        <v>Low</v>
      </c>
      <c r="AJ722" t="str">
        <f t="shared" si="147"/>
        <v>High</v>
      </c>
      <c r="AK722" t="str">
        <f t="shared" si="148"/>
        <v>Entry</v>
      </c>
      <c r="AL722" t="str">
        <f t="shared" si="149"/>
        <v>High</v>
      </c>
      <c r="AM722" t="str">
        <f t="shared" si="150"/>
        <v>Medium</v>
      </c>
      <c r="AN722" t="str">
        <f t="shared" si="151"/>
        <v>No Options</v>
      </c>
      <c r="AO722" t="str">
        <f t="shared" si="152"/>
        <v>Better</v>
      </c>
      <c r="AP722" t="str">
        <f t="shared" si="153"/>
        <v>25-34</v>
      </c>
      <c r="AQ722" t="str">
        <f t="shared" si="154"/>
        <v>Low</v>
      </c>
      <c r="AR722" t="str">
        <f t="shared" si="155"/>
        <v>3-5 Years</v>
      </c>
    </row>
    <row r="723" spans="1:44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46</v>
      </c>
      <c r="L723">
        <v>95</v>
      </c>
      <c r="M723">
        <v>3</v>
      </c>
      <c r="N723">
        <v>4</v>
      </c>
      <c r="O723" t="s">
        <v>53</v>
      </c>
      <c r="P723">
        <v>3</v>
      </c>
      <c r="Q723" t="s">
        <v>48</v>
      </c>
      <c r="R723">
        <v>13973</v>
      </c>
      <c r="S723">
        <v>3</v>
      </c>
      <c r="T723" t="s">
        <v>35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  <c r="AF723">
        <f t="shared" si="143"/>
        <v>0</v>
      </c>
      <c r="AG723">
        <f t="shared" si="144"/>
        <v>1</v>
      </c>
      <c r="AH723" t="str">
        <f t="shared" si="145"/>
        <v>Bachelor</v>
      </c>
      <c r="AI723" t="str">
        <f t="shared" si="146"/>
        <v>Very High</v>
      </c>
      <c r="AJ723" t="str">
        <f t="shared" si="147"/>
        <v>High</v>
      </c>
      <c r="AK723" t="str">
        <f t="shared" si="148"/>
        <v>Senior</v>
      </c>
      <c r="AL723" t="str">
        <f t="shared" si="149"/>
        <v>High</v>
      </c>
      <c r="AM723" t="str">
        <f t="shared" si="150"/>
        <v>Very High</v>
      </c>
      <c r="AN723" t="str">
        <f t="shared" si="151"/>
        <v>Low</v>
      </c>
      <c r="AO723" t="str">
        <f t="shared" si="152"/>
        <v>Better</v>
      </c>
      <c r="AP723" t="str">
        <f t="shared" si="153"/>
        <v>45-54</v>
      </c>
      <c r="AQ723" t="str">
        <f t="shared" si="154"/>
        <v>High</v>
      </c>
      <c r="AR723" t="str">
        <f t="shared" si="155"/>
        <v>11-20 Years</v>
      </c>
    </row>
    <row r="724" spans="1:44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46</v>
      </c>
      <c r="L724">
        <v>66</v>
      </c>
      <c r="M724">
        <v>3</v>
      </c>
      <c r="N724">
        <v>1</v>
      </c>
      <c r="O724" t="s">
        <v>47</v>
      </c>
      <c r="P724">
        <v>3</v>
      </c>
      <c r="Q724" t="s">
        <v>48</v>
      </c>
      <c r="R724">
        <v>2684</v>
      </c>
      <c r="S724">
        <v>0</v>
      </c>
      <c r="T724" t="s">
        <v>43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  <c r="AF724">
        <f t="shared" si="143"/>
        <v>0</v>
      </c>
      <c r="AG724">
        <f t="shared" si="144"/>
        <v>0</v>
      </c>
      <c r="AH724" t="str">
        <f t="shared" si="145"/>
        <v>Below College</v>
      </c>
      <c r="AI724" t="str">
        <f t="shared" si="146"/>
        <v>High</v>
      </c>
      <c r="AJ724" t="str">
        <f t="shared" si="147"/>
        <v>High</v>
      </c>
      <c r="AK724" t="str">
        <f t="shared" si="148"/>
        <v>Entry</v>
      </c>
      <c r="AL724" t="str">
        <f t="shared" si="149"/>
        <v>High</v>
      </c>
      <c r="AM724" t="str">
        <f t="shared" si="150"/>
        <v>Medium</v>
      </c>
      <c r="AN724" t="str">
        <f t="shared" si="151"/>
        <v>Low</v>
      </c>
      <c r="AO724" t="str">
        <f t="shared" si="152"/>
        <v>Good</v>
      </c>
      <c r="AP724" t="str">
        <f t="shared" si="153"/>
        <v>35-44</v>
      </c>
      <c r="AQ724" t="str">
        <f t="shared" si="154"/>
        <v>Low</v>
      </c>
      <c r="AR724" t="str">
        <f t="shared" si="155"/>
        <v>0-2 Years</v>
      </c>
    </row>
    <row r="725" spans="1:44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46</v>
      </c>
      <c r="L725">
        <v>75</v>
      </c>
      <c r="M725">
        <v>3</v>
      </c>
      <c r="N725">
        <v>3</v>
      </c>
      <c r="O725" t="s">
        <v>53</v>
      </c>
      <c r="P725">
        <v>3</v>
      </c>
      <c r="Q725" t="s">
        <v>52</v>
      </c>
      <c r="R725">
        <v>10845</v>
      </c>
      <c r="S725">
        <v>6</v>
      </c>
      <c r="T725" t="s">
        <v>43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  <c r="AF725">
        <f t="shared" si="143"/>
        <v>0</v>
      </c>
      <c r="AG725">
        <f t="shared" si="144"/>
        <v>0</v>
      </c>
      <c r="AH725" t="str">
        <f t="shared" si="145"/>
        <v>College</v>
      </c>
      <c r="AI725" t="str">
        <f t="shared" si="146"/>
        <v>Very High</v>
      </c>
      <c r="AJ725" t="str">
        <f t="shared" si="147"/>
        <v>High</v>
      </c>
      <c r="AK725" t="str">
        <f t="shared" si="148"/>
        <v>Mid-Level</v>
      </c>
      <c r="AL725" t="str">
        <f t="shared" si="149"/>
        <v>High</v>
      </c>
      <c r="AM725" t="str">
        <f t="shared" si="150"/>
        <v>Medium</v>
      </c>
      <c r="AN725" t="str">
        <f t="shared" si="151"/>
        <v>Low</v>
      </c>
      <c r="AO725" t="str">
        <f t="shared" si="152"/>
        <v>Better</v>
      </c>
      <c r="AP725" t="str">
        <f t="shared" si="153"/>
        <v>45-54</v>
      </c>
      <c r="AQ725" t="str">
        <f t="shared" si="154"/>
        <v>Upper-Mid</v>
      </c>
      <c r="AR725" t="str">
        <f t="shared" si="155"/>
        <v>6-10 Years</v>
      </c>
    </row>
    <row r="726" spans="1:44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39</v>
      </c>
      <c r="L726">
        <v>41</v>
      </c>
      <c r="M726">
        <v>2</v>
      </c>
      <c r="N726">
        <v>2</v>
      </c>
      <c r="O726" t="s">
        <v>53</v>
      </c>
      <c r="P726">
        <v>3</v>
      </c>
      <c r="Q726" t="s">
        <v>52</v>
      </c>
      <c r="R726">
        <v>4377</v>
      </c>
      <c r="S726">
        <v>1</v>
      </c>
      <c r="T726" t="s">
        <v>43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  <c r="AF726">
        <f t="shared" si="143"/>
        <v>0</v>
      </c>
      <c r="AG726">
        <f t="shared" si="144"/>
        <v>0</v>
      </c>
      <c r="AH726" t="str">
        <f t="shared" si="145"/>
        <v>Below College</v>
      </c>
      <c r="AI726" t="str">
        <f t="shared" si="146"/>
        <v>Very High</v>
      </c>
      <c r="AJ726" t="str">
        <f t="shared" si="147"/>
        <v>Medium</v>
      </c>
      <c r="AK726" t="str">
        <f t="shared" si="148"/>
        <v>Junior</v>
      </c>
      <c r="AL726" t="str">
        <f t="shared" si="149"/>
        <v>High</v>
      </c>
      <c r="AM726" t="str">
        <f t="shared" si="150"/>
        <v>Medium</v>
      </c>
      <c r="AN726" t="str">
        <f t="shared" si="151"/>
        <v>Medium</v>
      </c>
      <c r="AO726" t="str">
        <f t="shared" si="152"/>
        <v>Better</v>
      </c>
      <c r="AP726" t="str">
        <f t="shared" si="153"/>
        <v>Under 25</v>
      </c>
      <c r="AQ726" t="str">
        <f t="shared" si="154"/>
        <v>Lower-Mid</v>
      </c>
      <c r="AR726" t="str">
        <f t="shared" si="155"/>
        <v>3-5 Years</v>
      </c>
    </row>
    <row r="727" spans="1:44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39</v>
      </c>
      <c r="M727">
        <v>2</v>
      </c>
      <c r="N727">
        <v>1</v>
      </c>
      <c r="O727" t="s">
        <v>50</v>
      </c>
      <c r="P727">
        <v>2</v>
      </c>
      <c r="Q727" t="s">
        <v>52</v>
      </c>
      <c r="R727">
        <v>3743</v>
      </c>
      <c r="S727">
        <v>1</v>
      </c>
      <c r="T727" t="s">
        <v>35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  <c r="AF727">
        <f t="shared" si="143"/>
        <v>1</v>
      </c>
      <c r="AG727">
        <f t="shared" si="144"/>
        <v>1</v>
      </c>
      <c r="AH727" t="str">
        <f t="shared" si="145"/>
        <v>Master</v>
      </c>
      <c r="AI727" t="str">
        <f t="shared" si="146"/>
        <v>High</v>
      </c>
      <c r="AJ727" t="str">
        <f t="shared" si="147"/>
        <v>Medium</v>
      </c>
      <c r="AK727" t="str">
        <f t="shared" si="148"/>
        <v>Entry</v>
      </c>
      <c r="AL727" t="str">
        <f t="shared" si="149"/>
        <v>Medium</v>
      </c>
      <c r="AM727" t="str">
        <f t="shared" si="150"/>
        <v>Very High</v>
      </c>
      <c r="AN727" t="str">
        <f t="shared" si="151"/>
        <v>Low</v>
      </c>
      <c r="AO727" t="str">
        <f t="shared" si="152"/>
        <v>Bad</v>
      </c>
      <c r="AP727" t="str">
        <f t="shared" si="153"/>
        <v>35-44</v>
      </c>
      <c r="AQ727" t="str">
        <f t="shared" si="154"/>
        <v>Lower-Mid</v>
      </c>
      <c r="AR727" t="str">
        <f t="shared" si="155"/>
        <v>3-5 Years</v>
      </c>
    </row>
    <row r="728" spans="1:44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96</v>
      </c>
      <c r="M728">
        <v>3</v>
      </c>
      <c r="N728">
        <v>2</v>
      </c>
      <c r="O728" t="s">
        <v>53</v>
      </c>
      <c r="P728">
        <v>1</v>
      </c>
      <c r="Q728" t="s">
        <v>48</v>
      </c>
      <c r="R728">
        <v>4148</v>
      </c>
      <c r="S728">
        <v>1</v>
      </c>
      <c r="T728" t="s">
        <v>43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  <c r="AF728">
        <f t="shared" si="143"/>
        <v>0</v>
      </c>
      <c r="AG728">
        <f t="shared" si="144"/>
        <v>0</v>
      </c>
      <c r="AH728" t="str">
        <f t="shared" si="145"/>
        <v>Below College</v>
      </c>
      <c r="AI728" t="str">
        <f t="shared" si="146"/>
        <v>High</v>
      </c>
      <c r="AJ728" t="str">
        <f t="shared" si="147"/>
        <v>High</v>
      </c>
      <c r="AK728" t="str">
        <f t="shared" si="148"/>
        <v>Junior</v>
      </c>
      <c r="AL728" t="str">
        <f t="shared" si="149"/>
        <v>Low</v>
      </c>
      <c r="AM728" t="str">
        <f t="shared" si="150"/>
        <v>High</v>
      </c>
      <c r="AN728" t="str">
        <f t="shared" si="151"/>
        <v>Low</v>
      </c>
      <c r="AO728" t="str">
        <f t="shared" si="152"/>
        <v>Better</v>
      </c>
      <c r="AP728" t="str">
        <f t="shared" si="153"/>
        <v>25-34</v>
      </c>
      <c r="AQ728" t="str">
        <f t="shared" si="154"/>
        <v>Lower-Mid</v>
      </c>
      <c r="AR728" t="str">
        <f t="shared" si="155"/>
        <v>3-5 Years</v>
      </c>
    </row>
    <row r="729" spans="1:44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46</v>
      </c>
      <c r="L729">
        <v>73</v>
      </c>
      <c r="M729">
        <v>3</v>
      </c>
      <c r="N729">
        <v>1</v>
      </c>
      <c r="O729" t="s">
        <v>47</v>
      </c>
      <c r="P729">
        <v>4</v>
      </c>
      <c r="Q729" t="s">
        <v>41</v>
      </c>
      <c r="R729">
        <v>1051</v>
      </c>
      <c r="S729">
        <v>1</v>
      </c>
      <c r="T729" t="s">
        <v>43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  <c r="AF729">
        <f t="shared" si="143"/>
        <v>0</v>
      </c>
      <c r="AG729">
        <f t="shared" si="144"/>
        <v>0</v>
      </c>
      <c r="AH729" t="str">
        <f t="shared" si="145"/>
        <v>College</v>
      </c>
      <c r="AI729" t="str">
        <f t="shared" si="146"/>
        <v>Medium</v>
      </c>
      <c r="AJ729" t="str">
        <f t="shared" si="147"/>
        <v>High</v>
      </c>
      <c r="AK729" t="str">
        <f t="shared" si="148"/>
        <v>Entry</v>
      </c>
      <c r="AL729" t="str">
        <f t="shared" si="149"/>
        <v>Very High</v>
      </c>
      <c r="AM729" t="str">
        <f t="shared" si="150"/>
        <v>Very High</v>
      </c>
      <c r="AN729" t="str">
        <f t="shared" si="151"/>
        <v>No Options</v>
      </c>
      <c r="AO729" t="str">
        <f t="shared" si="152"/>
        <v>Better</v>
      </c>
      <c r="AP729" t="str">
        <f t="shared" si="153"/>
        <v>Under 25</v>
      </c>
      <c r="AQ729" t="str">
        <f t="shared" si="154"/>
        <v>Low</v>
      </c>
      <c r="AR729" t="str">
        <f t="shared" si="155"/>
        <v>0-2 Years</v>
      </c>
    </row>
    <row r="730" spans="1:44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t="s">
        <v>39</v>
      </c>
      <c r="L730">
        <v>56</v>
      </c>
      <c r="M730">
        <v>3</v>
      </c>
      <c r="N730">
        <v>3</v>
      </c>
      <c r="O730" t="s">
        <v>53</v>
      </c>
      <c r="P730">
        <v>3</v>
      </c>
      <c r="Q730" t="s">
        <v>48</v>
      </c>
      <c r="R730">
        <v>10739</v>
      </c>
      <c r="S730">
        <v>8</v>
      </c>
      <c r="T730" t="s">
        <v>43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  <c r="AF730">
        <f t="shared" si="143"/>
        <v>0</v>
      </c>
      <c r="AG730">
        <f t="shared" si="144"/>
        <v>0</v>
      </c>
      <c r="AH730" t="str">
        <f t="shared" si="145"/>
        <v>Bachelor</v>
      </c>
      <c r="AI730" t="str">
        <f t="shared" si="146"/>
        <v>High</v>
      </c>
      <c r="AJ730" t="str">
        <f t="shared" si="147"/>
        <v>High</v>
      </c>
      <c r="AK730" t="str">
        <f t="shared" si="148"/>
        <v>Mid-Level</v>
      </c>
      <c r="AL730" t="str">
        <f t="shared" si="149"/>
        <v>High</v>
      </c>
      <c r="AM730" t="str">
        <f t="shared" si="150"/>
        <v>High</v>
      </c>
      <c r="AN730" t="str">
        <f t="shared" si="151"/>
        <v>Low</v>
      </c>
      <c r="AO730" t="str">
        <f t="shared" si="152"/>
        <v>Better</v>
      </c>
      <c r="AP730" t="str">
        <f t="shared" si="153"/>
        <v>45-54</v>
      </c>
      <c r="AQ730" t="str">
        <f t="shared" si="154"/>
        <v>Upper-Mid</v>
      </c>
      <c r="AR730" t="str">
        <f t="shared" si="155"/>
        <v>6-10 Years</v>
      </c>
    </row>
    <row r="731" spans="1:44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39</v>
      </c>
      <c r="L731">
        <v>57</v>
      </c>
      <c r="M731">
        <v>3</v>
      </c>
      <c r="N731">
        <v>3</v>
      </c>
      <c r="O731" t="s">
        <v>54</v>
      </c>
      <c r="P731">
        <v>3</v>
      </c>
      <c r="Q731" t="s">
        <v>52</v>
      </c>
      <c r="R731">
        <v>10388</v>
      </c>
      <c r="S731">
        <v>1</v>
      </c>
      <c r="T731" t="s">
        <v>35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  <c r="AF731">
        <f t="shared" si="143"/>
        <v>0</v>
      </c>
      <c r="AG731">
        <f t="shared" si="144"/>
        <v>1</v>
      </c>
      <c r="AH731" t="str">
        <f t="shared" si="145"/>
        <v>Master</v>
      </c>
      <c r="AI731" t="str">
        <f t="shared" si="146"/>
        <v>High</v>
      </c>
      <c r="AJ731" t="str">
        <f t="shared" si="147"/>
        <v>High</v>
      </c>
      <c r="AK731" t="str">
        <f t="shared" si="148"/>
        <v>Mid-Level</v>
      </c>
      <c r="AL731" t="str">
        <f t="shared" si="149"/>
        <v>High</v>
      </c>
      <c r="AM731" t="str">
        <f t="shared" si="150"/>
        <v>High</v>
      </c>
      <c r="AN731" t="str">
        <f t="shared" si="151"/>
        <v>Low</v>
      </c>
      <c r="AO731" t="str">
        <f t="shared" si="152"/>
        <v>Good</v>
      </c>
      <c r="AP731" t="str">
        <f t="shared" si="153"/>
        <v>35-44</v>
      </c>
      <c r="AQ731" t="str">
        <f t="shared" si="154"/>
        <v>Upper-Mid</v>
      </c>
      <c r="AR731" t="str">
        <f t="shared" si="155"/>
        <v>11-20 Years</v>
      </c>
    </row>
    <row r="732" spans="1:44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73</v>
      </c>
      <c r="M732">
        <v>4</v>
      </c>
      <c r="N732">
        <v>3</v>
      </c>
      <c r="O732" t="s">
        <v>58</v>
      </c>
      <c r="P732">
        <v>1</v>
      </c>
      <c r="Q732" t="s">
        <v>48</v>
      </c>
      <c r="R732">
        <v>11416</v>
      </c>
      <c r="S732">
        <v>0</v>
      </c>
      <c r="T732" t="s">
        <v>35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  <c r="AF732">
        <f t="shared" si="143"/>
        <v>0</v>
      </c>
      <c r="AG732">
        <f t="shared" si="144"/>
        <v>1</v>
      </c>
      <c r="AH732" t="str">
        <f t="shared" si="145"/>
        <v>College</v>
      </c>
      <c r="AI732" t="str">
        <f t="shared" si="146"/>
        <v>Medium</v>
      </c>
      <c r="AJ732" t="str">
        <f t="shared" si="147"/>
        <v>Very High</v>
      </c>
      <c r="AK732" t="str">
        <f t="shared" si="148"/>
        <v>Mid-Level</v>
      </c>
      <c r="AL732" t="str">
        <f t="shared" si="149"/>
        <v>Low</v>
      </c>
      <c r="AM732" t="str">
        <f t="shared" si="150"/>
        <v>High</v>
      </c>
      <c r="AN732" t="str">
        <f t="shared" si="151"/>
        <v>High</v>
      </c>
      <c r="AO732" t="str">
        <f t="shared" si="152"/>
        <v>Good</v>
      </c>
      <c r="AP732" t="str">
        <f t="shared" si="153"/>
        <v>25-34</v>
      </c>
      <c r="AQ732" t="str">
        <f t="shared" si="154"/>
        <v>Upper-Mid</v>
      </c>
      <c r="AR732" t="str">
        <f t="shared" si="155"/>
        <v>6-10 Years</v>
      </c>
    </row>
    <row r="733" spans="1:44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39</v>
      </c>
      <c r="L733">
        <v>98</v>
      </c>
      <c r="M733">
        <v>2</v>
      </c>
      <c r="N733">
        <v>1</v>
      </c>
      <c r="O733" t="s">
        <v>47</v>
      </c>
      <c r="P733">
        <v>1</v>
      </c>
      <c r="Q733" t="s">
        <v>41</v>
      </c>
      <c r="R733">
        <v>2600</v>
      </c>
      <c r="S733">
        <v>1</v>
      </c>
      <c r="T733" t="s">
        <v>35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  <c r="AF733">
        <f t="shared" si="143"/>
        <v>1</v>
      </c>
      <c r="AG733">
        <f t="shared" si="144"/>
        <v>1</v>
      </c>
      <c r="AH733" t="str">
        <f t="shared" si="145"/>
        <v>Bachelor</v>
      </c>
      <c r="AI733" t="str">
        <f t="shared" si="146"/>
        <v>Very High</v>
      </c>
      <c r="AJ733" t="str">
        <f t="shared" si="147"/>
        <v>Medium</v>
      </c>
      <c r="AK733" t="str">
        <f t="shared" si="148"/>
        <v>Entry</v>
      </c>
      <c r="AL733" t="str">
        <f t="shared" si="149"/>
        <v>Low</v>
      </c>
      <c r="AM733" t="str">
        <f t="shared" si="150"/>
        <v>Low</v>
      </c>
      <c r="AN733" t="str">
        <f t="shared" si="151"/>
        <v>No Options</v>
      </c>
      <c r="AO733" t="str">
        <f t="shared" si="152"/>
        <v>Better</v>
      </c>
      <c r="AP733" t="str">
        <f t="shared" si="153"/>
        <v>Under 25</v>
      </c>
      <c r="AQ733" t="str">
        <f t="shared" si="154"/>
        <v>Low</v>
      </c>
      <c r="AR733" t="str">
        <f t="shared" si="155"/>
        <v>0-2 Years</v>
      </c>
    </row>
    <row r="734" spans="1:44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39</v>
      </c>
      <c r="L734">
        <v>60</v>
      </c>
      <c r="M734">
        <v>3</v>
      </c>
      <c r="N734">
        <v>1</v>
      </c>
      <c r="O734" t="s">
        <v>50</v>
      </c>
      <c r="P734">
        <v>2</v>
      </c>
      <c r="Q734" t="s">
        <v>41</v>
      </c>
      <c r="R734">
        <v>2422</v>
      </c>
      <c r="S734">
        <v>0</v>
      </c>
      <c r="T734" t="s">
        <v>43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  <c r="AF734">
        <f t="shared" si="143"/>
        <v>1</v>
      </c>
      <c r="AG734">
        <f t="shared" si="144"/>
        <v>0</v>
      </c>
      <c r="AH734" t="str">
        <f t="shared" si="145"/>
        <v>Bachelor</v>
      </c>
      <c r="AI734" t="str">
        <f t="shared" si="146"/>
        <v>Medium</v>
      </c>
      <c r="AJ734" t="str">
        <f t="shared" si="147"/>
        <v>High</v>
      </c>
      <c r="AK734" t="str">
        <f t="shared" si="148"/>
        <v>Entry</v>
      </c>
      <c r="AL734" t="str">
        <f t="shared" si="149"/>
        <v>Medium</v>
      </c>
      <c r="AM734" t="str">
        <f t="shared" si="150"/>
        <v>Low</v>
      </c>
      <c r="AN734" t="str">
        <f t="shared" si="151"/>
        <v>No Options</v>
      </c>
      <c r="AO734" t="str">
        <f t="shared" si="152"/>
        <v>Better</v>
      </c>
      <c r="AP734" t="str">
        <f t="shared" si="153"/>
        <v>25-34</v>
      </c>
      <c r="AQ734" t="str">
        <f t="shared" si="154"/>
        <v>Low</v>
      </c>
      <c r="AR734" t="str">
        <f t="shared" si="155"/>
        <v>3-5 Years</v>
      </c>
    </row>
    <row r="735" spans="1:44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46</v>
      </c>
      <c r="L735">
        <v>32</v>
      </c>
      <c r="M735">
        <v>4</v>
      </c>
      <c r="N735">
        <v>2</v>
      </c>
      <c r="O735" t="s">
        <v>53</v>
      </c>
      <c r="P735">
        <v>4</v>
      </c>
      <c r="Q735" t="s">
        <v>48</v>
      </c>
      <c r="R735">
        <v>5472</v>
      </c>
      <c r="S735">
        <v>1</v>
      </c>
      <c r="T735" t="s">
        <v>43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  <c r="AF735">
        <f t="shared" si="143"/>
        <v>0</v>
      </c>
      <c r="AG735">
        <f t="shared" si="144"/>
        <v>0</v>
      </c>
      <c r="AH735" t="str">
        <f t="shared" si="145"/>
        <v>College</v>
      </c>
      <c r="AI735" t="str">
        <f t="shared" si="146"/>
        <v>Very High</v>
      </c>
      <c r="AJ735" t="str">
        <f t="shared" si="147"/>
        <v>Very High</v>
      </c>
      <c r="AK735" t="str">
        <f t="shared" si="148"/>
        <v>Junior</v>
      </c>
      <c r="AL735" t="str">
        <f t="shared" si="149"/>
        <v>Very High</v>
      </c>
      <c r="AM735" t="str">
        <f t="shared" si="150"/>
        <v>Medium</v>
      </c>
      <c r="AN735" t="str">
        <f t="shared" si="151"/>
        <v>No Options</v>
      </c>
      <c r="AO735" t="str">
        <f t="shared" si="152"/>
        <v>Better</v>
      </c>
      <c r="AP735" t="str">
        <f t="shared" si="153"/>
        <v>25-34</v>
      </c>
      <c r="AQ735" t="str">
        <f t="shared" si="154"/>
        <v>Lower-Mid</v>
      </c>
      <c r="AR735" t="str">
        <f t="shared" si="155"/>
        <v>6-10 Years</v>
      </c>
    </row>
    <row r="736" spans="1:44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46</v>
      </c>
      <c r="L736">
        <v>94</v>
      </c>
      <c r="M736">
        <v>1</v>
      </c>
      <c r="N736">
        <v>1</v>
      </c>
      <c r="O736" t="s">
        <v>50</v>
      </c>
      <c r="P736">
        <v>1</v>
      </c>
      <c r="Q736" t="s">
        <v>48</v>
      </c>
      <c r="R736">
        <v>2451</v>
      </c>
      <c r="S736">
        <v>1</v>
      </c>
      <c r="T736" t="s">
        <v>43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  <c r="AF736">
        <f t="shared" si="143"/>
        <v>0</v>
      </c>
      <c r="AG736">
        <f t="shared" si="144"/>
        <v>0</v>
      </c>
      <c r="AH736" t="str">
        <f t="shared" si="145"/>
        <v>Below College</v>
      </c>
      <c r="AI736" t="str">
        <f t="shared" si="146"/>
        <v>Medium</v>
      </c>
      <c r="AJ736" t="str">
        <f t="shared" si="147"/>
        <v>Low</v>
      </c>
      <c r="AK736" t="str">
        <f t="shared" si="148"/>
        <v>Entry</v>
      </c>
      <c r="AL736" t="str">
        <f t="shared" si="149"/>
        <v>Low</v>
      </c>
      <c r="AM736" t="str">
        <f t="shared" si="150"/>
        <v>Low</v>
      </c>
      <c r="AN736" t="str">
        <f t="shared" si="151"/>
        <v>Low</v>
      </c>
      <c r="AO736" t="str">
        <f t="shared" si="152"/>
        <v>Good</v>
      </c>
      <c r="AP736" t="str">
        <f t="shared" si="153"/>
        <v>Under 25</v>
      </c>
      <c r="AQ736" t="str">
        <f t="shared" si="154"/>
        <v>Low</v>
      </c>
      <c r="AR736" t="str">
        <f t="shared" si="155"/>
        <v>3-5 Years</v>
      </c>
    </row>
    <row r="737" spans="1:44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46</v>
      </c>
      <c r="L737">
        <v>97</v>
      </c>
      <c r="M737">
        <v>2</v>
      </c>
      <c r="N737">
        <v>2</v>
      </c>
      <c r="O737" t="s">
        <v>54</v>
      </c>
      <c r="P737">
        <v>3</v>
      </c>
      <c r="Q737" t="s">
        <v>41</v>
      </c>
      <c r="R737">
        <v>4240</v>
      </c>
      <c r="S737">
        <v>2</v>
      </c>
      <c r="T737" t="s">
        <v>43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  <c r="AF737">
        <f t="shared" si="143"/>
        <v>0</v>
      </c>
      <c r="AG737">
        <f t="shared" si="144"/>
        <v>0</v>
      </c>
      <c r="AH737" t="str">
        <f t="shared" si="145"/>
        <v>Bachelor</v>
      </c>
      <c r="AI737" t="str">
        <f t="shared" si="146"/>
        <v>Low</v>
      </c>
      <c r="AJ737" t="str">
        <f t="shared" si="147"/>
        <v>Medium</v>
      </c>
      <c r="AK737" t="str">
        <f t="shared" si="148"/>
        <v>Junior</v>
      </c>
      <c r="AL737" t="str">
        <f t="shared" si="149"/>
        <v>High</v>
      </c>
      <c r="AM737" t="str">
        <f t="shared" si="150"/>
        <v>Very High</v>
      </c>
      <c r="AN737" t="str">
        <f t="shared" si="151"/>
        <v>No Options</v>
      </c>
      <c r="AO737" t="str">
        <f t="shared" si="152"/>
        <v>Better</v>
      </c>
      <c r="AP737" t="str">
        <f t="shared" si="153"/>
        <v>45-54</v>
      </c>
      <c r="AQ737" t="str">
        <f t="shared" si="154"/>
        <v>Lower-Mid</v>
      </c>
      <c r="AR737" t="str">
        <f t="shared" si="155"/>
        <v>0-2 Years</v>
      </c>
    </row>
    <row r="738" spans="1:44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46</v>
      </c>
      <c r="L738">
        <v>78</v>
      </c>
      <c r="M738">
        <v>2</v>
      </c>
      <c r="N738">
        <v>3</v>
      </c>
      <c r="O738" t="s">
        <v>54</v>
      </c>
      <c r="P738">
        <v>3</v>
      </c>
      <c r="Q738" t="s">
        <v>41</v>
      </c>
      <c r="R738">
        <v>10999</v>
      </c>
      <c r="S738">
        <v>7</v>
      </c>
      <c r="T738" t="s">
        <v>43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  <c r="AF738">
        <f t="shared" si="143"/>
        <v>0</v>
      </c>
      <c r="AG738">
        <f t="shared" si="144"/>
        <v>0</v>
      </c>
      <c r="AH738" t="str">
        <f t="shared" si="145"/>
        <v>Master</v>
      </c>
      <c r="AI738" t="str">
        <f t="shared" si="146"/>
        <v>High</v>
      </c>
      <c r="AJ738" t="str">
        <f t="shared" si="147"/>
        <v>Medium</v>
      </c>
      <c r="AK738" t="str">
        <f t="shared" si="148"/>
        <v>Mid-Level</v>
      </c>
      <c r="AL738" t="str">
        <f t="shared" si="149"/>
        <v>High</v>
      </c>
      <c r="AM738" t="str">
        <f t="shared" si="150"/>
        <v>Medium</v>
      </c>
      <c r="AN738" t="str">
        <f t="shared" si="151"/>
        <v>No Options</v>
      </c>
      <c r="AO738" t="str">
        <f t="shared" si="152"/>
        <v>Better</v>
      </c>
      <c r="AP738" t="str">
        <f t="shared" si="153"/>
        <v>45-54</v>
      </c>
      <c r="AQ738" t="str">
        <f t="shared" si="154"/>
        <v>Upper-Mid</v>
      </c>
      <c r="AR738" t="str">
        <f t="shared" si="155"/>
        <v>11-20 Years</v>
      </c>
    </row>
    <row r="739" spans="1:44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39</v>
      </c>
      <c r="L739">
        <v>42</v>
      </c>
      <c r="M739">
        <v>3</v>
      </c>
      <c r="N739">
        <v>2</v>
      </c>
      <c r="O739" t="s">
        <v>53</v>
      </c>
      <c r="P739">
        <v>3</v>
      </c>
      <c r="Q739" t="s">
        <v>41</v>
      </c>
      <c r="R739">
        <v>5003</v>
      </c>
      <c r="S739">
        <v>6</v>
      </c>
      <c r="T739" t="s">
        <v>43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  <c r="AF739">
        <f t="shared" si="143"/>
        <v>0</v>
      </c>
      <c r="AG739">
        <f t="shared" si="144"/>
        <v>0</v>
      </c>
      <c r="AH739" t="str">
        <f t="shared" si="145"/>
        <v>College</v>
      </c>
      <c r="AI739" t="str">
        <f t="shared" si="146"/>
        <v>Very High</v>
      </c>
      <c r="AJ739" t="str">
        <f t="shared" si="147"/>
        <v>High</v>
      </c>
      <c r="AK739" t="str">
        <f t="shared" si="148"/>
        <v>Junior</v>
      </c>
      <c r="AL739" t="str">
        <f t="shared" si="149"/>
        <v>High</v>
      </c>
      <c r="AM739" t="str">
        <f t="shared" si="150"/>
        <v>Medium</v>
      </c>
      <c r="AN739" t="str">
        <f t="shared" si="151"/>
        <v>No Options</v>
      </c>
      <c r="AO739" t="str">
        <f t="shared" si="152"/>
        <v>Better</v>
      </c>
      <c r="AP739" t="str">
        <f t="shared" si="153"/>
        <v>35-44</v>
      </c>
      <c r="AQ739" t="str">
        <f t="shared" si="154"/>
        <v>Lower-Mid</v>
      </c>
      <c r="AR739" t="str">
        <f t="shared" si="155"/>
        <v>0-2 Years</v>
      </c>
    </row>
    <row r="740" spans="1:44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65</v>
      </c>
      <c r="M740">
        <v>2</v>
      </c>
      <c r="N740">
        <v>4</v>
      </c>
      <c r="O740" t="s">
        <v>53</v>
      </c>
      <c r="P740">
        <v>4</v>
      </c>
      <c r="Q740" t="s">
        <v>48</v>
      </c>
      <c r="R740">
        <v>12742</v>
      </c>
      <c r="S740">
        <v>1</v>
      </c>
      <c r="T740" t="s">
        <v>43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  <c r="AF740">
        <f t="shared" si="143"/>
        <v>0</v>
      </c>
      <c r="AG740">
        <f t="shared" si="144"/>
        <v>0</v>
      </c>
      <c r="AH740" t="str">
        <f t="shared" si="145"/>
        <v>Below College</v>
      </c>
      <c r="AI740" t="str">
        <f t="shared" si="146"/>
        <v>Very High</v>
      </c>
      <c r="AJ740" t="str">
        <f t="shared" si="147"/>
        <v>Medium</v>
      </c>
      <c r="AK740" t="str">
        <f t="shared" si="148"/>
        <v>Senior</v>
      </c>
      <c r="AL740" t="str">
        <f t="shared" si="149"/>
        <v>Very High</v>
      </c>
      <c r="AM740" t="str">
        <f t="shared" si="150"/>
        <v>High</v>
      </c>
      <c r="AN740" t="str">
        <f t="shared" si="151"/>
        <v>Low</v>
      </c>
      <c r="AO740" t="str">
        <f t="shared" si="152"/>
        <v>Better</v>
      </c>
      <c r="AP740" t="str">
        <f t="shared" si="153"/>
        <v>35-44</v>
      </c>
      <c r="AQ740" t="str">
        <f t="shared" si="154"/>
        <v>Upper-Mid</v>
      </c>
      <c r="AR740" t="str">
        <f t="shared" si="155"/>
        <v>20+ Years</v>
      </c>
    </row>
    <row r="741" spans="1:44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47</v>
      </c>
      <c r="M741">
        <v>3</v>
      </c>
      <c r="N741">
        <v>2</v>
      </c>
      <c r="O741" t="s">
        <v>53</v>
      </c>
      <c r="P741">
        <v>4</v>
      </c>
      <c r="Q741" t="s">
        <v>48</v>
      </c>
      <c r="R741">
        <v>4227</v>
      </c>
      <c r="S741">
        <v>0</v>
      </c>
      <c r="T741" t="s">
        <v>43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  <c r="AF741">
        <f t="shared" si="143"/>
        <v>0</v>
      </c>
      <c r="AG741">
        <f t="shared" si="144"/>
        <v>0</v>
      </c>
      <c r="AH741" t="str">
        <f t="shared" si="145"/>
        <v>Master</v>
      </c>
      <c r="AI741" t="str">
        <f t="shared" si="146"/>
        <v>Low</v>
      </c>
      <c r="AJ741" t="str">
        <f t="shared" si="147"/>
        <v>High</v>
      </c>
      <c r="AK741" t="str">
        <f t="shared" si="148"/>
        <v>Junior</v>
      </c>
      <c r="AL741" t="str">
        <f t="shared" si="149"/>
        <v>Very High</v>
      </c>
      <c r="AM741" t="str">
        <f t="shared" si="150"/>
        <v>Medium</v>
      </c>
      <c r="AN741" t="str">
        <f t="shared" si="151"/>
        <v>Low</v>
      </c>
      <c r="AO741" t="str">
        <f t="shared" si="152"/>
        <v>Better</v>
      </c>
      <c r="AP741" t="str">
        <f t="shared" si="153"/>
        <v>25-34</v>
      </c>
      <c r="AQ741" t="str">
        <f t="shared" si="154"/>
        <v>Lower-Mid</v>
      </c>
      <c r="AR741" t="str">
        <f t="shared" si="155"/>
        <v>3-5 Years</v>
      </c>
    </row>
    <row r="742" spans="1:44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45</v>
      </c>
      <c r="M742">
        <v>3</v>
      </c>
      <c r="N742">
        <v>1</v>
      </c>
      <c r="O742" t="s">
        <v>50</v>
      </c>
      <c r="P742">
        <v>4</v>
      </c>
      <c r="Q742" t="s">
        <v>52</v>
      </c>
      <c r="R742">
        <v>3917</v>
      </c>
      <c r="S742">
        <v>1</v>
      </c>
      <c r="T742" t="s">
        <v>43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  <c r="AF742">
        <f t="shared" si="143"/>
        <v>0</v>
      </c>
      <c r="AG742">
        <f t="shared" si="144"/>
        <v>0</v>
      </c>
      <c r="AH742" t="str">
        <f t="shared" si="145"/>
        <v>Bachelor</v>
      </c>
      <c r="AI742" t="str">
        <f t="shared" si="146"/>
        <v>Medium</v>
      </c>
      <c r="AJ742" t="str">
        <f t="shared" si="147"/>
        <v>High</v>
      </c>
      <c r="AK742" t="str">
        <f t="shared" si="148"/>
        <v>Entry</v>
      </c>
      <c r="AL742" t="str">
        <f t="shared" si="149"/>
        <v>Very High</v>
      </c>
      <c r="AM742" t="str">
        <f t="shared" si="150"/>
        <v>Low</v>
      </c>
      <c r="AN742" t="str">
        <f t="shared" si="151"/>
        <v>Low</v>
      </c>
      <c r="AO742" t="str">
        <f t="shared" si="152"/>
        <v>Good</v>
      </c>
      <c r="AP742" t="str">
        <f t="shared" si="153"/>
        <v>35-44</v>
      </c>
      <c r="AQ742" t="str">
        <f t="shared" si="154"/>
        <v>Lower-Mid</v>
      </c>
      <c r="AR742" t="str">
        <f t="shared" si="155"/>
        <v>3-5 Years</v>
      </c>
    </row>
    <row r="743" spans="1:44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t="s">
        <v>46</v>
      </c>
      <c r="L743">
        <v>90</v>
      </c>
      <c r="M743">
        <v>3</v>
      </c>
      <c r="N743">
        <v>5</v>
      </c>
      <c r="O743" t="s">
        <v>56</v>
      </c>
      <c r="P743">
        <v>3</v>
      </c>
      <c r="Q743" t="s">
        <v>48</v>
      </c>
      <c r="R743">
        <v>18303</v>
      </c>
      <c r="S743">
        <v>6</v>
      </c>
      <c r="T743" t="s">
        <v>43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  <c r="AF743">
        <f t="shared" si="143"/>
        <v>0</v>
      </c>
      <c r="AG743">
        <f t="shared" si="144"/>
        <v>0</v>
      </c>
      <c r="AH743" t="str">
        <f t="shared" si="145"/>
        <v>College</v>
      </c>
      <c r="AI743" t="str">
        <f t="shared" si="146"/>
        <v>Very High</v>
      </c>
      <c r="AJ743" t="str">
        <f t="shared" si="147"/>
        <v>High</v>
      </c>
      <c r="AK743" t="str">
        <f t="shared" si="148"/>
        <v>Executive</v>
      </c>
      <c r="AL743" t="str">
        <f t="shared" si="149"/>
        <v>High</v>
      </c>
      <c r="AM743" t="str">
        <f t="shared" si="150"/>
        <v>Medium</v>
      </c>
      <c r="AN743" t="str">
        <f t="shared" si="151"/>
        <v>No Options</v>
      </c>
      <c r="AO743" t="str">
        <f t="shared" si="152"/>
        <v>Best</v>
      </c>
      <c r="AP743" t="str">
        <f t="shared" si="153"/>
        <v>35-44</v>
      </c>
      <c r="AQ743" t="str">
        <f t="shared" si="154"/>
        <v>High</v>
      </c>
      <c r="AR743" t="str">
        <f t="shared" si="155"/>
        <v>0-2 Years</v>
      </c>
    </row>
    <row r="744" spans="1:44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46</v>
      </c>
      <c r="L744">
        <v>64</v>
      </c>
      <c r="M744">
        <v>3</v>
      </c>
      <c r="N744">
        <v>1</v>
      </c>
      <c r="O744" t="s">
        <v>50</v>
      </c>
      <c r="P744">
        <v>4</v>
      </c>
      <c r="Q744" t="s">
        <v>48</v>
      </c>
      <c r="R744">
        <v>2380</v>
      </c>
      <c r="S744">
        <v>4</v>
      </c>
      <c r="T744" t="s">
        <v>43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  <c r="AF744">
        <f t="shared" si="143"/>
        <v>0</v>
      </c>
      <c r="AG744">
        <f t="shared" si="144"/>
        <v>0</v>
      </c>
      <c r="AH744" t="str">
        <f t="shared" si="145"/>
        <v>Bachelor</v>
      </c>
      <c r="AI744" t="str">
        <f t="shared" si="146"/>
        <v>Low</v>
      </c>
      <c r="AJ744" t="str">
        <f t="shared" si="147"/>
        <v>High</v>
      </c>
      <c r="AK744" t="str">
        <f t="shared" si="148"/>
        <v>Entry</v>
      </c>
      <c r="AL744" t="str">
        <f t="shared" si="149"/>
        <v>Very High</v>
      </c>
      <c r="AM744" t="str">
        <f t="shared" si="150"/>
        <v>Medium</v>
      </c>
      <c r="AN744" t="str">
        <f t="shared" si="151"/>
        <v>No Options</v>
      </c>
      <c r="AO744" t="str">
        <f t="shared" si="152"/>
        <v>Better</v>
      </c>
      <c r="AP744" t="str">
        <f t="shared" si="153"/>
        <v>45-54</v>
      </c>
      <c r="AQ744" t="str">
        <f t="shared" si="154"/>
        <v>Low</v>
      </c>
      <c r="AR744" t="str">
        <f t="shared" si="155"/>
        <v>0-2 Years</v>
      </c>
    </row>
    <row r="745" spans="1:44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69</v>
      </c>
      <c r="M745">
        <v>2</v>
      </c>
      <c r="N745">
        <v>4</v>
      </c>
      <c r="O745" t="s">
        <v>53</v>
      </c>
      <c r="P745">
        <v>4</v>
      </c>
      <c r="Q745" t="s">
        <v>41</v>
      </c>
      <c r="R745">
        <v>13726</v>
      </c>
      <c r="S745">
        <v>3</v>
      </c>
      <c r="T745" t="s">
        <v>35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  <c r="AF745">
        <f t="shared" si="143"/>
        <v>0</v>
      </c>
      <c r="AG745">
        <f t="shared" si="144"/>
        <v>1</v>
      </c>
      <c r="AH745" t="str">
        <f t="shared" si="145"/>
        <v>Bachelor</v>
      </c>
      <c r="AI745" t="str">
        <f t="shared" si="146"/>
        <v>High</v>
      </c>
      <c r="AJ745" t="str">
        <f t="shared" si="147"/>
        <v>Medium</v>
      </c>
      <c r="AK745" t="str">
        <f t="shared" si="148"/>
        <v>Senior</v>
      </c>
      <c r="AL745" t="str">
        <f t="shared" si="149"/>
        <v>Very High</v>
      </c>
      <c r="AM745" t="str">
        <f t="shared" si="150"/>
        <v>Low</v>
      </c>
      <c r="AN745" t="str">
        <f t="shared" si="151"/>
        <v>No Options</v>
      </c>
      <c r="AO745" t="str">
        <f t="shared" si="152"/>
        <v>Better</v>
      </c>
      <c r="AP745" t="str">
        <f t="shared" si="153"/>
        <v>55+</v>
      </c>
      <c r="AQ745" t="str">
        <f t="shared" si="154"/>
        <v>High</v>
      </c>
      <c r="AR745" t="str">
        <f t="shared" si="155"/>
        <v>3-5 Years</v>
      </c>
    </row>
    <row r="746" spans="1:44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39</v>
      </c>
      <c r="L746">
        <v>61</v>
      </c>
      <c r="M746">
        <v>1</v>
      </c>
      <c r="N746">
        <v>2</v>
      </c>
      <c r="O746" t="s">
        <v>54</v>
      </c>
      <c r="P746">
        <v>2</v>
      </c>
      <c r="Q746" t="s">
        <v>48</v>
      </c>
      <c r="R746">
        <v>4777</v>
      </c>
      <c r="S746">
        <v>5</v>
      </c>
      <c r="T746" t="s">
        <v>43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  <c r="AF746">
        <f t="shared" si="143"/>
        <v>1</v>
      </c>
      <c r="AG746">
        <f t="shared" si="144"/>
        <v>0</v>
      </c>
      <c r="AH746" t="str">
        <f t="shared" si="145"/>
        <v>College</v>
      </c>
      <c r="AI746" t="str">
        <f t="shared" si="146"/>
        <v>Low</v>
      </c>
      <c r="AJ746" t="str">
        <f t="shared" si="147"/>
        <v>Low</v>
      </c>
      <c r="AK746" t="str">
        <f t="shared" si="148"/>
        <v>Junior</v>
      </c>
      <c r="AL746" t="str">
        <f t="shared" si="149"/>
        <v>Medium</v>
      </c>
      <c r="AM746" t="str">
        <f t="shared" si="150"/>
        <v>Low</v>
      </c>
      <c r="AN746" t="str">
        <f t="shared" si="151"/>
        <v>No Options</v>
      </c>
      <c r="AO746" t="str">
        <f t="shared" si="152"/>
        <v>Bad</v>
      </c>
      <c r="AP746" t="str">
        <f t="shared" si="153"/>
        <v>35-44</v>
      </c>
      <c r="AQ746" t="str">
        <f t="shared" si="154"/>
        <v>Lower-Mid</v>
      </c>
      <c r="AR746" t="str">
        <f t="shared" si="155"/>
        <v>0-2 Years</v>
      </c>
    </row>
    <row r="747" spans="1:44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46</v>
      </c>
      <c r="L747">
        <v>62</v>
      </c>
      <c r="M747">
        <v>3</v>
      </c>
      <c r="N747">
        <v>2</v>
      </c>
      <c r="O747" t="s">
        <v>54</v>
      </c>
      <c r="P747">
        <v>2</v>
      </c>
      <c r="Q747" t="s">
        <v>48</v>
      </c>
      <c r="R747">
        <v>6385</v>
      </c>
      <c r="S747">
        <v>3</v>
      </c>
      <c r="T747" t="s">
        <v>35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  <c r="AF747">
        <f t="shared" si="143"/>
        <v>0</v>
      </c>
      <c r="AG747">
        <f t="shared" si="144"/>
        <v>1</v>
      </c>
      <c r="AH747" t="str">
        <f t="shared" si="145"/>
        <v>Master</v>
      </c>
      <c r="AI747" t="str">
        <f t="shared" si="146"/>
        <v>High</v>
      </c>
      <c r="AJ747" t="str">
        <f t="shared" si="147"/>
        <v>High</v>
      </c>
      <c r="AK747" t="str">
        <f t="shared" si="148"/>
        <v>Junior</v>
      </c>
      <c r="AL747" t="str">
        <f t="shared" si="149"/>
        <v>Medium</v>
      </c>
      <c r="AM747" t="str">
        <f t="shared" si="150"/>
        <v>Very High</v>
      </c>
      <c r="AN747" t="str">
        <f t="shared" si="151"/>
        <v>Medium</v>
      </c>
      <c r="AO747" t="str">
        <f t="shared" si="152"/>
        <v>Better</v>
      </c>
      <c r="AP747" t="str">
        <f t="shared" si="153"/>
        <v>55+</v>
      </c>
      <c r="AQ747" t="str">
        <f t="shared" si="154"/>
        <v>Lower-Mid</v>
      </c>
      <c r="AR747" t="str">
        <f t="shared" si="155"/>
        <v>6-10 Years</v>
      </c>
    </row>
    <row r="748" spans="1:44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55</v>
      </c>
      <c r="M748">
        <v>1</v>
      </c>
      <c r="N748">
        <v>5</v>
      </c>
      <c r="O748" t="s">
        <v>58</v>
      </c>
      <c r="P748">
        <v>3</v>
      </c>
      <c r="Q748" t="s">
        <v>52</v>
      </c>
      <c r="R748">
        <v>19973</v>
      </c>
      <c r="S748">
        <v>1</v>
      </c>
      <c r="T748" t="s">
        <v>43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  <c r="AF748">
        <f t="shared" si="143"/>
        <v>0</v>
      </c>
      <c r="AG748">
        <f t="shared" si="144"/>
        <v>0</v>
      </c>
      <c r="AH748" t="str">
        <f t="shared" si="145"/>
        <v>Below College</v>
      </c>
      <c r="AI748" t="str">
        <f t="shared" si="146"/>
        <v>Medium</v>
      </c>
      <c r="AJ748" t="str">
        <f t="shared" si="147"/>
        <v>Low</v>
      </c>
      <c r="AK748" t="str">
        <f t="shared" si="148"/>
        <v>Executive</v>
      </c>
      <c r="AL748" t="str">
        <f t="shared" si="149"/>
        <v>High</v>
      </c>
      <c r="AM748" t="str">
        <f t="shared" si="150"/>
        <v>Medium</v>
      </c>
      <c r="AN748" t="str">
        <f t="shared" si="151"/>
        <v>Medium</v>
      </c>
      <c r="AO748" t="str">
        <f t="shared" si="152"/>
        <v>Better</v>
      </c>
      <c r="AP748" t="str">
        <f t="shared" si="153"/>
        <v>35-44</v>
      </c>
      <c r="AQ748" t="str">
        <f t="shared" si="154"/>
        <v>High</v>
      </c>
      <c r="AR748" t="str">
        <f t="shared" si="155"/>
        <v>20+ Years</v>
      </c>
    </row>
    <row r="749" spans="1:44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46</v>
      </c>
      <c r="L749">
        <v>42</v>
      </c>
      <c r="M749">
        <v>3</v>
      </c>
      <c r="N749">
        <v>2</v>
      </c>
      <c r="O749" t="s">
        <v>40</v>
      </c>
      <c r="P749">
        <v>4</v>
      </c>
      <c r="Q749" t="s">
        <v>41</v>
      </c>
      <c r="R749">
        <v>6861</v>
      </c>
      <c r="S749">
        <v>8</v>
      </c>
      <c r="T749" t="s">
        <v>35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  <c r="AF749">
        <f t="shared" si="143"/>
        <v>0</v>
      </c>
      <c r="AG749">
        <f t="shared" si="144"/>
        <v>1</v>
      </c>
      <c r="AH749" t="str">
        <f t="shared" si="145"/>
        <v>Master</v>
      </c>
      <c r="AI749" t="str">
        <f t="shared" si="146"/>
        <v>Medium</v>
      </c>
      <c r="AJ749" t="str">
        <f t="shared" si="147"/>
        <v>High</v>
      </c>
      <c r="AK749" t="str">
        <f t="shared" si="148"/>
        <v>Junior</v>
      </c>
      <c r="AL749" t="str">
        <f t="shared" si="149"/>
        <v>Very High</v>
      </c>
      <c r="AM749" t="str">
        <f t="shared" si="150"/>
        <v>High</v>
      </c>
      <c r="AN749" t="str">
        <f t="shared" si="151"/>
        <v>No Options</v>
      </c>
      <c r="AO749" t="str">
        <f t="shared" si="152"/>
        <v>Better</v>
      </c>
      <c r="AP749" t="str">
        <f t="shared" si="153"/>
        <v>35-44</v>
      </c>
      <c r="AQ749" t="str">
        <f t="shared" si="154"/>
        <v>Lower-Mid</v>
      </c>
      <c r="AR749" t="str">
        <f t="shared" si="155"/>
        <v>0-2 Years</v>
      </c>
    </row>
    <row r="750" spans="1:44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46</v>
      </c>
      <c r="L750">
        <v>79</v>
      </c>
      <c r="M750">
        <v>1</v>
      </c>
      <c r="N750">
        <v>2</v>
      </c>
      <c r="O750" t="s">
        <v>40</v>
      </c>
      <c r="P750">
        <v>1</v>
      </c>
      <c r="Q750" t="s">
        <v>41</v>
      </c>
      <c r="R750">
        <v>4969</v>
      </c>
      <c r="S750">
        <v>8</v>
      </c>
      <c r="T750" t="s">
        <v>43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  <c r="AF750">
        <f t="shared" si="143"/>
        <v>1</v>
      </c>
      <c r="AG750">
        <f t="shared" si="144"/>
        <v>0</v>
      </c>
      <c r="AH750" t="str">
        <f t="shared" si="145"/>
        <v>College</v>
      </c>
      <c r="AI750" t="str">
        <f t="shared" si="146"/>
        <v>Medium</v>
      </c>
      <c r="AJ750" t="str">
        <f t="shared" si="147"/>
        <v>Low</v>
      </c>
      <c r="AK750" t="str">
        <f t="shared" si="148"/>
        <v>Junior</v>
      </c>
      <c r="AL750" t="str">
        <f t="shared" si="149"/>
        <v>Low</v>
      </c>
      <c r="AM750" t="str">
        <f t="shared" si="150"/>
        <v>Very High</v>
      </c>
      <c r="AN750" t="str">
        <f t="shared" si="151"/>
        <v>No Options</v>
      </c>
      <c r="AO750" t="str">
        <f t="shared" si="152"/>
        <v>Better</v>
      </c>
      <c r="AP750" t="str">
        <f t="shared" si="153"/>
        <v>25-34</v>
      </c>
      <c r="AQ750" t="str">
        <f t="shared" si="154"/>
        <v>Lower-Mid</v>
      </c>
      <c r="AR750" t="str">
        <f t="shared" si="155"/>
        <v>0-2 Years</v>
      </c>
    </row>
    <row r="751" spans="1:44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t="s">
        <v>39</v>
      </c>
      <c r="L751">
        <v>57</v>
      </c>
      <c r="M751">
        <v>1</v>
      </c>
      <c r="N751">
        <v>5</v>
      </c>
      <c r="O751" t="s">
        <v>56</v>
      </c>
      <c r="P751">
        <v>4</v>
      </c>
      <c r="Q751" t="s">
        <v>48</v>
      </c>
      <c r="R751">
        <v>19845</v>
      </c>
      <c r="S751">
        <v>1</v>
      </c>
      <c r="T751" t="s">
        <v>43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  <c r="AF751">
        <f t="shared" si="143"/>
        <v>1</v>
      </c>
      <c r="AG751">
        <f t="shared" si="144"/>
        <v>0</v>
      </c>
      <c r="AH751" t="str">
        <f t="shared" si="145"/>
        <v>Below College</v>
      </c>
      <c r="AI751" t="str">
        <f t="shared" si="146"/>
        <v>Low</v>
      </c>
      <c r="AJ751" t="str">
        <f t="shared" si="147"/>
        <v>Low</v>
      </c>
      <c r="AK751" t="str">
        <f t="shared" si="148"/>
        <v>Executive</v>
      </c>
      <c r="AL751" t="str">
        <f t="shared" si="149"/>
        <v>Very High</v>
      </c>
      <c r="AM751" t="str">
        <f t="shared" si="150"/>
        <v>Very High</v>
      </c>
      <c r="AN751" t="str">
        <f t="shared" si="151"/>
        <v>Low</v>
      </c>
      <c r="AO751" t="str">
        <f t="shared" si="152"/>
        <v>Better</v>
      </c>
      <c r="AP751" t="str">
        <f t="shared" si="153"/>
        <v>45-54</v>
      </c>
      <c r="AQ751" t="str">
        <f t="shared" si="154"/>
        <v>High</v>
      </c>
      <c r="AR751" t="str">
        <f t="shared" si="155"/>
        <v>20+ Years</v>
      </c>
    </row>
    <row r="752" spans="1:44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39</v>
      </c>
      <c r="L752">
        <v>53</v>
      </c>
      <c r="M752">
        <v>4</v>
      </c>
      <c r="N752">
        <v>4</v>
      </c>
      <c r="O752" t="s">
        <v>40</v>
      </c>
      <c r="P752">
        <v>4</v>
      </c>
      <c r="Q752" t="s">
        <v>48</v>
      </c>
      <c r="R752">
        <v>13320</v>
      </c>
      <c r="S752">
        <v>3</v>
      </c>
      <c r="T752" t="s">
        <v>35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  <c r="AF752">
        <f t="shared" si="143"/>
        <v>0</v>
      </c>
      <c r="AG752">
        <f t="shared" si="144"/>
        <v>1</v>
      </c>
      <c r="AH752" t="str">
        <f t="shared" si="145"/>
        <v>Bachelor</v>
      </c>
      <c r="AI752" t="str">
        <f t="shared" si="146"/>
        <v>Very High</v>
      </c>
      <c r="AJ752" t="str">
        <f t="shared" si="147"/>
        <v>Very High</v>
      </c>
      <c r="AK752" t="str">
        <f t="shared" si="148"/>
        <v>Senior</v>
      </c>
      <c r="AL752" t="str">
        <f t="shared" si="149"/>
        <v>Very High</v>
      </c>
      <c r="AM752" t="str">
        <f t="shared" si="150"/>
        <v>High</v>
      </c>
      <c r="AN752" t="str">
        <f t="shared" si="151"/>
        <v>Low</v>
      </c>
      <c r="AO752" t="str">
        <f t="shared" si="152"/>
        <v>Better</v>
      </c>
      <c r="AP752" t="str">
        <f t="shared" si="153"/>
        <v>35-44</v>
      </c>
      <c r="AQ752" t="str">
        <f t="shared" si="154"/>
        <v>High</v>
      </c>
      <c r="AR752" t="str">
        <f t="shared" si="155"/>
        <v>11-20 Years</v>
      </c>
    </row>
    <row r="753" spans="1:44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95</v>
      </c>
      <c r="M753">
        <v>3</v>
      </c>
      <c r="N753">
        <v>2</v>
      </c>
      <c r="O753" t="s">
        <v>40</v>
      </c>
      <c r="P753">
        <v>3</v>
      </c>
      <c r="Q753" t="s">
        <v>48</v>
      </c>
      <c r="R753">
        <v>6347</v>
      </c>
      <c r="S753">
        <v>0</v>
      </c>
      <c r="T753" t="s">
        <v>43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  <c r="AF753">
        <f t="shared" si="143"/>
        <v>0</v>
      </c>
      <c r="AG753">
        <f t="shared" si="144"/>
        <v>0</v>
      </c>
      <c r="AH753" t="str">
        <f t="shared" si="145"/>
        <v>Bachelor</v>
      </c>
      <c r="AI753" t="str">
        <f t="shared" si="146"/>
        <v>Very High</v>
      </c>
      <c r="AJ753" t="str">
        <f t="shared" si="147"/>
        <v>High</v>
      </c>
      <c r="AK753" t="str">
        <f t="shared" si="148"/>
        <v>Junior</v>
      </c>
      <c r="AL753" t="str">
        <f t="shared" si="149"/>
        <v>High</v>
      </c>
      <c r="AM753" t="str">
        <f t="shared" si="150"/>
        <v>Low</v>
      </c>
      <c r="AN753" t="str">
        <f t="shared" si="151"/>
        <v>Low</v>
      </c>
      <c r="AO753" t="str">
        <f t="shared" si="152"/>
        <v>Better</v>
      </c>
      <c r="AP753" t="str">
        <f t="shared" si="153"/>
        <v>45-54</v>
      </c>
      <c r="AQ753" t="str">
        <f t="shared" si="154"/>
        <v>Lower-Mid</v>
      </c>
      <c r="AR753" t="str">
        <f t="shared" si="155"/>
        <v>11-20 Years</v>
      </c>
    </row>
    <row r="754" spans="1:44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43</v>
      </c>
      <c r="M754">
        <v>4</v>
      </c>
      <c r="N754">
        <v>1</v>
      </c>
      <c r="O754" t="s">
        <v>50</v>
      </c>
      <c r="P754">
        <v>1</v>
      </c>
      <c r="Q754" t="s">
        <v>41</v>
      </c>
      <c r="R754">
        <v>2743</v>
      </c>
      <c r="S754">
        <v>1</v>
      </c>
      <c r="T754" t="s">
        <v>43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  <c r="AF754">
        <f t="shared" si="143"/>
        <v>1</v>
      </c>
      <c r="AG754">
        <f t="shared" si="144"/>
        <v>0</v>
      </c>
      <c r="AH754" t="str">
        <f t="shared" si="145"/>
        <v>Master</v>
      </c>
      <c r="AI754" t="str">
        <f t="shared" si="146"/>
        <v>High</v>
      </c>
      <c r="AJ754" t="str">
        <f t="shared" si="147"/>
        <v>Very High</v>
      </c>
      <c r="AK754" t="str">
        <f t="shared" si="148"/>
        <v>Entry</v>
      </c>
      <c r="AL754" t="str">
        <f t="shared" si="149"/>
        <v>Low</v>
      </c>
      <c r="AM754" t="str">
        <f t="shared" si="150"/>
        <v>High</v>
      </c>
      <c r="AN754" t="str">
        <f t="shared" si="151"/>
        <v>No Options</v>
      </c>
      <c r="AO754" t="str">
        <f t="shared" si="152"/>
        <v>Better</v>
      </c>
      <c r="AP754" t="str">
        <f t="shared" si="153"/>
        <v>35-44</v>
      </c>
      <c r="AQ754" t="str">
        <f t="shared" si="154"/>
        <v>Low</v>
      </c>
      <c r="AR754" t="str">
        <f t="shared" si="155"/>
        <v>11-20 Years</v>
      </c>
    </row>
    <row r="755" spans="1:44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39</v>
      </c>
      <c r="L755">
        <v>82</v>
      </c>
      <c r="M755">
        <v>3</v>
      </c>
      <c r="N755">
        <v>3</v>
      </c>
      <c r="O755" t="s">
        <v>53</v>
      </c>
      <c r="P755">
        <v>1</v>
      </c>
      <c r="Q755" t="s">
        <v>41</v>
      </c>
      <c r="R755">
        <v>10880</v>
      </c>
      <c r="S755">
        <v>1</v>
      </c>
      <c r="T755" t="s">
        <v>35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  <c r="AF755">
        <f t="shared" si="143"/>
        <v>0</v>
      </c>
      <c r="AG755">
        <f t="shared" si="144"/>
        <v>1</v>
      </c>
      <c r="AH755" t="str">
        <f t="shared" si="145"/>
        <v>Bachelor</v>
      </c>
      <c r="AI755" t="str">
        <f t="shared" si="146"/>
        <v>Very High</v>
      </c>
      <c r="AJ755" t="str">
        <f t="shared" si="147"/>
        <v>High</v>
      </c>
      <c r="AK755" t="str">
        <f t="shared" si="148"/>
        <v>Mid-Level</v>
      </c>
      <c r="AL755" t="str">
        <f t="shared" si="149"/>
        <v>Low</v>
      </c>
      <c r="AM755" t="str">
        <f t="shared" si="150"/>
        <v>High</v>
      </c>
      <c r="AN755" t="str">
        <f t="shared" si="151"/>
        <v>No Options</v>
      </c>
      <c r="AO755" t="str">
        <f t="shared" si="152"/>
        <v>Better</v>
      </c>
      <c r="AP755" t="str">
        <f t="shared" si="153"/>
        <v>35-44</v>
      </c>
      <c r="AQ755" t="str">
        <f t="shared" si="154"/>
        <v>Upper-Mid</v>
      </c>
      <c r="AR755" t="str">
        <f t="shared" si="155"/>
        <v>20+ Years</v>
      </c>
    </row>
    <row r="756" spans="1:44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88</v>
      </c>
      <c r="M756">
        <v>2</v>
      </c>
      <c r="N756">
        <v>1</v>
      </c>
      <c r="O756" t="s">
        <v>57</v>
      </c>
      <c r="P756">
        <v>4</v>
      </c>
      <c r="Q756" t="s">
        <v>41</v>
      </c>
      <c r="R756">
        <v>2342</v>
      </c>
      <c r="S756">
        <v>0</v>
      </c>
      <c r="T756" t="s">
        <v>43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f t="shared" si="143"/>
        <v>0</v>
      </c>
      <c r="AG756">
        <f t="shared" si="144"/>
        <v>0</v>
      </c>
      <c r="AH756" t="str">
        <f t="shared" si="145"/>
        <v>Below College</v>
      </c>
      <c r="AI756" t="str">
        <f t="shared" si="146"/>
        <v>Medium</v>
      </c>
      <c r="AJ756" t="str">
        <f t="shared" si="147"/>
        <v>Medium</v>
      </c>
      <c r="AK756" t="str">
        <f t="shared" si="148"/>
        <v>Entry</v>
      </c>
      <c r="AL756" t="str">
        <f t="shared" si="149"/>
        <v>Very High</v>
      </c>
      <c r="AM756" t="str">
        <f t="shared" si="150"/>
        <v>Very High</v>
      </c>
      <c r="AN756" t="str">
        <f t="shared" si="151"/>
        <v>No Options</v>
      </c>
      <c r="AO756" t="str">
        <f t="shared" si="152"/>
        <v>Good</v>
      </c>
      <c r="AP756" t="str">
        <f t="shared" si="153"/>
        <v>25-34</v>
      </c>
      <c r="AQ756" t="str">
        <f t="shared" si="154"/>
        <v>Low</v>
      </c>
      <c r="AR756" t="str">
        <f t="shared" si="155"/>
        <v>0-2 Years</v>
      </c>
    </row>
    <row r="757" spans="1:44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90</v>
      </c>
      <c r="M757">
        <v>3</v>
      </c>
      <c r="N757">
        <v>4</v>
      </c>
      <c r="O757" t="s">
        <v>56</v>
      </c>
      <c r="P757">
        <v>4</v>
      </c>
      <c r="Q757" t="s">
        <v>48</v>
      </c>
      <c r="R757">
        <v>17650</v>
      </c>
      <c r="S757">
        <v>3</v>
      </c>
      <c r="T757" t="s">
        <v>43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  <c r="AF757">
        <f t="shared" si="143"/>
        <v>0</v>
      </c>
      <c r="AG757">
        <f t="shared" si="144"/>
        <v>0</v>
      </c>
      <c r="AH757" t="str">
        <f t="shared" si="145"/>
        <v>College</v>
      </c>
      <c r="AI757" t="str">
        <f t="shared" si="146"/>
        <v>Very High</v>
      </c>
      <c r="AJ757" t="str">
        <f t="shared" si="147"/>
        <v>High</v>
      </c>
      <c r="AK757" t="str">
        <f t="shared" si="148"/>
        <v>Senior</v>
      </c>
      <c r="AL757" t="str">
        <f t="shared" si="149"/>
        <v>Very High</v>
      </c>
      <c r="AM757" t="str">
        <f t="shared" si="150"/>
        <v>Medium</v>
      </c>
      <c r="AN757" t="str">
        <f t="shared" si="151"/>
        <v>Low</v>
      </c>
      <c r="AO757" t="str">
        <f t="shared" si="152"/>
        <v>Best</v>
      </c>
      <c r="AP757" t="str">
        <f t="shared" si="153"/>
        <v>45-54</v>
      </c>
      <c r="AQ757" t="str">
        <f t="shared" si="154"/>
        <v>High</v>
      </c>
      <c r="AR757" t="str">
        <f t="shared" si="155"/>
        <v>6-10 Years</v>
      </c>
    </row>
    <row r="758" spans="1:44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39</v>
      </c>
      <c r="L758">
        <v>69</v>
      </c>
      <c r="M758">
        <v>3</v>
      </c>
      <c r="N758">
        <v>1</v>
      </c>
      <c r="O758" t="s">
        <v>50</v>
      </c>
      <c r="P758">
        <v>3</v>
      </c>
      <c r="Q758" t="s">
        <v>41</v>
      </c>
      <c r="R758">
        <v>4025</v>
      </c>
      <c r="S758">
        <v>9</v>
      </c>
      <c r="T758" t="s">
        <v>43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  <c r="AF758">
        <f t="shared" si="143"/>
        <v>0</v>
      </c>
      <c r="AG758">
        <f t="shared" si="144"/>
        <v>0</v>
      </c>
      <c r="AH758" t="str">
        <f t="shared" si="145"/>
        <v>Master</v>
      </c>
      <c r="AI758" t="str">
        <f t="shared" si="146"/>
        <v>Very High</v>
      </c>
      <c r="AJ758" t="str">
        <f t="shared" si="147"/>
        <v>High</v>
      </c>
      <c r="AK758" t="str">
        <f t="shared" si="148"/>
        <v>Entry</v>
      </c>
      <c r="AL758" t="str">
        <f t="shared" si="149"/>
        <v>High</v>
      </c>
      <c r="AM758" t="str">
        <f t="shared" si="150"/>
        <v>Medium</v>
      </c>
      <c r="AN758" t="str">
        <f t="shared" si="151"/>
        <v>No Options</v>
      </c>
      <c r="AO758" t="str">
        <f t="shared" si="152"/>
        <v>Better</v>
      </c>
      <c r="AP758" t="str">
        <f t="shared" si="153"/>
        <v>25-34</v>
      </c>
      <c r="AQ758" t="str">
        <f t="shared" si="154"/>
        <v>Lower-Mid</v>
      </c>
      <c r="AR758" t="str">
        <f t="shared" si="155"/>
        <v>6-10 Years</v>
      </c>
    </row>
    <row r="759" spans="1:44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t="s">
        <v>46</v>
      </c>
      <c r="L759">
        <v>75</v>
      </c>
      <c r="M759">
        <v>4</v>
      </c>
      <c r="N759">
        <v>2</v>
      </c>
      <c r="O759" t="s">
        <v>40</v>
      </c>
      <c r="P759">
        <v>4</v>
      </c>
      <c r="Q759" t="s">
        <v>52</v>
      </c>
      <c r="R759">
        <v>9725</v>
      </c>
      <c r="S759">
        <v>0</v>
      </c>
      <c r="T759" t="s">
        <v>43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  <c r="AF759">
        <f t="shared" si="143"/>
        <v>0</v>
      </c>
      <c r="AG759">
        <f t="shared" si="144"/>
        <v>0</v>
      </c>
      <c r="AH759" t="str">
        <f t="shared" si="145"/>
        <v>Master</v>
      </c>
      <c r="AI759" t="str">
        <f t="shared" si="146"/>
        <v>Medium</v>
      </c>
      <c r="AJ759" t="str">
        <f t="shared" si="147"/>
        <v>Very High</v>
      </c>
      <c r="AK759" t="str">
        <f t="shared" si="148"/>
        <v>Junior</v>
      </c>
      <c r="AL759" t="str">
        <f t="shared" si="149"/>
        <v>Very High</v>
      </c>
      <c r="AM759" t="str">
        <f t="shared" si="150"/>
        <v>Very High</v>
      </c>
      <c r="AN759" t="str">
        <f t="shared" si="151"/>
        <v>Low</v>
      </c>
      <c r="AO759" t="str">
        <f t="shared" si="152"/>
        <v>Good</v>
      </c>
      <c r="AP759" t="str">
        <f t="shared" si="153"/>
        <v>25-34</v>
      </c>
      <c r="AQ759" t="str">
        <f t="shared" si="154"/>
        <v>Upper-Mid</v>
      </c>
      <c r="AR759" t="str">
        <f t="shared" si="155"/>
        <v>11-20 Years</v>
      </c>
    </row>
    <row r="760" spans="1:44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t="s">
        <v>46</v>
      </c>
      <c r="L760">
        <v>66</v>
      </c>
      <c r="M760">
        <v>3</v>
      </c>
      <c r="N760">
        <v>3</v>
      </c>
      <c r="O760" t="s">
        <v>56</v>
      </c>
      <c r="P760">
        <v>4</v>
      </c>
      <c r="Q760" t="s">
        <v>48</v>
      </c>
      <c r="R760">
        <v>11904</v>
      </c>
      <c r="S760">
        <v>3</v>
      </c>
      <c r="T760" t="s">
        <v>35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  <c r="AF760">
        <f t="shared" si="143"/>
        <v>0</v>
      </c>
      <c r="AG760">
        <f t="shared" si="144"/>
        <v>1</v>
      </c>
      <c r="AH760" t="str">
        <f t="shared" si="145"/>
        <v>College</v>
      </c>
      <c r="AI760" t="str">
        <f t="shared" si="146"/>
        <v>Medium</v>
      </c>
      <c r="AJ760" t="str">
        <f t="shared" si="147"/>
        <v>High</v>
      </c>
      <c r="AK760" t="str">
        <f t="shared" si="148"/>
        <v>Mid-Level</v>
      </c>
      <c r="AL760" t="str">
        <f t="shared" si="149"/>
        <v>Very High</v>
      </c>
      <c r="AM760" t="str">
        <f t="shared" si="150"/>
        <v>High</v>
      </c>
      <c r="AN760" t="str">
        <f t="shared" si="151"/>
        <v>Low</v>
      </c>
      <c r="AO760" t="str">
        <f t="shared" si="152"/>
        <v>Bad</v>
      </c>
      <c r="AP760" t="str">
        <f t="shared" si="153"/>
        <v>55+</v>
      </c>
      <c r="AQ760" t="str">
        <f t="shared" si="154"/>
        <v>Upper-Mid</v>
      </c>
      <c r="AR760" t="str">
        <f t="shared" si="155"/>
        <v>6-10 Years</v>
      </c>
    </row>
    <row r="761" spans="1:44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46</v>
      </c>
      <c r="L761">
        <v>36</v>
      </c>
      <c r="M761">
        <v>3</v>
      </c>
      <c r="N761">
        <v>1</v>
      </c>
      <c r="O761" t="s">
        <v>61</v>
      </c>
      <c r="P761">
        <v>2</v>
      </c>
      <c r="Q761" t="s">
        <v>41</v>
      </c>
      <c r="R761">
        <v>2177</v>
      </c>
      <c r="S761">
        <v>1</v>
      </c>
      <c r="T761" t="s">
        <v>43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  <c r="AF761">
        <f t="shared" si="143"/>
        <v>0</v>
      </c>
      <c r="AG761">
        <f t="shared" si="144"/>
        <v>0</v>
      </c>
      <c r="AH761" t="str">
        <f t="shared" si="145"/>
        <v>Master</v>
      </c>
      <c r="AI761" t="str">
        <f t="shared" si="146"/>
        <v>Medium</v>
      </c>
      <c r="AJ761" t="str">
        <f t="shared" si="147"/>
        <v>High</v>
      </c>
      <c r="AK761" t="str">
        <f t="shared" si="148"/>
        <v>Entry</v>
      </c>
      <c r="AL761" t="str">
        <f t="shared" si="149"/>
        <v>Medium</v>
      </c>
      <c r="AM761" t="str">
        <f t="shared" si="150"/>
        <v>Low</v>
      </c>
      <c r="AN761" t="str">
        <f t="shared" si="151"/>
        <v>No Options</v>
      </c>
      <c r="AO761" t="str">
        <f t="shared" si="152"/>
        <v>Better</v>
      </c>
      <c r="AP761" t="str">
        <f t="shared" si="153"/>
        <v>45-54</v>
      </c>
      <c r="AQ761" t="str">
        <f t="shared" si="154"/>
        <v>Low</v>
      </c>
      <c r="AR761" t="str">
        <f t="shared" si="155"/>
        <v>6-10 Years</v>
      </c>
    </row>
    <row r="762" spans="1:44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t="s">
        <v>39</v>
      </c>
      <c r="L762">
        <v>38</v>
      </c>
      <c r="M762">
        <v>2</v>
      </c>
      <c r="N762">
        <v>3</v>
      </c>
      <c r="O762" t="s">
        <v>40</v>
      </c>
      <c r="P762">
        <v>2</v>
      </c>
      <c r="Q762" t="s">
        <v>48</v>
      </c>
      <c r="R762">
        <v>7525</v>
      </c>
      <c r="S762">
        <v>2</v>
      </c>
      <c r="T762" t="s">
        <v>43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  <c r="AF762">
        <f t="shared" si="143"/>
        <v>0</v>
      </c>
      <c r="AG762">
        <f t="shared" si="144"/>
        <v>0</v>
      </c>
      <c r="AH762" t="str">
        <f t="shared" si="145"/>
        <v>Bachelor</v>
      </c>
      <c r="AI762" t="str">
        <f t="shared" si="146"/>
        <v>High</v>
      </c>
      <c r="AJ762" t="str">
        <f t="shared" si="147"/>
        <v>Medium</v>
      </c>
      <c r="AK762" t="str">
        <f t="shared" si="148"/>
        <v>Mid-Level</v>
      </c>
      <c r="AL762" t="str">
        <f t="shared" si="149"/>
        <v>Medium</v>
      </c>
      <c r="AM762" t="str">
        <f t="shared" si="150"/>
        <v>Low</v>
      </c>
      <c r="AN762" t="str">
        <f t="shared" si="151"/>
        <v>Low</v>
      </c>
      <c r="AO762" t="str">
        <f t="shared" si="152"/>
        <v>Better</v>
      </c>
      <c r="AP762" t="str">
        <f t="shared" si="153"/>
        <v>45-54</v>
      </c>
      <c r="AQ762" t="str">
        <f t="shared" si="154"/>
        <v>Upper-Mid</v>
      </c>
      <c r="AR762" t="str">
        <f t="shared" si="155"/>
        <v>11-20 Years</v>
      </c>
    </row>
    <row r="763" spans="1:44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81</v>
      </c>
      <c r="M763">
        <v>3</v>
      </c>
      <c r="N763">
        <v>2</v>
      </c>
      <c r="O763" t="s">
        <v>50</v>
      </c>
      <c r="P763">
        <v>3</v>
      </c>
      <c r="Q763" t="s">
        <v>52</v>
      </c>
      <c r="R763">
        <v>4834</v>
      </c>
      <c r="S763">
        <v>7</v>
      </c>
      <c r="T763" t="s">
        <v>43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  <c r="AF763">
        <f t="shared" si="143"/>
        <v>1</v>
      </c>
      <c r="AG763">
        <f t="shared" si="144"/>
        <v>0</v>
      </c>
      <c r="AH763" t="str">
        <f t="shared" si="145"/>
        <v>Bachelor</v>
      </c>
      <c r="AI763" t="str">
        <f t="shared" si="146"/>
        <v>Low</v>
      </c>
      <c r="AJ763" t="str">
        <f t="shared" si="147"/>
        <v>High</v>
      </c>
      <c r="AK763" t="str">
        <f t="shared" si="148"/>
        <v>Junior</v>
      </c>
      <c r="AL763" t="str">
        <f t="shared" si="149"/>
        <v>High</v>
      </c>
      <c r="AM763" t="str">
        <f t="shared" si="150"/>
        <v>Medium</v>
      </c>
      <c r="AN763" t="str">
        <f t="shared" si="151"/>
        <v>Low</v>
      </c>
      <c r="AO763" t="str">
        <f t="shared" si="152"/>
        <v>Good</v>
      </c>
      <c r="AP763" t="str">
        <f t="shared" si="153"/>
        <v>35-44</v>
      </c>
      <c r="AQ763" t="str">
        <f t="shared" si="154"/>
        <v>Lower-Mid</v>
      </c>
      <c r="AR763" t="str">
        <f t="shared" si="155"/>
        <v>0-2 Years</v>
      </c>
    </row>
    <row r="764" spans="1:44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46</v>
      </c>
      <c r="L764">
        <v>57</v>
      </c>
      <c r="M764">
        <v>3</v>
      </c>
      <c r="N764">
        <v>1</v>
      </c>
      <c r="O764" t="s">
        <v>47</v>
      </c>
      <c r="P764">
        <v>1</v>
      </c>
      <c r="Q764" t="s">
        <v>48</v>
      </c>
      <c r="R764">
        <v>2042</v>
      </c>
      <c r="S764">
        <v>6</v>
      </c>
      <c r="T764" t="s">
        <v>35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  <c r="AF764">
        <f t="shared" si="143"/>
        <v>1</v>
      </c>
      <c r="AG764">
        <f t="shared" si="144"/>
        <v>1</v>
      </c>
      <c r="AH764" t="str">
        <f t="shared" si="145"/>
        <v>Bachelor</v>
      </c>
      <c r="AI764" t="str">
        <f t="shared" si="146"/>
        <v>Low</v>
      </c>
      <c r="AJ764" t="str">
        <f t="shared" si="147"/>
        <v>High</v>
      </c>
      <c r="AK764" t="str">
        <f t="shared" si="148"/>
        <v>Entry</v>
      </c>
      <c r="AL764" t="str">
        <f t="shared" si="149"/>
        <v>Low</v>
      </c>
      <c r="AM764" t="str">
        <f t="shared" si="150"/>
        <v>Medium</v>
      </c>
      <c r="AN764" t="str">
        <f t="shared" si="151"/>
        <v>Low</v>
      </c>
      <c r="AO764" t="str">
        <f t="shared" si="152"/>
        <v>Better</v>
      </c>
      <c r="AP764" t="str">
        <f t="shared" si="153"/>
        <v>25-34</v>
      </c>
      <c r="AQ764" t="str">
        <f t="shared" si="154"/>
        <v>Low</v>
      </c>
      <c r="AR764" t="str">
        <f t="shared" si="155"/>
        <v>3-5 Years</v>
      </c>
    </row>
    <row r="765" spans="1:44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87</v>
      </c>
      <c r="M765">
        <v>3</v>
      </c>
      <c r="N765">
        <v>1</v>
      </c>
      <c r="O765" t="s">
        <v>57</v>
      </c>
      <c r="P765">
        <v>3</v>
      </c>
      <c r="Q765" t="s">
        <v>48</v>
      </c>
      <c r="R765">
        <v>2220</v>
      </c>
      <c r="S765">
        <v>1</v>
      </c>
      <c r="T765" t="s">
        <v>35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  <c r="AF765">
        <f t="shared" si="143"/>
        <v>0</v>
      </c>
      <c r="AG765">
        <f t="shared" si="144"/>
        <v>1</v>
      </c>
      <c r="AH765" t="str">
        <f t="shared" si="145"/>
        <v>Master</v>
      </c>
      <c r="AI765" t="str">
        <f t="shared" si="146"/>
        <v>High</v>
      </c>
      <c r="AJ765" t="str">
        <f t="shared" si="147"/>
        <v>High</v>
      </c>
      <c r="AK765" t="str">
        <f t="shared" si="148"/>
        <v>Entry</v>
      </c>
      <c r="AL765" t="str">
        <f t="shared" si="149"/>
        <v>High</v>
      </c>
      <c r="AM765" t="str">
        <f t="shared" si="150"/>
        <v>Very High</v>
      </c>
      <c r="AN765" t="str">
        <f t="shared" si="151"/>
        <v>Low</v>
      </c>
      <c r="AO765" t="str">
        <f t="shared" si="152"/>
        <v>Better</v>
      </c>
      <c r="AP765" t="str">
        <f t="shared" si="153"/>
        <v>25-34</v>
      </c>
      <c r="AQ765" t="str">
        <f t="shared" si="154"/>
        <v>Low</v>
      </c>
      <c r="AR765" t="str">
        <f t="shared" si="155"/>
        <v>0-2 Years</v>
      </c>
    </row>
    <row r="766" spans="1:44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46</v>
      </c>
      <c r="L766">
        <v>74</v>
      </c>
      <c r="M766">
        <v>3</v>
      </c>
      <c r="N766">
        <v>1</v>
      </c>
      <c r="O766" t="s">
        <v>57</v>
      </c>
      <c r="P766">
        <v>2</v>
      </c>
      <c r="Q766" t="s">
        <v>48</v>
      </c>
      <c r="R766">
        <v>1052</v>
      </c>
      <c r="S766">
        <v>1</v>
      </c>
      <c r="T766" t="s">
        <v>43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  <c r="AF766">
        <f t="shared" si="143"/>
        <v>0</v>
      </c>
      <c r="AG766">
        <f t="shared" si="144"/>
        <v>0</v>
      </c>
      <c r="AH766" t="str">
        <f t="shared" si="145"/>
        <v>Below College</v>
      </c>
      <c r="AI766" t="str">
        <f t="shared" si="146"/>
        <v>Very High</v>
      </c>
      <c r="AJ766" t="str">
        <f t="shared" si="147"/>
        <v>High</v>
      </c>
      <c r="AK766" t="str">
        <f t="shared" si="148"/>
        <v>Entry</v>
      </c>
      <c r="AL766" t="str">
        <f t="shared" si="149"/>
        <v>Medium</v>
      </c>
      <c r="AM766" t="str">
        <f t="shared" si="150"/>
        <v>Medium</v>
      </c>
      <c r="AN766" t="str">
        <f t="shared" si="151"/>
        <v>No Options</v>
      </c>
      <c r="AO766" t="str">
        <f t="shared" si="152"/>
        <v>Better</v>
      </c>
      <c r="AP766" t="str">
        <f t="shared" si="153"/>
        <v>25-34</v>
      </c>
      <c r="AQ766" t="str">
        <f t="shared" si="154"/>
        <v>Low</v>
      </c>
      <c r="AR766" t="str">
        <f t="shared" si="155"/>
        <v>0-2 Years</v>
      </c>
    </row>
    <row r="767" spans="1:44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44</v>
      </c>
      <c r="M767">
        <v>3</v>
      </c>
      <c r="N767">
        <v>1</v>
      </c>
      <c r="O767" t="s">
        <v>47</v>
      </c>
      <c r="P767">
        <v>3</v>
      </c>
      <c r="Q767" t="s">
        <v>48</v>
      </c>
      <c r="R767">
        <v>2821</v>
      </c>
      <c r="S767">
        <v>3</v>
      </c>
      <c r="T767" t="s">
        <v>43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  <c r="AF767">
        <f t="shared" si="143"/>
        <v>0</v>
      </c>
      <c r="AG767">
        <f t="shared" si="144"/>
        <v>0</v>
      </c>
      <c r="AH767" t="str">
        <f t="shared" si="145"/>
        <v>Master</v>
      </c>
      <c r="AI767" t="str">
        <f t="shared" si="146"/>
        <v>High</v>
      </c>
      <c r="AJ767" t="str">
        <f t="shared" si="147"/>
        <v>High</v>
      </c>
      <c r="AK767" t="str">
        <f t="shared" si="148"/>
        <v>Entry</v>
      </c>
      <c r="AL767" t="str">
        <f t="shared" si="149"/>
        <v>High</v>
      </c>
      <c r="AM767" t="str">
        <f t="shared" si="150"/>
        <v>Low</v>
      </c>
      <c r="AN767" t="str">
        <f t="shared" si="151"/>
        <v>Low</v>
      </c>
      <c r="AO767" t="str">
        <f t="shared" si="152"/>
        <v>Better</v>
      </c>
      <c r="AP767" t="str">
        <f t="shared" si="153"/>
        <v>35-44</v>
      </c>
      <c r="AQ767" t="str">
        <f t="shared" si="154"/>
        <v>Low</v>
      </c>
      <c r="AR767" t="str">
        <f t="shared" si="155"/>
        <v>0-2 Years</v>
      </c>
    </row>
    <row r="768" spans="1:44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46</v>
      </c>
      <c r="L768">
        <v>62</v>
      </c>
      <c r="M768">
        <v>3</v>
      </c>
      <c r="N768">
        <v>5</v>
      </c>
      <c r="O768" t="s">
        <v>58</v>
      </c>
      <c r="P768">
        <v>3</v>
      </c>
      <c r="Q768" t="s">
        <v>48</v>
      </c>
      <c r="R768">
        <v>19237</v>
      </c>
      <c r="S768">
        <v>2</v>
      </c>
      <c r="T768" t="s">
        <v>35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  <c r="AF768">
        <f t="shared" si="143"/>
        <v>0</v>
      </c>
      <c r="AG768">
        <f t="shared" si="144"/>
        <v>1</v>
      </c>
      <c r="AH768" t="str">
        <f t="shared" si="145"/>
        <v>Master</v>
      </c>
      <c r="AI768" t="str">
        <f t="shared" si="146"/>
        <v>Medium</v>
      </c>
      <c r="AJ768" t="str">
        <f t="shared" si="147"/>
        <v>High</v>
      </c>
      <c r="AK768" t="str">
        <f t="shared" si="148"/>
        <v>Executive</v>
      </c>
      <c r="AL768" t="str">
        <f t="shared" si="149"/>
        <v>High</v>
      </c>
      <c r="AM768" t="str">
        <f t="shared" si="150"/>
        <v>Very High</v>
      </c>
      <c r="AN768" t="str">
        <f t="shared" si="151"/>
        <v>Low</v>
      </c>
      <c r="AO768" t="str">
        <f t="shared" si="152"/>
        <v>Good</v>
      </c>
      <c r="AP768" t="str">
        <f t="shared" si="153"/>
        <v>45-54</v>
      </c>
      <c r="AQ768" t="str">
        <f t="shared" si="154"/>
        <v>High</v>
      </c>
      <c r="AR768" t="str">
        <f t="shared" si="155"/>
        <v>6-10 Years</v>
      </c>
    </row>
    <row r="769" spans="1:44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39</v>
      </c>
      <c r="L769">
        <v>35</v>
      </c>
      <c r="M769">
        <v>3</v>
      </c>
      <c r="N769">
        <v>2</v>
      </c>
      <c r="O769" t="s">
        <v>54</v>
      </c>
      <c r="P769">
        <v>2</v>
      </c>
      <c r="Q769" t="s">
        <v>41</v>
      </c>
      <c r="R769">
        <v>4107</v>
      </c>
      <c r="S769">
        <v>3</v>
      </c>
      <c r="T769" t="s">
        <v>43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  <c r="AF769">
        <f t="shared" si="143"/>
        <v>0</v>
      </c>
      <c r="AG769">
        <f t="shared" si="144"/>
        <v>0</v>
      </c>
      <c r="AH769" t="str">
        <f t="shared" si="145"/>
        <v>Bachelor</v>
      </c>
      <c r="AI769" t="str">
        <f t="shared" si="146"/>
        <v>Very High</v>
      </c>
      <c r="AJ769" t="str">
        <f t="shared" si="147"/>
        <v>High</v>
      </c>
      <c r="AK769" t="str">
        <f t="shared" si="148"/>
        <v>Junior</v>
      </c>
      <c r="AL769" t="str">
        <f t="shared" si="149"/>
        <v>Medium</v>
      </c>
      <c r="AM769" t="str">
        <f t="shared" si="150"/>
        <v>Low</v>
      </c>
      <c r="AN769" t="str">
        <f t="shared" si="151"/>
        <v>No Options</v>
      </c>
      <c r="AO769" t="str">
        <f t="shared" si="152"/>
        <v>Good</v>
      </c>
      <c r="AP769" t="str">
        <f t="shared" si="153"/>
        <v>35-44</v>
      </c>
      <c r="AQ769" t="str">
        <f t="shared" si="154"/>
        <v>Lower-Mid</v>
      </c>
      <c r="AR769" t="str">
        <f t="shared" si="155"/>
        <v>3-5 Years</v>
      </c>
    </row>
    <row r="770" spans="1:44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t="s">
        <v>46</v>
      </c>
      <c r="L770">
        <v>74</v>
      </c>
      <c r="M770">
        <v>3</v>
      </c>
      <c r="N770">
        <v>2</v>
      </c>
      <c r="O770" t="s">
        <v>40</v>
      </c>
      <c r="P770">
        <v>1</v>
      </c>
      <c r="Q770" t="s">
        <v>48</v>
      </c>
      <c r="R770">
        <v>8396</v>
      </c>
      <c r="S770">
        <v>1</v>
      </c>
      <c r="T770" t="s">
        <v>43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  <c r="AF770">
        <f t="shared" si="143"/>
        <v>0</v>
      </c>
      <c r="AG770">
        <f t="shared" si="144"/>
        <v>0</v>
      </c>
      <c r="AH770" t="str">
        <f t="shared" si="145"/>
        <v>Bachelor</v>
      </c>
      <c r="AI770" t="str">
        <f t="shared" si="146"/>
        <v>High</v>
      </c>
      <c r="AJ770" t="str">
        <f t="shared" si="147"/>
        <v>High</v>
      </c>
      <c r="AK770" t="str">
        <f t="shared" si="148"/>
        <v>Junior</v>
      </c>
      <c r="AL770" t="str">
        <f t="shared" si="149"/>
        <v>Low</v>
      </c>
      <c r="AM770" t="str">
        <f t="shared" si="150"/>
        <v>Medium</v>
      </c>
      <c r="AN770" t="str">
        <f t="shared" si="151"/>
        <v>Low</v>
      </c>
      <c r="AO770" t="str">
        <f t="shared" si="152"/>
        <v>Good</v>
      </c>
      <c r="AP770" t="str">
        <f t="shared" si="153"/>
        <v>35-44</v>
      </c>
      <c r="AQ770" t="str">
        <f t="shared" si="154"/>
        <v>Upper-Mid</v>
      </c>
      <c r="AR770" t="str">
        <f t="shared" si="155"/>
        <v>6-10 Years</v>
      </c>
    </row>
    <row r="771" spans="1:44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39</v>
      </c>
      <c r="L771">
        <v>66</v>
      </c>
      <c r="M771">
        <v>2</v>
      </c>
      <c r="N771">
        <v>1</v>
      </c>
      <c r="O771" t="s">
        <v>47</v>
      </c>
      <c r="P771">
        <v>3</v>
      </c>
      <c r="Q771" t="s">
        <v>52</v>
      </c>
      <c r="R771">
        <v>2007</v>
      </c>
      <c r="S771">
        <v>1</v>
      </c>
      <c r="T771" t="s">
        <v>43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  <c r="AF771">
        <f t="shared" ref="AF771:AF834" si="156">IF(B771="Yes",1,0)</f>
        <v>0</v>
      </c>
      <c r="AG771">
        <f t="shared" ref="AG771:AG834" si="157">IF(T771="Yes",1,0)</f>
        <v>0</v>
      </c>
      <c r="AH771" t="str">
        <f t="shared" ref="AH771:AH834" si="158">CHOOSE(G771,"Below College","College","Bachelor","Master","Doctor")</f>
        <v>Below College</v>
      </c>
      <c r="AI771" t="str">
        <f t="shared" ref="AI771:AI834" si="159">CHOOSE(J771,"Low","Medium","High","Very High")</f>
        <v>Low</v>
      </c>
      <c r="AJ771" t="str">
        <f t="shared" ref="AJ771:AJ834" si="160">CHOOSE(M771,"Low","Medium","High","Very High")</f>
        <v>Medium</v>
      </c>
      <c r="AK771" t="str">
        <f t="shared" ref="AK771:AK834" si="161">CHOOSE(N771,"Entry","Junior","Mid-Level","Senior","Executive")</f>
        <v>Entry</v>
      </c>
      <c r="AL771" t="str">
        <f t="shared" ref="AL771:AL834" si="162">CHOOSE(P771,"Low","Medium","High","Very High")</f>
        <v>High</v>
      </c>
      <c r="AM771" t="str">
        <f t="shared" ref="AM771:AM834" si="163">CHOOSE(W771,"Low","Medium","High","Very High")</f>
        <v>High</v>
      </c>
      <c r="AN771" t="str">
        <f t="shared" ref="AN771:AN834" si="164">CHOOSE(X771+1,"No Options","Low","Medium","High")</f>
        <v>Medium</v>
      </c>
      <c r="AO771" t="str">
        <f t="shared" ref="AO771:AO834" si="165">CHOOSE(AA771,"Bad","Good","Better","Best")</f>
        <v>Better</v>
      </c>
      <c r="AP771" t="str">
        <f t="shared" ref="AP771:AP834" si="166">IF(A771&lt;=24,"Under 25",IF(A771&lt;=34,"25-34",IF(A771&lt;=44,"35-44",IF(A771&lt;=54,"45-54","55+"))))</f>
        <v>25-34</v>
      </c>
      <c r="AQ771" t="str">
        <f t="shared" ref="AQ771:AQ834" si="167">IF(R771&lt;3000,"Low",IF(R771&lt;7000,"Lower-Mid",IF(R771&lt;13000,"Upper-Mid","High")))</f>
        <v>Low</v>
      </c>
      <c r="AR771" t="str">
        <f t="shared" ref="AR771:AR834" si="168">IF(AB771&lt;=2,"0-2 Years",IF(AB771&lt;=5,"3-5 Years",IF(AB771&lt;=10,"6-10 Years",IF(AB771&lt;=20,"11-20 Years","20+ Years"))))</f>
        <v>3-5 Years</v>
      </c>
    </row>
    <row r="772" spans="1:44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46</v>
      </c>
      <c r="L772">
        <v>40</v>
      </c>
      <c r="M772">
        <v>3</v>
      </c>
      <c r="N772">
        <v>5</v>
      </c>
      <c r="O772" t="s">
        <v>58</v>
      </c>
      <c r="P772">
        <v>4</v>
      </c>
      <c r="Q772" t="s">
        <v>52</v>
      </c>
      <c r="R772">
        <v>19627</v>
      </c>
      <c r="S772">
        <v>9</v>
      </c>
      <c r="T772" t="s">
        <v>43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  <c r="AF772">
        <f t="shared" si="156"/>
        <v>0</v>
      </c>
      <c r="AG772">
        <f t="shared" si="157"/>
        <v>0</v>
      </c>
      <c r="AH772" t="str">
        <f t="shared" si="158"/>
        <v>Master</v>
      </c>
      <c r="AI772" t="str">
        <f t="shared" si="159"/>
        <v>Very High</v>
      </c>
      <c r="AJ772" t="str">
        <f t="shared" si="160"/>
        <v>High</v>
      </c>
      <c r="AK772" t="str">
        <f t="shared" si="161"/>
        <v>Executive</v>
      </c>
      <c r="AL772" t="str">
        <f t="shared" si="162"/>
        <v>Very High</v>
      </c>
      <c r="AM772" t="str">
        <f t="shared" si="163"/>
        <v>Very High</v>
      </c>
      <c r="AN772" t="str">
        <f t="shared" si="164"/>
        <v>Medium</v>
      </c>
      <c r="AO772" t="str">
        <f t="shared" si="165"/>
        <v>Better</v>
      </c>
      <c r="AP772" t="str">
        <f t="shared" si="166"/>
        <v>45-54</v>
      </c>
      <c r="AQ772" t="str">
        <f t="shared" si="167"/>
        <v>High</v>
      </c>
      <c r="AR772" t="str">
        <f t="shared" si="168"/>
        <v>0-2 Years</v>
      </c>
    </row>
    <row r="773" spans="1:44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41</v>
      </c>
      <c r="M773">
        <v>2</v>
      </c>
      <c r="N773">
        <v>3</v>
      </c>
      <c r="O773" t="s">
        <v>40</v>
      </c>
      <c r="P773">
        <v>3</v>
      </c>
      <c r="Q773" t="s">
        <v>48</v>
      </c>
      <c r="R773">
        <v>10686</v>
      </c>
      <c r="S773">
        <v>6</v>
      </c>
      <c r="T773" t="s">
        <v>43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  <c r="AF773">
        <f t="shared" si="156"/>
        <v>0</v>
      </c>
      <c r="AG773">
        <f t="shared" si="157"/>
        <v>0</v>
      </c>
      <c r="AH773" t="str">
        <f t="shared" si="158"/>
        <v>Master</v>
      </c>
      <c r="AI773" t="str">
        <f t="shared" si="159"/>
        <v>High</v>
      </c>
      <c r="AJ773" t="str">
        <f t="shared" si="160"/>
        <v>Medium</v>
      </c>
      <c r="AK773" t="str">
        <f t="shared" si="161"/>
        <v>Mid-Level</v>
      </c>
      <c r="AL773" t="str">
        <f t="shared" si="162"/>
        <v>High</v>
      </c>
      <c r="AM773" t="str">
        <f t="shared" si="163"/>
        <v>Medium</v>
      </c>
      <c r="AN773" t="str">
        <f t="shared" si="164"/>
        <v>Low</v>
      </c>
      <c r="AO773" t="str">
        <f t="shared" si="165"/>
        <v>Better</v>
      </c>
      <c r="AP773" t="str">
        <f t="shared" si="166"/>
        <v>45-54</v>
      </c>
      <c r="AQ773" t="str">
        <f t="shared" si="167"/>
        <v>Upper-Mid</v>
      </c>
      <c r="AR773" t="str">
        <f t="shared" si="168"/>
        <v>6-10 Years</v>
      </c>
    </row>
    <row r="774" spans="1:44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39</v>
      </c>
      <c r="L774">
        <v>63</v>
      </c>
      <c r="M774">
        <v>3</v>
      </c>
      <c r="N774">
        <v>1</v>
      </c>
      <c r="O774" t="s">
        <v>47</v>
      </c>
      <c r="P774">
        <v>3</v>
      </c>
      <c r="Q774" t="s">
        <v>48</v>
      </c>
      <c r="R774">
        <v>2942</v>
      </c>
      <c r="S774">
        <v>2</v>
      </c>
      <c r="T774" t="s">
        <v>43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  <c r="AF774">
        <f t="shared" si="156"/>
        <v>0</v>
      </c>
      <c r="AG774">
        <f t="shared" si="157"/>
        <v>0</v>
      </c>
      <c r="AH774" t="str">
        <f t="shared" si="158"/>
        <v>Bachelor</v>
      </c>
      <c r="AI774" t="str">
        <f t="shared" si="159"/>
        <v>Low</v>
      </c>
      <c r="AJ774" t="str">
        <f t="shared" si="160"/>
        <v>High</v>
      </c>
      <c r="AK774" t="str">
        <f t="shared" si="161"/>
        <v>Entry</v>
      </c>
      <c r="AL774" t="str">
        <f t="shared" si="162"/>
        <v>High</v>
      </c>
      <c r="AM774" t="str">
        <f t="shared" si="163"/>
        <v>Medium</v>
      </c>
      <c r="AN774" t="str">
        <f t="shared" si="164"/>
        <v>Low</v>
      </c>
      <c r="AO774" t="str">
        <f t="shared" si="165"/>
        <v>Better</v>
      </c>
      <c r="AP774" t="str">
        <f t="shared" si="166"/>
        <v>55+</v>
      </c>
      <c r="AQ774" t="str">
        <f t="shared" si="167"/>
        <v>Low</v>
      </c>
      <c r="AR774" t="str">
        <f t="shared" si="168"/>
        <v>3-5 Years</v>
      </c>
    </row>
    <row r="775" spans="1:44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39</v>
      </c>
      <c r="L775">
        <v>51</v>
      </c>
      <c r="M775">
        <v>2</v>
      </c>
      <c r="N775">
        <v>3</v>
      </c>
      <c r="O775" t="s">
        <v>53</v>
      </c>
      <c r="P775">
        <v>4</v>
      </c>
      <c r="Q775" t="s">
        <v>41</v>
      </c>
      <c r="R775">
        <v>8858</v>
      </c>
      <c r="S775">
        <v>0</v>
      </c>
      <c r="T775" t="s">
        <v>43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  <c r="AF775">
        <f t="shared" si="156"/>
        <v>0</v>
      </c>
      <c r="AG775">
        <f t="shared" si="157"/>
        <v>0</v>
      </c>
      <c r="AH775" t="str">
        <f t="shared" si="158"/>
        <v>Doctor</v>
      </c>
      <c r="AI775" t="str">
        <f t="shared" si="159"/>
        <v>Very High</v>
      </c>
      <c r="AJ775" t="str">
        <f t="shared" si="160"/>
        <v>Medium</v>
      </c>
      <c r="AK775" t="str">
        <f t="shared" si="161"/>
        <v>Mid-Level</v>
      </c>
      <c r="AL775" t="str">
        <f t="shared" si="162"/>
        <v>Very High</v>
      </c>
      <c r="AM775" t="str">
        <f t="shared" si="163"/>
        <v>Medium</v>
      </c>
      <c r="AN775" t="str">
        <f t="shared" si="164"/>
        <v>No Options</v>
      </c>
      <c r="AO775" t="str">
        <f t="shared" si="165"/>
        <v>Good</v>
      </c>
      <c r="AP775" t="str">
        <f t="shared" si="166"/>
        <v>35-44</v>
      </c>
      <c r="AQ775" t="str">
        <f t="shared" si="167"/>
        <v>Upper-Mid</v>
      </c>
      <c r="AR775" t="str">
        <f t="shared" si="168"/>
        <v>11-20 Years</v>
      </c>
    </row>
    <row r="776" spans="1:44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46</v>
      </c>
      <c r="L776">
        <v>40</v>
      </c>
      <c r="M776">
        <v>2</v>
      </c>
      <c r="N776">
        <v>4</v>
      </c>
      <c r="O776" t="s">
        <v>56</v>
      </c>
      <c r="P776">
        <v>1</v>
      </c>
      <c r="Q776" t="s">
        <v>41</v>
      </c>
      <c r="R776">
        <v>16756</v>
      </c>
      <c r="S776">
        <v>7</v>
      </c>
      <c r="T776" t="s">
        <v>43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  <c r="AF776">
        <f t="shared" si="156"/>
        <v>0</v>
      </c>
      <c r="AG776">
        <f t="shared" si="157"/>
        <v>0</v>
      </c>
      <c r="AH776" t="str">
        <f t="shared" si="158"/>
        <v>Below College</v>
      </c>
      <c r="AI776" t="str">
        <f t="shared" si="159"/>
        <v>High</v>
      </c>
      <c r="AJ776" t="str">
        <f t="shared" si="160"/>
        <v>Medium</v>
      </c>
      <c r="AK776" t="str">
        <f t="shared" si="161"/>
        <v>Senior</v>
      </c>
      <c r="AL776" t="str">
        <f t="shared" si="162"/>
        <v>Low</v>
      </c>
      <c r="AM776" t="str">
        <f t="shared" si="163"/>
        <v>Medium</v>
      </c>
      <c r="AN776" t="str">
        <f t="shared" si="164"/>
        <v>No Options</v>
      </c>
      <c r="AO776" t="str">
        <f t="shared" si="165"/>
        <v>Best</v>
      </c>
      <c r="AP776" t="str">
        <f t="shared" si="166"/>
        <v>55+</v>
      </c>
      <c r="AQ776" t="str">
        <f t="shared" si="167"/>
        <v>High</v>
      </c>
      <c r="AR776" t="str">
        <f t="shared" si="168"/>
        <v>6-10 Years</v>
      </c>
    </row>
    <row r="777" spans="1:44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46</v>
      </c>
      <c r="L777">
        <v>79</v>
      </c>
      <c r="M777">
        <v>2</v>
      </c>
      <c r="N777">
        <v>3</v>
      </c>
      <c r="O777" t="s">
        <v>40</v>
      </c>
      <c r="P777">
        <v>4</v>
      </c>
      <c r="Q777" t="s">
        <v>52</v>
      </c>
      <c r="R777">
        <v>10798</v>
      </c>
      <c r="S777">
        <v>5</v>
      </c>
      <c r="T777" t="s">
        <v>43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  <c r="AF777">
        <f t="shared" si="156"/>
        <v>0</v>
      </c>
      <c r="AG777">
        <f t="shared" si="157"/>
        <v>0</v>
      </c>
      <c r="AH777" t="str">
        <f t="shared" si="158"/>
        <v>Bachelor</v>
      </c>
      <c r="AI777" t="str">
        <f t="shared" si="159"/>
        <v>High</v>
      </c>
      <c r="AJ777" t="str">
        <f t="shared" si="160"/>
        <v>Medium</v>
      </c>
      <c r="AK777" t="str">
        <f t="shared" si="161"/>
        <v>Mid-Level</v>
      </c>
      <c r="AL777" t="str">
        <f t="shared" si="162"/>
        <v>Very High</v>
      </c>
      <c r="AM777" t="str">
        <f t="shared" si="163"/>
        <v>High</v>
      </c>
      <c r="AN777" t="str">
        <f t="shared" si="164"/>
        <v>Low</v>
      </c>
      <c r="AO777" t="str">
        <f t="shared" si="165"/>
        <v>Better</v>
      </c>
      <c r="AP777" t="str">
        <f t="shared" si="166"/>
        <v>35-44</v>
      </c>
      <c r="AQ777" t="str">
        <f t="shared" si="167"/>
        <v>Upper-Mid</v>
      </c>
      <c r="AR777" t="str">
        <f t="shared" si="168"/>
        <v>0-2 Years</v>
      </c>
    </row>
    <row r="778" spans="1:44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t="s">
        <v>39</v>
      </c>
      <c r="L778">
        <v>54</v>
      </c>
      <c r="M778">
        <v>3</v>
      </c>
      <c r="N778">
        <v>1</v>
      </c>
      <c r="O778" t="s">
        <v>57</v>
      </c>
      <c r="P778">
        <v>4</v>
      </c>
      <c r="Q778" t="s">
        <v>41</v>
      </c>
      <c r="R778">
        <v>2323</v>
      </c>
      <c r="S778">
        <v>1</v>
      </c>
      <c r="T778" t="s">
        <v>35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  <c r="AF778">
        <f t="shared" si="156"/>
        <v>1</v>
      </c>
      <c r="AG778">
        <f t="shared" si="157"/>
        <v>1</v>
      </c>
      <c r="AH778" t="str">
        <f t="shared" si="158"/>
        <v>Bachelor</v>
      </c>
      <c r="AI778" t="str">
        <f t="shared" si="159"/>
        <v>Very High</v>
      </c>
      <c r="AJ778" t="str">
        <f t="shared" si="160"/>
        <v>High</v>
      </c>
      <c r="AK778" t="str">
        <f t="shared" si="161"/>
        <v>Entry</v>
      </c>
      <c r="AL778" t="str">
        <f t="shared" si="162"/>
        <v>Very High</v>
      </c>
      <c r="AM778" t="str">
        <f t="shared" si="163"/>
        <v>Medium</v>
      </c>
      <c r="AN778" t="str">
        <f t="shared" si="164"/>
        <v>No Options</v>
      </c>
      <c r="AO778" t="str">
        <f t="shared" si="165"/>
        <v>Better</v>
      </c>
      <c r="AP778" t="str">
        <f t="shared" si="166"/>
        <v>Under 25</v>
      </c>
      <c r="AQ778" t="str">
        <f t="shared" si="167"/>
        <v>Low</v>
      </c>
      <c r="AR778" t="str">
        <f t="shared" si="168"/>
        <v>0-2 Years</v>
      </c>
    </row>
    <row r="779" spans="1:44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36</v>
      </c>
      <c r="M779">
        <v>2</v>
      </c>
      <c r="N779">
        <v>1</v>
      </c>
      <c r="O779" t="s">
        <v>50</v>
      </c>
      <c r="P779">
        <v>1</v>
      </c>
      <c r="Q779" t="s">
        <v>41</v>
      </c>
      <c r="R779">
        <v>1416</v>
      </c>
      <c r="S779">
        <v>1</v>
      </c>
      <c r="T779" t="s">
        <v>43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  <c r="AF779">
        <f t="shared" si="156"/>
        <v>1</v>
      </c>
      <c r="AG779">
        <f t="shared" si="157"/>
        <v>0</v>
      </c>
      <c r="AH779" t="str">
        <f t="shared" si="158"/>
        <v>Bachelor</v>
      </c>
      <c r="AI779" t="str">
        <f t="shared" si="159"/>
        <v>High</v>
      </c>
      <c r="AJ779" t="str">
        <f t="shared" si="160"/>
        <v>Medium</v>
      </c>
      <c r="AK779" t="str">
        <f t="shared" si="161"/>
        <v>Entry</v>
      </c>
      <c r="AL779" t="str">
        <f t="shared" si="162"/>
        <v>Low</v>
      </c>
      <c r="AM779" t="str">
        <f t="shared" si="163"/>
        <v>Low</v>
      </c>
      <c r="AN779" t="str">
        <f t="shared" si="164"/>
        <v>No Options</v>
      </c>
      <c r="AO779" t="str">
        <f t="shared" si="165"/>
        <v>Good</v>
      </c>
      <c r="AP779" t="str">
        <f t="shared" si="166"/>
        <v>Under 25</v>
      </c>
      <c r="AQ779" t="str">
        <f t="shared" si="167"/>
        <v>Low</v>
      </c>
      <c r="AR779" t="str">
        <f t="shared" si="168"/>
        <v>0-2 Years</v>
      </c>
    </row>
    <row r="780" spans="1:44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74</v>
      </c>
      <c r="M780">
        <v>2</v>
      </c>
      <c r="N780">
        <v>2</v>
      </c>
      <c r="O780" t="s">
        <v>47</v>
      </c>
      <c r="P780">
        <v>1</v>
      </c>
      <c r="Q780" t="s">
        <v>52</v>
      </c>
      <c r="R780">
        <v>4615</v>
      </c>
      <c r="S780">
        <v>8</v>
      </c>
      <c r="T780" t="s">
        <v>35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  <c r="AF780">
        <f t="shared" si="156"/>
        <v>0</v>
      </c>
      <c r="AG780">
        <f t="shared" si="157"/>
        <v>1</v>
      </c>
      <c r="AH780" t="str">
        <f t="shared" si="158"/>
        <v>Master</v>
      </c>
      <c r="AI780" t="str">
        <f t="shared" si="159"/>
        <v>Very High</v>
      </c>
      <c r="AJ780" t="str">
        <f t="shared" si="160"/>
        <v>Medium</v>
      </c>
      <c r="AK780" t="str">
        <f t="shared" si="161"/>
        <v>Junior</v>
      </c>
      <c r="AL780" t="str">
        <f t="shared" si="162"/>
        <v>Low</v>
      </c>
      <c r="AM780" t="str">
        <f t="shared" si="163"/>
        <v>Low</v>
      </c>
      <c r="AN780" t="str">
        <f t="shared" si="164"/>
        <v>High</v>
      </c>
      <c r="AO780" t="str">
        <f t="shared" si="165"/>
        <v>Better</v>
      </c>
      <c r="AP780" t="str">
        <f t="shared" si="166"/>
        <v>45-54</v>
      </c>
      <c r="AQ780" t="str">
        <f t="shared" si="167"/>
        <v>Lower-Mid</v>
      </c>
      <c r="AR780" t="str">
        <f t="shared" si="168"/>
        <v>11-20 Years</v>
      </c>
    </row>
    <row r="781" spans="1:44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46</v>
      </c>
      <c r="L781">
        <v>34</v>
      </c>
      <c r="M781">
        <v>3</v>
      </c>
      <c r="N781">
        <v>1</v>
      </c>
      <c r="O781" t="s">
        <v>47</v>
      </c>
      <c r="P781">
        <v>3</v>
      </c>
      <c r="Q781" t="s">
        <v>48</v>
      </c>
      <c r="R781">
        <v>2461</v>
      </c>
      <c r="S781">
        <v>9</v>
      </c>
      <c r="T781" t="s">
        <v>35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  <c r="AF781">
        <f t="shared" si="156"/>
        <v>1</v>
      </c>
      <c r="AG781">
        <f t="shared" si="157"/>
        <v>1</v>
      </c>
      <c r="AH781" t="str">
        <f t="shared" si="158"/>
        <v>Master</v>
      </c>
      <c r="AI781" t="str">
        <f t="shared" si="159"/>
        <v>Low</v>
      </c>
      <c r="AJ781" t="str">
        <f t="shared" si="160"/>
        <v>High</v>
      </c>
      <c r="AK781" t="str">
        <f t="shared" si="161"/>
        <v>Entry</v>
      </c>
      <c r="AL781" t="str">
        <f t="shared" si="162"/>
        <v>High</v>
      </c>
      <c r="AM781" t="str">
        <f t="shared" si="163"/>
        <v>High</v>
      </c>
      <c r="AN781" t="str">
        <f t="shared" si="164"/>
        <v>High</v>
      </c>
      <c r="AO781" t="str">
        <f t="shared" si="165"/>
        <v>Best</v>
      </c>
      <c r="AP781" t="str">
        <f t="shared" si="166"/>
        <v>45-54</v>
      </c>
      <c r="AQ781" t="str">
        <f t="shared" si="167"/>
        <v>Low</v>
      </c>
      <c r="AR781" t="str">
        <f t="shared" si="168"/>
        <v>6-10 Years</v>
      </c>
    </row>
    <row r="782" spans="1:44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t="s">
        <v>46</v>
      </c>
      <c r="L782">
        <v>72</v>
      </c>
      <c r="M782">
        <v>2</v>
      </c>
      <c r="N782">
        <v>3</v>
      </c>
      <c r="O782" t="s">
        <v>54</v>
      </c>
      <c r="P782">
        <v>1</v>
      </c>
      <c r="Q782" t="s">
        <v>41</v>
      </c>
      <c r="R782">
        <v>8722</v>
      </c>
      <c r="S782">
        <v>1</v>
      </c>
      <c r="T782" t="s">
        <v>43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  <c r="AF782">
        <f t="shared" si="156"/>
        <v>1</v>
      </c>
      <c r="AG782">
        <f t="shared" si="157"/>
        <v>0</v>
      </c>
      <c r="AH782" t="str">
        <f t="shared" si="158"/>
        <v>College</v>
      </c>
      <c r="AI782" t="str">
        <f t="shared" si="159"/>
        <v>Medium</v>
      </c>
      <c r="AJ782" t="str">
        <f t="shared" si="160"/>
        <v>Medium</v>
      </c>
      <c r="AK782" t="str">
        <f t="shared" si="161"/>
        <v>Mid-Level</v>
      </c>
      <c r="AL782" t="str">
        <f t="shared" si="162"/>
        <v>Low</v>
      </c>
      <c r="AM782" t="str">
        <f t="shared" si="163"/>
        <v>Low</v>
      </c>
      <c r="AN782" t="str">
        <f t="shared" si="164"/>
        <v>No Options</v>
      </c>
      <c r="AO782" t="str">
        <f t="shared" si="165"/>
        <v>Good</v>
      </c>
      <c r="AP782" t="str">
        <f t="shared" si="166"/>
        <v>25-34</v>
      </c>
      <c r="AQ782" t="str">
        <f t="shared" si="167"/>
        <v>Upper-Mid</v>
      </c>
      <c r="AR782" t="str">
        <f t="shared" si="168"/>
        <v>6-10 Years</v>
      </c>
    </row>
    <row r="783" spans="1:44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46</v>
      </c>
      <c r="L783">
        <v>59</v>
      </c>
      <c r="M783">
        <v>2</v>
      </c>
      <c r="N783">
        <v>1</v>
      </c>
      <c r="O783" t="s">
        <v>50</v>
      </c>
      <c r="P783">
        <v>1</v>
      </c>
      <c r="Q783" t="s">
        <v>48</v>
      </c>
      <c r="R783">
        <v>3955</v>
      </c>
      <c r="S783">
        <v>1</v>
      </c>
      <c r="T783" t="s">
        <v>43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  <c r="AF783">
        <f t="shared" si="156"/>
        <v>0</v>
      </c>
      <c r="AG783">
        <f t="shared" si="157"/>
        <v>0</v>
      </c>
      <c r="AH783" t="str">
        <f t="shared" si="158"/>
        <v>College</v>
      </c>
      <c r="AI783" t="str">
        <f t="shared" si="159"/>
        <v>Low</v>
      </c>
      <c r="AJ783" t="str">
        <f t="shared" si="160"/>
        <v>Medium</v>
      </c>
      <c r="AK783" t="str">
        <f t="shared" si="161"/>
        <v>Entry</v>
      </c>
      <c r="AL783" t="str">
        <f t="shared" si="162"/>
        <v>Low</v>
      </c>
      <c r="AM783" t="str">
        <f t="shared" si="163"/>
        <v>Low</v>
      </c>
      <c r="AN783" t="str">
        <f t="shared" si="164"/>
        <v>Medium</v>
      </c>
      <c r="AO783" t="str">
        <f t="shared" si="165"/>
        <v>Better</v>
      </c>
      <c r="AP783" t="str">
        <f t="shared" si="166"/>
        <v>25-34</v>
      </c>
      <c r="AQ783" t="str">
        <f t="shared" si="167"/>
        <v>Lower-Mid</v>
      </c>
      <c r="AR783" t="str">
        <f t="shared" si="168"/>
        <v>3-5 Years</v>
      </c>
    </row>
    <row r="784" spans="1:44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85</v>
      </c>
      <c r="M784">
        <v>3</v>
      </c>
      <c r="N784">
        <v>2</v>
      </c>
      <c r="O784" t="s">
        <v>53</v>
      </c>
      <c r="P784">
        <v>1</v>
      </c>
      <c r="Q784" t="s">
        <v>48</v>
      </c>
      <c r="R784">
        <v>9957</v>
      </c>
      <c r="S784">
        <v>0</v>
      </c>
      <c r="T784" t="s">
        <v>43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  <c r="AF784">
        <f t="shared" si="156"/>
        <v>0</v>
      </c>
      <c r="AG784">
        <f t="shared" si="157"/>
        <v>0</v>
      </c>
      <c r="AH784" t="str">
        <f t="shared" si="158"/>
        <v>Bachelor</v>
      </c>
      <c r="AI784" t="str">
        <f t="shared" si="159"/>
        <v>High</v>
      </c>
      <c r="AJ784" t="str">
        <f t="shared" si="160"/>
        <v>High</v>
      </c>
      <c r="AK784" t="str">
        <f t="shared" si="161"/>
        <v>Junior</v>
      </c>
      <c r="AL784" t="str">
        <f t="shared" si="162"/>
        <v>Low</v>
      </c>
      <c r="AM784" t="str">
        <f t="shared" si="163"/>
        <v>High</v>
      </c>
      <c r="AN784" t="str">
        <f t="shared" si="164"/>
        <v>Low</v>
      </c>
      <c r="AO784" t="str">
        <f t="shared" si="165"/>
        <v>Good</v>
      </c>
      <c r="AP784" t="str">
        <f t="shared" si="166"/>
        <v>25-34</v>
      </c>
      <c r="AQ784" t="str">
        <f t="shared" si="167"/>
        <v>Upper-Mid</v>
      </c>
      <c r="AR784" t="str">
        <f t="shared" si="168"/>
        <v>6-10 Years</v>
      </c>
    </row>
    <row r="785" spans="1:44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t="s">
        <v>39</v>
      </c>
      <c r="L785">
        <v>43</v>
      </c>
      <c r="M785">
        <v>4</v>
      </c>
      <c r="N785">
        <v>1</v>
      </c>
      <c r="O785" t="s">
        <v>47</v>
      </c>
      <c r="P785">
        <v>3</v>
      </c>
      <c r="Q785" t="s">
        <v>48</v>
      </c>
      <c r="R785">
        <v>3376</v>
      </c>
      <c r="S785">
        <v>1</v>
      </c>
      <c r="T785" t="s">
        <v>43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  <c r="AF785">
        <f t="shared" si="156"/>
        <v>0</v>
      </c>
      <c r="AG785">
        <f t="shared" si="157"/>
        <v>0</v>
      </c>
      <c r="AH785" t="str">
        <f t="shared" si="158"/>
        <v>College</v>
      </c>
      <c r="AI785" t="str">
        <f t="shared" si="159"/>
        <v>Medium</v>
      </c>
      <c r="AJ785" t="str">
        <f t="shared" si="160"/>
        <v>Very High</v>
      </c>
      <c r="AK785" t="str">
        <f t="shared" si="161"/>
        <v>Entry</v>
      </c>
      <c r="AL785" t="str">
        <f t="shared" si="162"/>
        <v>High</v>
      </c>
      <c r="AM785" t="str">
        <f t="shared" si="163"/>
        <v>High</v>
      </c>
      <c r="AN785" t="str">
        <f t="shared" si="164"/>
        <v>No Options</v>
      </c>
      <c r="AO785" t="str">
        <f t="shared" si="165"/>
        <v>Better</v>
      </c>
      <c r="AP785" t="str">
        <f t="shared" si="166"/>
        <v>35-44</v>
      </c>
      <c r="AQ785" t="str">
        <f t="shared" si="167"/>
        <v>Lower-Mid</v>
      </c>
      <c r="AR785" t="str">
        <f t="shared" si="168"/>
        <v>6-10 Years</v>
      </c>
    </row>
    <row r="786" spans="1:44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65</v>
      </c>
      <c r="M786">
        <v>2</v>
      </c>
      <c r="N786">
        <v>3</v>
      </c>
      <c r="O786" t="s">
        <v>54</v>
      </c>
      <c r="P786">
        <v>3</v>
      </c>
      <c r="Q786" t="s">
        <v>48</v>
      </c>
      <c r="R786">
        <v>8823</v>
      </c>
      <c r="S786">
        <v>0</v>
      </c>
      <c r="T786" t="s">
        <v>43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  <c r="AF786">
        <f t="shared" si="156"/>
        <v>0</v>
      </c>
      <c r="AG786">
        <f t="shared" si="157"/>
        <v>0</v>
      </c>
      <c r="AH786" t="str">
        <f t="shared" si="158"/>
        <v>Below College</v>
      </c>
      <c r="AI786" t="str">
        <f t="shared" si="159"/>
        <v>High</v>
      </c>
      <c r="AJ786" t="str">
        <f t="shared" si="160"/>
        <v>Medium</v>
      </c>
      <c r="AK786" t="str">
        <f t="shared" si="161"/>
        <v>Mid-Level</v>
      </c>
      <c r="AL786" t="str">
        <f t="shared" si="162"/>
        <v>High</v>
      </c>
      <c r="AM786" t="str">
        <f t="shared" si="163"/>
        <v>Low</v>
      </c>
      <c r="AN786" t="str">
        <f t="shared" si="164"/>
        <v>Low</v>
      </c>
      <c r="AO786" t="str">
        <f t="shared" si="165"/>
        <v>Good</v>
      </c>
      <c r="AP786" t="str">
        <f t="shared" si="166"/>
        <v>35-44</v>
      </c>
      <c r="AQ786" t="str">
        <f t="shared" si="167"/>
        <v>Upper-Mid</v>
      </c>
      <c r="AR786" t="str">
        <f t="shared" si="168"/>
        <v>11-20 Years</v>
      </c>
    </row>
    <row r="787" spans="1:44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t="s">
        <v>46</v>
      </c>
      <c r="L787">
        <v>61</v>
      </c>
      <c r="M787">
        <v>3</v>
      </c>
      <c r="N787">
        <v>3</v>
      </c>
      <c r="O787" t="s">
        <v>54</v>
      </c>
      <c r="P787">
        <v>4</v>
      </c>
      <c r="Q787" t="s">
        <v>48</v>
      </c>
      <c r="R787">
        <v>10322</v>
      </c>
      <c r="S787">
        <v>4</v>
      </c>
      <c r="T787" t="s">
        <v>43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  <c r="AF787">
        <f t="shared" si="156"/>
        <v>0</v>
      </c>
      <c r="AG787">
        <f t="shared" si="157"/>
        <v>0</v>
      </c>
      <c r="AH787" t="str">
        <f t="shared" si="158"/>
        <v>Master</v>
      </c>
      <c r="AI787" t="str">
        <f t="shared" si="159"/>
        <v>Low</v>
      </c>
      <c r="AJ787" t="str">
        <f t="shared" si="160"/>
        <v>High</v>
      </c>
      <c r="AK787" t="str">
        <f t="shared" si="161"/>
        <v>Mid-Level</v>
      </c>
      <c r="AL787" t="str">
        <f t="shared" si="162"/>
        <v>Very High</v>
      </c>
      <c r="AM787" t="str">
        <f t="shared" si="163"/>
        <v>Very High</v>
      </c>
      <c r="AN787" t="str">
        <f t="shared" si="164"/>
        <v>Low</v>
      </c>
      <c r="AO787" t="str">
        <f t="shared" si="165"/>
        <v>Better</v>
      </c>
      <c r="AP787" t="str">
        <f t="shared" si="166"/>
        <v>35-44</v>
      </c>
      <c r="AQ787" t="str">
        <f t="shared" si="167"/>
        <v>Upper-Mid</v>
      </c>
      <c r="AR787" t="str">
        <f t="shared" si="168"/>
        <v>11-20 Years</v>
      </c>
    </row>
    <row r="788" spans="1:44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46</v>
      </c>
      <c r="L788">
        <v>87</v>
      </c>
      <c r="M788">
        <v>1</v>
      </c>
      <c r="N788">
        <v>1</v>
      </c>
      <c r="O788" t="s">
        <v>50</v>
      </c>
      <c r="P788">
        <v>3</v>
      </c>
      <c r="Q788" t="s">
        <v>48</v>
      </c>
      <c r="R788">
        <v>4621</v>
      </c>
      <c r="S788">
        <v>1</v>
      </c>
      <c r="T788" t="s">
        <v>43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  <c r="AF788">
        <f t="shared" si="156"/>
        <v>0</v>
      </c>
      <c r="AG788">
        <f t="shared" si="157"/>
        <v>0</v>
      </c>
      <c r="AH788" t="str">
        <f t="shared" si="158"/>
        <v>Doctor</v>
      </c>
      <c r="AI788" t="str">
        <f t="shared" si="159"/>
        <v>Low</v>
      </c>
      <c r="AJ788" t="str">
        <f t="shared" si="160"/>
        <v>Low</v>
      </c>
      <c r="AK788" t="str">
        <f t="shared" si="161"/>
        <v>Entry</v>
      </c>
      <c r="AL788" t="str">
        <f t="shared" si="162"/>
        <v>High</v>
      </c>
      <c r="AM788" t="str">
        <f t="shared" si="163"/>
        <v>Very High</v>
      </c>
      <c r="AN788" t="str">
        <f t="shared" si="164"/>
        <v>High</v>
      </c>
      <c r="AO788" t="str">
        <f t="shared" si="165"/>
        <v>Better</v>
      </c>
      <c r="AP788" t="str">
        <f t="shared" si="166"/>
        <v>25-34</v>
      </c>
      <c r="AQ788" t="str">
        <f t="shared" si="167"/>
        <v>Lower-Mid</v>
      </c>
      <c r="AR788" t="str">
        <f t="shared" si="168"/>
        <v>3-5 Years</v>
      </c>
    </row>
    <row r="789" spans="1:44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46</v>
      </c>
      <c r="L789">
        <v>65</v>
      </c>
      <c r="M789">
        <v>3</v>
      </c>
      <c r="N789">
        <v>3</v>
      </c>
      <c r="O789" t="s">
        <v>53</v>
      </c>
      <c r="P789">
        <v>2</v>
      </c>
      <c r="Q789" t="s">
        <v>48</v>
      </c>
      <c r="R789">
        <v>10976</v>
      </c>
      <c r="S789">
        <v>3</v>
      </c>
      <c r="T789" t="s">
        <v>43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  <c r="AF789">
        <f t="shared" si="156"/>
        <v>0</v>
      </c>
      <c r="AG789">
        <f t="shared" si="157"/>
        <v>0</v>
      </c>
      <c r="AH789" t="str">
        <f t="shared" si="158"/>
        <v>Below College</v>
      </c>
      <c r="AI789" t="str">
        <f t="shared" si="159"/>
        <v>Very High</v>
      </c>
      <c r="AJ789" t="str">
        <f t="shared" si="160"/>
        <v>High</v>
      </c>
      <c r="AK789" t="str">
        <f t="shared" si="161"/>
        <v>Mid-Level</v>
      </c>
      <c r="AL789" t="str">
        <f t="shared" si="162"/>
        <v>Medium</v>
      </c>
      <c r="AM789" t="str">
        <f t="shared" si="163"/>
        <v>Medium</v>
      </c>
      <c r="AN789" t="str">
        <f t="shared" si="164"/>
        <v>Low</v>
      </c>
      <c r="AO789" t="str">
        <f t="shared" si="165"/>
        <v>Better</v>
      </c>
      <c r="AP789" t="str">
        <f t="shared" si="166"/>
        <v>55+</v>
      </c>
      <c r="AQ789" t="str">
        <f t="shared" si="167"/>
        <v>Upper-Mid</v>
      </c>
      <c r="AR789" t="str">
        <f t="shared" si="168"/>
        <v>3-5 Years</v>
      </c>
    </row>
    <row r="790" spans="1:44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39</v>
      </c>
      <c r="L790">
        <v>59</v>
      </c>
      <c r="M790">
        <v>3</v>
      </c>
      <c r="N790">
        <v>2</v>
      </c>
      <c r="O790" t="s">
        <v>47</v>
      </c>
      <c r="P790">
        <v>3</v>
      </c>
      <c r="Q790" t="s">
        <v>41</v>
      </c>
      <c r="R790">
        <v>3660</v>
      </c>
      <c r="S790">
        <v>3</v>
      </c>
      <c r="T790" t="s">
        <v>43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  <c r="AF790">
        <f t="shared" si="156"/>
        <v>0</v>
      </c>
      <c r="AG790">
        <f t="shared" si="157"/>
        <v>0</v>
      </c>
      <c r="AH790" t="str">
        <f t="shared" si="158"/>
        <v>Bachelor</v>
      </c>
      <c r="AI790" t="str">
        <f t="shared" si="159"/>
        <v>High</v>
      </c>
      <c r="AJ790" t="str">
        <f t="shared" si="160"/>
        <v>High</v>
      </c>
      <c r="AK790" t="str">
        <f t="shared" si="161"/>
        <v>Junior</v>
      </c>
      <c r="AL790" t="str">
        <f t="shared" si="162"/>
        <v>High</v>
      </c>
      <c r="AM790" t="str">
        <f t="shared" si="163"/>
        <v>Very High</v>
      </c>
      <c r="AN790" t="str">
        <f t="shared" si="164"/>
        <v>No Options</v>
      </c>
      <c r="AO790" t="str">
        <f t="shared" si="165"/>
        <v>Best</v>
      </c>
      <c r="AP790" t="str">
        <f t="shared" si="166"/>
        <v>25-34</v>
      </c>
      <c r="AQ790" t="str">
        <f t="shared" si="167"/>
        <v>Lower-Mid</v>
      </c>
      <c r="AR790" t="str">
        <f t="shared" si="168"/>
        <v>6-10 Years</v>
      </c>
    </row>
    <row r="791" spans="1:44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46</v>
      </c>
      <c r="L791">
        <v>91</v>
      </c>
      <c r="M791">
        <v>2</v>
      </c>
      <c r="N791">
        <v>3</v>
      </c>
      <c r="O791" t="s">
        <v>61</v>
      </c>
      <c r="P791">
        <v>1</v>
      </c>
      <c r="Q791" t="s">
        <v>48</v>
      </c>
      <c r="R791">
        <v>10482</v>
      </c>
      <c r="S791">
        <v>9</v>
      </c>
      <c r="T791" t="s">
        <v>43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  <c r="AF791">
        <f t="shared" si="156"/>
        <v>1</v>
      </c>
      <c r="AG791">
        <f t="shared" si="157"/>
        <v>0</v>
      </c>
      <c r="AH791" t="str">
        <f t="shared" si="158"/>
        <v>College</v>
      </c>
      <c r="AI791" t="str">
        <f t="shared" si="159"/>
        <v>Medium</v>
      </c>
      <c r="AJ791" t="str">
        <f t="shared" si="160"/>
        <v>Medium</v>
      </c>
      <c r="AK791" t="str">
        <f t="shared" si="161"/>
        <v>Mid-Level</v>
      </c>
      <c r="AL791" t="str">
        <f t="shared" si="162"/>
        <v>Low</v>
      </c>
      <c r="AM791" t="str">
        <f t="shared" si="163"/>
        <v>Very High</v>
      </c>
      <c r="AN791" t="str">
        <f t="shared" si="164"/>
        <v>Low</v>
      </c>
      <c r="AO791" t="str">
        <f t="shared" si="165"/>
        <v>Better</v>
      </c>
      <c r="AP791" t="str">
        <f t="shared" si="166"/>
        <v>35-44</v>
      </c>
      <c r="AQ791" t="str">
        <f t="shared" si="167"/>
        <v>Upper-Mid</v>
      </c>
      <c r="AR791" t="str">
        <f t="shared" si="168"/>
        <v>11-20 Years</v>
      </c>
    </row>
    <row r="792" spans="1:44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46</v>
      </c>
      <c r="L792">
        <v>34</v>
      </c>
      <c r="M792">
        <v>2</v>
      </c>
      <c r="N792">
        <v>3</v>
      </c>
      <c r="O792" t="s">
        <v>54</v>
      </c>
      <c r="P792">
        <v>4</v>
      </c>
      <c r="Q792" t="s">
        <v>52</v>
      </c>
      <c r="R792">
        <v>7119</v>
      </c>
      <c r="S792">
        <v>4</v>
      </c>
      <c r="T792" t="s">
        <v>43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  <c r="AF792">
        <f t="shared" si="156"/>
        <v>0</v>
      </c>
      <c r="AG792">
        <f t="shared" si="157"/>
        <v>0</v>
      </c>
      <c r="AH792" t="str">
        <f t="shared" si="158"/>
        <v>Bachelor</v>
      </c>
      <c r="AI792" t="str">
        <f t="shared" si="159"/>
        <v>Very High</v>
      </c>
      <c r="AJ792" t="str">
        <f t="shared" si="160"/>
        <v>Medium</v>
      </c>
      <c r="AK792" t="str">
        <f t="shared" si="161"/>
        <v>Mid-Level</v>
      </c>
      <c r="AL792" t="str">
        <f t="shared" si="162"/>
        <v>Very High</v>
      </c>
      <c r="AM792" t="str">
        <f t="shared" si="163"/>
        <v>High</v>
      </c>
      <c r="AN792" t="str">
        <f t="shared" si="164"/>
        <v>Low</v>
      </c>
      <c r="AO792" t="str">
        <f t="shared" si="165"/>
        <v>Better</v>
      </c>
      <c r="AP792" t="str">
        <f t="shared" si="166"/>
        <v>25-34</v>
      </c>
      <c r="AQ792" t="str">
        <f t="shared" si="167"/>
        <v>Upper-Mid</v>
      </c>
      <c r="AR792" t="str">
        <f t="shared" si="168"/>
        <v>3-5 Years</v>
      </c>
    </row>
    <row r="793" spans="1:44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t="s">
        <v>46</v>
      </c>
      <c r="L793">
        <v>86</v>
      </c>
      <c r="M793">
        <v>3</v>
      </c>
      <c r="N793">
        <v>3</v>
      </c>
      <c r="O793" t="s">
        <v>40</v>
      </c>
      <c r="P793">
        <v>1</v>
      </c>
      <c r="Q793" t="s">
        <v>41</v>
      </c>
      <c r="R793">
        <v>9582</v>
      </c>
      <c r="S793">
        <v>0</v>
      </c>
      <c r="T793" t="s">
        <v>35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  <c r="AF793">
        <f t="shared" si="156"/>
        <v>1</v>
      </c>
      <c r="AG793">
        <f t="shared" si="157"/>
        <v>1</v>
      </c>
      <c r="AH793" t="str">
        <f t="shared" si="158"/>
        <v>Bachelor</v>
      </c>
      <c r="AI793" t="str">
        <f t="shared" si="159"/>
        <v>Very High</v>
      </c>
      <c r="AJ793" t="str">
        <f t="shared" si="160"/>
        <v>High</v>
      </c>
      <c r="AK793" t="str">
        <f t="shared" si="161"/>
        <v>Mid-Level</v>
      </c>
      <c r="AL793" t="str">
        <f t="shared" si="162"/>
        <v>Low</v>
      </c>
      <c r="AM793" t="str">
        <f t="shared" si="163"/>
        <v>Low</v>
      </c>
      <c r="AN793" t="str">
        <f t="shared" si="164"/>
        <v>No Options</v>
      </c>
      <c r="AO793" t="str">
        <f t="shared" si="165"/>
        <v>Better</v>
      </c>
      <c r="AP793" t="str">
        <f t="shared" si="166"/>
        <v>35-44</v>
      </c>
      <c r="AQ793" t="str">
        <f t="shared" si="167"/>
        <v>Upper-Mid</v>
      </c>
      <c r="AR793" t="str">
        <f t="shared" si="168"/>
        <v>6-10 Years</v>
      </c>
    </row>
    <row r="794" spans="1:44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39</v>
      </c>
      <c r="L794">
        <v>54</v>
      </c>
      <c r="M794">
        <v>2</v>
      </c>
      <c r="N794">
        <v>2</v>
      </c>
      <c r="O794" t="s">
        <v>47</v>
      </c>
      <c r="P794">
        <v>3</v>
      </c>
      <c r="Q794" t="s">
        <v>41</v>
      </c>
      <c r="R794">
        <v>4508</v>
      </c>
      <c r="S794">
        <v>1</v>
      </c>
      <c r="T794" t="s">
        <v>43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  <c r="AF794">
        <f t="shared" si="156"/>
        <v>1</v>
      </c>
      <c r="AG794">
        <f t="shared" si="157"/>
        <v>0</v>
      </c>
      <c r="AH794" t="str">
        <f t="shared" si="158"/>
        <v>Master</v>
      </c>
      <c r="AI794" t="str">
        <f t="shared" si="159"/>
        <v>Low</v>
      </c>
      <c r="AJ794" t="str">
        <f t="shared" si="160"/>
        <v>Medium</v>
      </c>
      <c r="AK794" t="str">
        <f t="shared" si="161"/>
        <v>Junior</v>
      </c>
      <c r="AL794" t="str">
        <f t="shared" si="162"/>
        <v>High</v>
      </c>
      <c r="AM794" t="str">
        <f t="shared" si="163"/>
        <v>Medium</v>
      </c>
      <c r="AN794" t="str">
        <f t="shared" si="164"/>
        <v>No Options</v>
      </c>
      <c r="AO794" t="str">
        <f t="shared" si="165"/>
        <v>Better</v>
      </c>
      <c r="AP794" t="str">
        <f t="shared" si="166"/>
        <v>25-34</v>
      </c>
      <c r="AQ794" t="str">
        <f t="shared" si="167"/>
        <v>Lower-Mid</v>
      </c>
      <c r="AR794" t="str">
        <f t="shared" si="168"/>
        <v>11-20 Years</v>
      </c>
    </row>
    <row r="795" spans="1:44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46</v>
      </c>
      <c r="L795">
        <v>50</v>
      </c>
      <c r="M795">
        <v>3</v>
      </c>
      <c r="N795">
        <v>1</v>
      </c>
      <c r="O795" t="s">
        <v>50</v>
      </c>
      <c r="P795">
        <v>3</v>
      </c>
      <c r="Q795" t="s">
        <v>52</v>
      </c>
      <c r="R795">
        <v>2207</v>
      </c>
      <c r="S795">
        <v>1</v>
      </c>
      <c r="T795" t="s">
        <v>43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  <c r="AF795">
        <f t="shared" si="156"/>
        <v>0</v>
      </c>
      <c r="AG795">
        <f t="shared" si="157"/>
        <v>0</v>
      </c>
      <c r="AH795" t="str">
        <f t="shared" si="158"/>
        <v>College</v>
      </c>
      <c r="AI795" t="str">
        <f t="shared" si="159"/>
        <v>Low</v>
      </c>
      <c r="AJ795" t="str">
        <f t="shared" si="160"/>
        <v>High</v>
      </c>
      <c r="AK795" t="str">
        <f t="shared" si="161"/>
        <v>Entry</v>
      </c>
      <c r="AL795" t="str">
        <f t="shared" si="162"/>
        <v>High</v>
      </c>
      <c r="AM795" t="str">
        <f t="shared" si="163"/>
        <v>Very High</v>
      </c>
      <c r="AN795" t="str">
        <f t="shared" si="164"/>
        <v>Low</v>
      </c>
      <c r="AO795" t="str">
        <f t="shared" si="165"/>
        <v>Good</v>
      </c>
      <c r="AP795" t="str">
        <f t="shared" si="166"/>
        <v>25-34</v>
      </c>
      <c r="AQ795" t="str">
        <f t="shared" si="167"/>
        <v>Low</v>
      </c>
      <c r="AR795" t="str">
        <f t="shared" si="168"/>
        <v>3-5 Years</v>
      </c>
    </row>
    <row r="796" spans="1:44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46</v>
      </c>
      <c r="L796">
        <v>45</v>
      </c>
      <c r="M796">
        <v>3</v>
      </c>
      <c r="N796">
        <v>2</v>
      </c>
      <c r="O796" t="s">
        <v>54</v>
      </c>
      <c r="P796">
        <v>4</v>
      </c>
      <c r="Q796" t="s">
        <v>41</v>
      </c>
      <c r="R796">
        <v>7756</v>
      </c>
      <c r="S796">
        <v>0</v>
      </c>
      <c r="T796" t="s">
        <v>43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  <c r="AF796">
        <f t="shared" si="156"/>
        <v>0</v>
      </c>
      <c r="AG796">
        <f t="shared" si="157"/>
        <v>0</v>
      </c>
      <c r="AH796" t="str">
        <f t="shared" si="158"/>
        <v>Below College</v>
      </c>
      <c r="AI796" t="str">
        <f t="shared" si="159"/>
        <v>Low</v>
      </c>
      <c r="AJ796" t="str">
        <f t="shared" si="160"/>
        <v>High</v>
      </c>
      <c r="AK796" t="str">
        <f t="shared" si="161"/>
        <v>Junior</v>
      </c>
      <c r="AL796" t="str">
        <f t="shared" si="162"/>
        <v>Very High</v>
      </c>
      <c r="AM796" t="str">
        <f t="shared" si="163"/>
        <v>High</v>
      </c>
      <c r="AN796" t="str">
        <f t="shared" si="164"/>
        <v>No Options</v>
      </c>
      <c r="AO796" t="str">
        <f t="shared" si="165"/>
        <v>Good</v>
      </c>
      <c r="AP796" t="str">
        <f t="shared" si="166"/>
        <v>25-34</v>
      </c>
      <c r="AQ796" t="str">
        <f t="shared" si="167"/>
        <v>Upper-Mid</v>
      </c>
      <c r="AR796" t="str">
        <f t="shared" si="168"/>
        <v>6-10 Years</v>
      </c>
    </row>
    <row r="797" spans="1:44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88</v>
      </c>
      <c r="M797">
        <v>2</v>
      </c>
      <c r="N797">
        <v>2</v>
      </c>
      <c r="O797" t="s">
        <v>40</v>
      </c>
      <c r="P797">
        <v>4</v>
      </c>
      <c r="Q797" t="s">
        <v>52</v>
      </c>
      <c r="R797">
        <v>6694</v>
      </c>
      <c r="S797">
        <v>2</v>
      </c>
      <c r="T797" t="s">
        <v>35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  <c r="AF797">
        <f t="shared" si="156"/>
        <v>0</v>
      </c>
      <c r="AG797">
        <f t="shared" si="157"/>
        <v>1</v>
      </c>
      <c r="AH797" t="str">
        <f t="shared" si="158"/>
        <v>Master</v>
      </c>
      <c r="AI797" t="str">
        <f t="shared" si="159"/>
        <v>Very High</v>
      </c>
      <c r="AJ797" t="str">
        <f t="shared" si="160"/>
        <v>Medium</v>
      </c>
      <c r="AK797" t="str">
        <f t="shared" si="161"/>
        <v>Junior</v>
      </c>
      <c r="AL797" t="str">
        <f t="shared" si="162"/>
        <v>Very High</v>
      </c>
      <c r="AM797" t="str">
        <f t="shared" si="163"/>
        <v>High</v>
      </c>
      <c r="AN797" t="str">
        <f t="shared" si="164"/>
        <v>High</v>
      </c>
      <c r="AO797" t="str">
        <f t="shared" si="165"/>
        <v>Better</v>
      </c>
      <c r="AP797" t="str">
        <f t="shared" si="166"/>
        <v>35-44</v>
      </c>
      <c r="AQ797" t="str">
        <f t="shared" si="167"/>
        <v>Lower-Mid</v>
      </c>
      <c r="AR797" t="str">
        <f t="shared" si="168"/>
        <v>0-2 Years</v>
      </c>
    </row>
    <row r="798" spans="1:44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t="s">
        <v>46</v>
      </c>
      <c r="L798">
        <v>32</v>
      </c>
      <c r="M798">
        <v>3</v>
      </c>
      <c r="N798">
        <v>1</v>
      </c>
      <c r="O798" t="s">
        <v>50</v>
      </c>
      <c r="P798">
        <v>4</v>
      </c>
      <c r="Q798" t="s">
        <v>48</v>
      </c>
      <c r="R798">
        <v>3691</v>
      </c>
      <c r="S798">
        <v>1</v>
      </c>
      <c r="T798" t="s">
        <v>35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  <c r="AF798">
        <f t="shared" si="156"/>
        <v>1</v>
      </c>
      <c r="AG798">
        <f t="shared" si="157"/>
        <v>1</v>
      </c>
      <c r="AH798" t="str">
        <f t="shared" si="158"/>
        <v>Below College</v>
      </c>
      <c r="AI798" t="str">
        <f t="shared" si="159"/>
        <v>Very High</v>
      </c>
      <c r="AJ798" t="str">
        <f t="shared" si="160"/>
        <v>High</v>
      </c>
      <c r="AK798" t="str">
        <f t="shared" si="161"/>
        <v>Entry</v>
      </c>
      <c r="AL798" t="str">
        <f t="shared" si="162"/>
        <v>Very High</v>
      </c>
      <c r="AM798" t="str">
        <f t="shared" si="163"/>
        <v>Medium</v>
      </c>
      <c r="AN798" t="str">
        <f t="shared" si="164"/>
        <v>Low</v>
      </c>
      <c r="AO798" t="str">
        <f t="shared" si="165"/>
        <v>Best</v>
      </c>
      <c r="AP798" t="str">
        <f t="shared" si="166"/>
        <v>25-34</v>
      </c>
      <c r="AQ798" t="str">
        <f t="shared" si="167"/>
        <v>Lower-Mid</v>
      </c>
      <c r="AR798" t="str">
        <f t="shared" si="168"/>
        <v>6-10 Years</v>
      </c>
    </row>
    <row r="799" spans="1:44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46</v>
      </c>
      <c r="L799">
        <v>37</v>
      </c>
      <c r="M799">
        <v>3</v>
      </c>
      <c r="N799">
        <v>1</v>
      </c>
      <c r="O799" t="s">
        <v>50</v>
      </c>
      <c r="P799">
        <v>3</v>
      </c>
      <c r="Q799" t="s">
        <v>52</v>
      </c>
      <c r="R799">
        <v>2377</v>
      </c>
      <c r="S799">
        <v>1</v>
      </c>
      <c r="T799" t="s">
        <v>43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  <c r="AF799">
        <f t="shared" si="156"/>
        <v>1</v>
      </c>
      <c r="AG799">
        <f t="shared" si="157"/>
        <v>0</v>
      </c>
      <c r="AH799" t="str">
        <f t="shared" si="158"/>
        <v>Bachelor</v>
      </c>
      <c r="AI799" t="str">
        <f t="shared" si="159"/>
        <v>Low</v>
      </c>
      <c r="AJ799" t="str">
        <f t="shared" si="160"/>
        <v>High</v>
      </c>
      <c r="AK799" t="str">
        <f t="shared" si="161"/>
        <v>Entry</v>
      </c>
      <c r="AL799" t="str">
        <f t="shared" si="162"/>
        <v>High</v>
      </c>
      <c r="AM799" t="str">
        <f t="shared" si="163"/>
        <v>High</v>
      </c>
      <c r="AN799" t="str">
        <f t="shared" si="164"/>
        <v>Low</v>
      </c>
      <c r="AO799" t="str">
        <f t="shared" si="165"/>
        <v>Good</v>
      </c>
      <c r="AP799" t="str">
        <f t="shared" si="166"/>
        <v>25-34</v>
      </c>
      <c r="AQ799" t="str">
        <f t="shared" si="167"/>
        <v>Low</v>
      </c>
      <c r="AR799" t="str">
        <f t="shared" si="168"/>
        <v>0-2 Years</v>
      </c>
    </row>
    <row r="800" spans="1:44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46</v>
      </c>
      <c r="L800">
        <v>55</v>
      </c>
      <c r="M800">
        <v>2</v>
      </c>
      <c r="N800">
        <v>1</v>
      </c>
      <c r="O800" t="s">
        <v>47</v>
      </c>
      <c r="P800">
        <v>2</v>
      </c>
      <c r="Q800" t="s">
        <v>41</v>
      </c>
      <c r="R800">
        <v>2313</v>
      </c>
      <c r="S800">
        <v>4</v>
      </c>
      <c r="T800" t="s">
        <v>35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  <c r="AF800">
        <f t="shared" si="156"/>
        <v>1</v>
      </c>
      <c r="AG800">
        <f t="shared" si="157"/>
        <v>1</v>
      </c>
      <c r="AH800" t="str">
        <f t="shared" si="158"/>
        <v>Bachelor</v>
      </c>
      <c r="AI800" t="str">
        <f t="shared" si="159"/>
        <v>Low</v>
      </c>
      <c r="AJ800" t="str">
        <f t="shared" si="160"/>
        <v>Medium</v>
      </c>
      <c r="AK800" t="str">
        <f t="shared" si="161"/>
        <v>Entry</v>
      </c>
      <c r="AL800" t="str">
        <f t="shared" si="162"/>
        <v>Medium</v>
      </c>
      <c r="AM800" t="str">
        <f t="shared" si="163"/>
        <v>Medium</v>
      </c>
      <c r="AN800" t="str">
        <f t="shared" si="164"/>
        <v>No Options</v>
      </c>
      <c r="AO800" t="str">
        <f t="shared" si="165"/>
        <v>Better</v>
      </c>
      <c r="AP800" t="str">
        <f t="shared" si="166"/>
        <v>25-34</v>
      </c>
      <c r="AQ800" t="str">
        <f t="shared" si="167"/>
        <v>Low</v>
      </c>
      <c r="AR800" t="str">
        <f t="shared" si="168"/>
        <v>0-2 Years</v>
      </c>
    </row>
    <row r="801" spans="1:44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46</v>
      </c>
      <c r="L801">
        <v>35</v>
      </c>
      <c r="M801">
        <v>3</v>
      </c>
      <c r="N801">
        <v>4</v>
      </c>
      <c r="O801" t="s">
        <v>56</v>
      </c>
      <c r="P801">
        <v>1</v>
      </c>
      <c r="Q801" t="s">
        <v>48</v>
      </c>
      <c r="R801">
        <v>17665</v>
      </c>
      <c r="S801">
        <v>0</v>
      </c>
      <c r="T801" t="s">
        <v>43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  <c r="AF801">
        <f t="shared" si="156"/>
        <v>0</v>
      </c>
      <c r="AG801">
        <f t="shared" si="157"/>
        <v>0</v>
      </c>
      <c r="AH801" t="str">
        <f t="shared" si="158"/>
        <v>College</v>
      </c>
      <c r="AI801" t="str">
        <f t="shared" si="159"/>
        <v>Very High</v>
      </c>
      <c r="AJ801" t="str">
        <f t="shared" si="160"/>
        <v>High</v>
      </c>
      <c r="AK801" t="str">
        <f t="shared" si="161"/>
        <v>Senior</v>
      </c>
      <c r="AL801" t="str">
        <f t="shared" si="162"/>
        <v>Low</v>
      </c>
      <c r="AM801" t="str">
        <f t="shared" si="163"/>
        <v>Very High</v>
      </c>
      <c r="AN801" t="str">
        <f t="shared" si="164"/>
        <v>Low</v>
      </c>
      <c r="AO801" t="str">
        <f t="shared" si="165"/>
        <v>Better</v>
      </c>
      <c r="AP801" t="str">
        <f t="shared" si="166"/>
        <v>35-44</v>
      </c>
      <c r="AQ801" t="str">
        <f t="shared" si="167"/>
        <v>High</v>
      </c>
      <c r="AR801" t="str">
        <f t="shared" si="168"/>
        <v>20+ Years</v>
      </c>
    </row>
    <row r="802" spans="1:44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46</v>
      </c>
      <c r="L802">
        <v>45</v>
      </c>
      <c r="M802">
        <v>2</v>
      </c>
      <c r="N802">
        <v>1</v>
      </c>
      <c r="O802" t="s">
        <v>50</v>
      </c>
      <c r="P802">
        <v>2</v>
      </c>
      <c r="Q802" t="s">
        <v>52</v>
      </c>
      <c r="R802">
        <v>2596</v>
      </c>
      <c r="S802">
        <v>1</v>
      </c>
      <c r="T802" t="s">
        <v>43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  <c r="AF802">
        <f t="shared" si="156"/>
        <v>1</v>
      </c>
      <c r="AG802">
        <f t="shared" si="157"/>
        <v>0</v>
      </c>
      <c r="AH802" t="str">
        <f t="shared" si="158"/>
        <v>Bachelor</v>
      </c>
      <c r="AI802" t="str">
        <f t="shared" si="159"/>
        <v>Low</v>
      </c>
      <c r="AJ802" t="str">
        <f t="shared" si="160"/>
        <v>Medium</v>
      </c>
      <c r="AK802" t="str">
        <f t="shared" si="161"/>
        <v>Entry</v>
      </c>
      <c r="AL802" t="str">
        <f t="shared" si="162"/>
        <v>Medium</v>
      </c>
      <c r="AM802" t="str">
        <f t="shared" si="163"/>
        <v>Low</v>
      </c>
      <c r="AN802" t="str">
        <f t="shared" si="164"/>
        <v>Medium</v>
      </c>
      <c r="AO802" t="str">
        <f t="shared" si="165"/>
        <v>Better</v>
      </c>
      <c r="AP802" t="str">
        <f t="shared" si="166"/>
        <v>25-34</v>
      </c>
      <c r="AQ802" t="str">
        <f t="shared" si="167"/>
        <v>Low</v>
      </c>
      <c r="AR802" t="str">
        <f t="shared" si="168"/>
        <v>0-2 Years</v>
      </c>
    </row>
    <row r="803" spans="1:44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81</v>
      </c>
      <c r="M803">
        <v>3</v>
      </c>
      <c r="N803">
        <v>2</v>
      </c>
      <c r="O803" t="s">
        <v>40</v>
      </c>
      <c r="P803">
        <v>3</v>
      </c>
      <c r="Q803" t="s">
        <v>41</v>
      </c>
      <c r="R803">
        <v>4728</v>
      </c>
      <c r="S803">
        <v>3</v>
      </c>
      <c r="T803" t="s">
        <v>35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  <c r="AF803">
        <f t="shared" si="156"/>
        <v>1</v>
      </c>
      <c r="AG803">
        <f t="shared" si="157"/>
        <v>1</v>
      </c>
      <c r="AH803" t="str">
        <f t="shared" si="158"/>
        <v>Master</v>
      </c>
      <c r="AI803" t="str">
        <f t="shared" si="159"/>
        <v>Very High</v>
      </c>
      <c r="AJ803" t="str">
        <f t="shared" si="160"/>
        <v>High</v>
      </c>
      <c r="AK803" t="str">
        <f t="shared" si="161"/>
        <v>Junior</v>
      </c>
      <c r="AL803" t="str">
        <f t="shared" si="162"/>
        <v>High</v>
      </c>
      <c r="AM803" t="str">
        <f t="shared" si="163"/>
        <v>Very High</v>
      </c>
      <c r="AN803" t="str">
        <f t="shared" si="164"/>
        <v>No Options</v>
      </c>
      <c r="AO803" t="str">
        <f t="shared" si="165"/>
        <v>Better</v>
      </c>
      <c r="AP803" t="str">
        <f t="shared" si="166"/>
        <v>45-54</v>
      </c>
      <c r="AQ803" t="str">
        <f t="shared" si="167"/>
        <v>Lower-Mid</v>
      </c>
      <c r="AR803" t="str">
        <f t="shared" si="168"/>
        <v>0-2 Years</v>
      </c>
    </row>
    <row r="804" spans="1:44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30</v>
      </c>
      <c r="M804">
        <v>3</v>
      </c>
      <c r="N804">
        <v>2</v>
      </c>
      <c r="O804" t="s">
        <v>40</v>
      </c>
      <c r="P804">
        <v>2</v>
      </c>
      <c r="Q804" t="s">
        <v>48</v>
      </c>
      <c r="R804">
        <v>4302</v>
      </c>
      <c r="S804">
        <v>0</v>
      </c>
      <c r="T804" t="s">
        <v>43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  <c r="AF804">
        <f t="shared" si="156"/>
        <v>0</v>
      </c>
      <c r="AG804">
        <f t="shared" si="157"/>
        <v>0</v>
      </c>
      <c r="AH804" t="str">
        <f t="shared" si="158"/>
        <v>Bachelor</v>
      </c>
      <c r="AI804" t="str">
        <f t="shared" si="159"/>
        <v>Very High</v>
      </c>
      <c r="AJ804" t="str">
        <f t="shared" si="160"/>
        <v>High</v>
      </c>
      <c r="AK804" t="str">
        <f t="shared" si="161"/>
        <v>Junior</v>
      </c>
      <c r="AL804" t="str">
        <f t="shared" si="162"/>
        <v>Medium</v>
      </c>
      <c r="AM804" t="str">
        <f t="shared" si="163"/>
        <v>High</v>
      </c>
      <c r="AN804" t="str">
        <f t="shared" si="164"/>
        <v>Low</v>
      </c>
      <c r="AO804" t="str">
        <f t="shared" si="165"/>
        <v>Better</v>
      </c>
      <c r="AP804" t="str">
        <f t="shared" si="166"/>
        <v>25-34</v>
      </c>
      <c r="AQ804" t="str">
        <f t="shared" si="167"/>
        <v>Lower-Mid</v>
      </c>
      <c r="AR804" t="str">
        <f t="shared" si="168"/>
        <v>3-5 Years</v>
      </c>
    </row>
    <row r="805" spans="1:44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46</v>
      </c>
      <c r="L805">
        <v>40</v>
      </c>
      <c r="M805">
        <v>2</v>
      </c>
      <c r="N805">
        <v>1</v>
      </c>
      <c r="O805" t="s">
        <v>47</v>
      </c>
      <c r="P805">
        <v>4</v>
      </c>
      <c r="Q805" t="s">
        <v>48</v>
      </c>
      <c r="R805">
        <v>2979</v>
      </c>
      <c r="S805">
        <v>3</v>
      </c>
      <c r="T805" t="s">
        <v>43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  <c r="AF805">
        <f t="shared" si="156"/>
        <v>0</v>
      </c>
      <c r="AG805">
        <f t="shared" si="157"/>
        <v>0</v>
      </c>
      <c r="AH805" t="str">
        <f t="shared" si="158"/>
        <v>Master</v>
      </c>
      <c r="AI805" t="str">
        <f t="shared" si="159"/>
        <v>High</v>
      </c>
      <c r="AJ805" t="str">
        <f t="shared" si="160"/>
        <v>Medium</v>
      </c>
      <c r="AK805" t="str">
        <f t="shared" si="161"/>
        <v>Entry</v>
      </c>
      <c r="AL805" t="str">
        <f t="shared" si="162"/>
        <v>Very High</v>
      </c>
      <c r="AM805" t="str">
        <f t="shared" si="163"/>
        <v>Very High</v>
      </c>
      <c r="AN805" t="str">
        <f t="shared" si="164"/>
        <v>High</v>
      </c>
      <c r="AO805" t="str">
        <f t="shared" si="165"/>
        <v>Better</v>
      </c>
      <c r="AP805" t="str">
        <f t="shared" si="166"/>
        <v>25-34</v>
      </c>
      <c r="AQ805" t="str">
        <f t="shared" si="167"/>
        <v>Low</v>
      </c>
      <c r="AR805" t="str">
        <f t="shared" si="168"/>
        <v>0-2 Years</v>
      </c>
    </row>
    <row r="806" spans="1:44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46</v>
      </c>
      <c r="L806">
        <v>35</v>
      </c>
      <c r="M806">
        <v>4</v>
      </c>
      <c r="N806">
        <v>4</v>
      </c>
      <c r="O806" t="s">
        <v>56</v>
      </c>
      <c r="P806">
        <v>4</v>
      </c>
      <c r="Q806" t="s">
        <v>41</v>
      </c>
      <c r="R806">
        <v>16885</v>
      </c>
      <c r="S806">
        <v>2</v>
      </c>
      <c r="T806" t="s">
        <v>43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  <c r="AF806">
        <f t="shared" si="156"/>
        <v>0</v>
      </c>
      <c r="AG806">
        <f t="shared" si="157"/>
        <v>0</v>
      </c>
      <c r="AH806" t="str">
        <f t="shared" si="158"/>
        <v>Master</v>
      </c>
      <c r="AI806" t="str">
        <f t="shared" si="159"/>
        <v>Low</v>
      </c>
      <c r="AJ806" t="str">
        <f t="shared" si="160"/>
        <v>Very High</v>
      </c>
      <c r="AK806" t="str">
        <f t="shared" si="161"/>
        <v>Senior</v>
      </c>
      <c r="AL806" t="str">
        <f t="shared" si="162"/>
        <v>Very High</v>
      </c>
      <c r="AM806" t="str">
        <f t="shared" si="163"/>
        <v>High</v>
      </c>
      <c r="AN806" t="str">
        <f t="shared" si="164"/>
        <v>No Options</v>
      </c>
      <c r="AO806" t="str">
        <f t="shared" si="165"/>
        <v>Good</v>
      </c>
      <c r="AP806" t="str">
        <f t="shared" si="166"/>
        <v>45-54</v>
      </c>
      <c r="AQ806" t="str">
        <f t="shared" si="167"/>
        <v>High</v>
      </c>
      <c r="AR806" t="str">
        <f t="shared" si="168"/>
        <v>3-5 Years</v>
      </c>
    </row>
    <row r="807" spans="1:44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65</v>
      </c>
      <c r="M807">
        <v>2</v>
      </c>
      <c r="N807">
        <v>2</v>
      </c>
      <c r="O807" t="s">
        <v>40</v>
      </c>
      <c r="P807">
        <v>3</v>
      </c>
      <c r="Q807" t="s">
        <v>48</v>
      </c>
      <c r="R807">
        <v>5593</v>
      </c>
      <c r="S807">
        <v>1</v>
      </c>
      <c r="T807" t="s">
        <v>43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  <c r="AF807">
        <f t="shared" si="156"/>
        <v>0</v>
      </c>
      <c r="AG807">
        <f t="shared" si="157"/>
        <v>0</v>
      </c>
      <c r="AH807" t="str">
        <f t="shared" si="158"/>
        <v>Master</v>
      </c>
      <c r="AI807" t="str">
        <f t="shared" si="159"/>
        <v>Medium</v>
      </c>
      <c r="AJ807" t="str">
        <f t="shared" si="160"/>
        <v>Medium</v>
      </c>
      <c r="AK807" t="str">
        <f t="shared" si="161"/>
        <v>Junior</v>
      </c>
      <c r="AL807" t="str">
        <f t="shared" si="162"/>
        <v>High</v>
      </c>
      <c r="AM807" t="str">
        <f t="shared" si="163"/>
        <v>Very High</v>
      </c>
      <c r="AN807" t="str">
        <f t="shared" si="164"/>
        <v>Low</v>
      </c>
      <c r="AO807" t="str">
        <f t="shared" si="165"/>
        <v>Better</v>
      </c>
      <c r="AP807" t="str">
        <f t="shared" si="166"/>
        <v>45-54</v>
      </c>
      <c r="AQ807" t="str">
        <f t="shared" si="167"/>
        <v>Lower-Mid</v>
      </c>
      <c r="AR807" t="str">
        <f t="shared" si="168"/>
        <v>11-20 Years</v>
      </c>
    </row>
    <row r="808" spans="1:44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46</v>
      </c>
      <c r="L808">
        <v>87</v>
      </c>
      <c r="M808">
        <v>3</v>
      </c>
      <c r="N808">
        <v>3</v>
      </c>
      <c r="O808" t="s">
        <v>54</v>
      </c>
      <c r="P808">
        <v>2</v>
      </c>
      <c r="Q808" t="s">
        <v>41</v>
      </c>
      <c r="R808">
        <v>10445</v>
      </c>
      <c r="S808">
        <v>7</v>
      </c>
      <c r="T808" t="s">
        <v>43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  <c r="AF808">
        <f t="shared" si="156"/>
        <v>0</v>
      </c>
      <c r="AG808">
        <f t="shared" si="157"/>
        <v>0</v>
      </c>
      <c r="AH808" t="str">
        <f t="shared" si="158"/>
        <v>Master</v>
      </c>
      <c r="AI808" t="str">
        <f t="shared" si="159"/>
        <v>Medium</v>
      </c>
      <c r="AJ808" t="str">
        <f t="shared" si="160"/>
        <v>High</v>
      </c>
      <c r="AK808" t="str">
        <f t="shared" si="161"/>
        <v>Mid-Level</v>
      </c>
      <c r="AL808" t="str">
        <f t="shared" si="162"/>
        <v>Medium</v>
      </c>
      <c r="AM808" t="str">
        <f t="shared" si="163"/>
        <v>Very High</v>
      </c>
      <c r="AN808" t="str">
        <f t="shared" si="164"/>
        <v>No Options</v>
      </c>
      <c r="AO808" t="str">
        <f t="shared" si="165"/>
        <v>Better</v>
      </c>
      <c r="AP808" t="str">
        <f t="shared" si="166"/>
        <v>45-54</v>
      </c>
      <c r="AQ808" t="str">
        <f t="shared" si="167"/>
        <v>Upper-Mid</v>
      </c>
      <c r="AR808" t="str">
        <f t="shared" si="168"/>
        <v>6-10 Years</v>
      </c>
    </row>
    <row r="809" spans="1:44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t="s">
        <v>46</v>
      </c>
      <c r="L809">
        <v>73</v>
      </c>
      <c r="M809">
        <v>2</v>
      </c>
      <c r="N809">
        <v>3</v>
      </c>
      <c r="O809" t="s">
        <v>40</v>
      </c>
      <c r="P809">
        <v>3</v>
      </c>
      <c r="Q809" t="s">
        <v>52</v>
      </c>
      <c r="R809">
        <v>8740</v>
      </c>
      <c r="S809">
        <v>0</v>
      </c>
      <c r="T809" t="s">
        <v>35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  <c r="AF809">
        <f t="shared" si="156"/>
        <v>0</v>
      </c>
      <c r="AG809">
        <f t="shared" si="157"/>
        <v>1</v>
      </c>
      <c r="AH809" t="str">
        <f t="shared" si="158"/>
        <v>Master</v>
      </c>
      <c r="AI809" t="str">
        <f t="shared" si="159"/>
        <v>High</v>
      </c>
      <c r="AJ809" t="str">
        <f t="shared" si="160"/>
        <v>Medium</v>
      </c>
      <c r="AK809" t="str">
        <f t="shared" si="161"/>
        <v>Mid-Level</v>
      </c>
      <c r="AL809" t="str">
        <f t="shared" si="162"/>
        <v>High</v>
      </c>
      <c r="AM809" t="str">
        <f t="shared" si="163"/>
        <v>Medium</v>
      </c>
      <c r="AN809" t="str">
        <f t="shared" si="164"/>
        <v>Medium</v>
      </c>
      <c r="AO809" t="str">
        <f t="shared" si="165"/>
        <v>Better</v>
      </c>
      <c r="AP809" t="str">
        <f t="shared" si="166"/>
        <v>35-44</v>
      </c>
      <c r="AQ809" t="str">
        <f t="shared" si="167"/>
        <v>Upper-Mid</v>
      </c>
      <c r="AR809" t="str">
        <f t="shared" si="168"/>
        <v>6-10 Years</v>
      </c>
    </row>
    <row r="810" spans="1:44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93</v>
      </c>
      <c r="M810">
        <v>3</v>
      </c>
      <c r="N810">
        <v>1</v>
      </c>
      <c r="O810" t="s">
        <v>47</v>
      </c>
      <c r="P810">
        <v>4</v>
      </c>
      <c r="Q810" t="s">
        <v>52</v>
      </c>
      <c r="R810">
        <v>2514</v>
      </c>
      <c r="S810">
        <v>4</v>
      </c>
      <c r="T810" t="s">
        <v>43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  <c r="AF810">
        <f t="shared" si="156"/>
        <v>0</v>
      </c>
      <c r="AG810">
        <f t="shared" si="157"/>
        <v>0</v>
      </c>
      <c r="AH810" t="str">
        <f t="shared" si="158"/>
        <v>Master</v>
      </c>
      <c r="AI810" t="str">
        <f t="shared" si="159"/>
        <v>High</v>
      </c>
      <c r="AJ810" t="str">
        <f t="shared" si="160"/>
        <v>High</v>
      </c>
      <c r="AK810" t="str">
        <f t="shared" si="161"/>
        <v>Entry</v>
      </c>
      <c r="AL810" t="str">
        <f t="shared" si="162"/>
        <v>Very High</v>
      </c>
      <c r="AM810" t="str">
        <f t="shared" si="163"/>
        <v>Low</v>
      </c>
      <c r="AN810" t="str">
        <f t="shared" si="164"/>
        <v>Low</v>
      </c>
      <c r="AO810" t="str">
        <f t="shared" si="165"/>
        <v>Better</v>
      </c>
      <c r="AP810" t="str">
        <f t="shared" si="166"/>
        <v>25-34</v>
      </c>
      <c r="AQ810" t="str">
        <f t="shared" si="167"/>
        <v>Low</v>
      </c>
      <c r="AR810" t="str">
        <f t="shared" si="168"/>
        <v>6-10 Years</v>
      </c>
    </row>
    <row r="811" spans="1:44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39</v>
      </c>
      <c r="L811">
        <v>93</v>
      </c>
      <c r="M811">
        <v>3</v>
      </c>
      <c r="N811">
        <v>3</v>
      </c>
      <c r="O811" t="s">
        <v>53</v>
      </c>
      <c r="P811">
        <v>2</v>
      </c>
      <c r="Q811" t="s">
        <v>52</v>
      </c>
      <c r="R811">
        <v>7655</v>
      </c>
      <c r="S811">
        <v>0</v>
      </c>
      <c r="T811" t="s">
        <v>43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  <c r="AF811">
        <f t="shared" si="156"/>
        <v>0</v>
      </c>
      <c r="AG811">
        <f t="shared" si="157"/>
        <v>0</v>
      </c>
      <c r="AH811" t="str">
        <f t="shared" si="158"/>
        <v>Bachelor</v>
      </c>
      <c r="AI811" t="str">
        <f t="shared" si="159"/>
        <v>Very High</v>
      </c>
      <c r="AJ811" t="str">
        <f t="shared" si="160"/>
        <v>High</v>
      </c>
      <c r="AK811" t="str">
        <f t="shared" si="161"/>
        <v>Mid-Level</v>
      </c>
      <c r="AL811" t="str">
        <f t="shared" si="162"/>
        <v>Medium</v>
      </c>
      <c r="AM811" t="str">
        <f t="shared" si="163"/>
        <v>Medium</v>
      </c>
      <c r="AN811" t="str">
        <f t="shared" si="164"/>
        <v>High</v>
      </c>
      <c r="AO811" t="str">
        <f t="shared" si="165"/>
        <v>Good</v>
      </c>
      <c r="AP811" t="str">
        <f t="shared" si="166"/>
        <v>25-34</v>
      </c>
      <c r="AQ811" t="str">
        <f t="shared" si="167"/>
        <v>Upper-Mid</v>
      </c>
      <c r="AR811" t="str">
        <f t="shared" si="168"/>
        <v>6-10 Years</v>
      </c>
    </row>
    <row r="812" spans="1:44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t="s">
        <v>46</v>
      </c>
      <c r="L812">
        <v>52</v>
      </c>
      <c r="M812">
        <v>3</v>
      </c>
      <c r="N812">
        <v>4</v>
      </c>
      <c r="O812" t="s">
        <v>56</v>
      </c>
      <c r="P812">
        <v>3</v>
      </c>
      <c r="Q812" t="s">
        <v>48</v>
      </c>
      <c r="R812">
        <v>17465</v>
      </c>
      <c r="S812">
        <v>3</v>
      </c>
      <c r="T812" t="s">
        <v>43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  <c r="AF812">
        <f t="shared" si="156"/>
        <v>0</v>
      </c>
      <c r="AG812">
        <f t="shared" si="157"/>
        <v>0</v>
      </c>
      <c r="AH812" t="str">
        <f t="shared" si="158"/>
        <v>Below College</v>
      </c>
      <c r="AI812" t="str">
        <f t="shared" si="159"/>
        <v>Low</v>
      </c>
      <c r="AJ812" t="str">
        <f t="shared" si="160"/>
        <v>High</v>
      </c>
      <c r="AK812" t="str">
        <f t="shared" si="161"/>
        <v>Senior</v>
      </c>
      <c r="AL812" t="str">
        <f t="shared" si="162"/>
        <v>High</v>
      </c>
      <c r="AM812" t="str">
        <f t="shared" si="163"/>
        <v>Very High</v>
      </c>
      <c r="AN812" t="str">
        <f t="shared" si="164"/>
        <v>Low</v>
      </c>
      <c r="AO812" t="str">
        <f t="shared" si="165"/>
        <v>Better</v>
      </c>
      <c r="AP812" t="str">
        <f t="shared" si="166"/>
        <v>45-54</v>
      </c>
      <c r="AQ812" t="str">
        <f t="shared" si="167"/>
        <v>High</v>
      </c>
      <c r="AR812" t="str">
        <f t="shared" si="168"/>
        <v>11-20 Years</v>
      </c>
    </row>
    <row r="813" spans="1:44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t="s">
        <v>46</v>
      </c>
      <c r="L813">
        <v>32</v>
      </c>
      <c r="M813">
        <v>3</v>
      </c>
      <c r="N813">
        <v>3</v>
      </c>
      <c r="O813" t="s">
        <v>40</v>
      </c>
      <c r="P813">
        <v>2</v>
      </c>
      <c r="Q813" t="s">
        <v>41</v>
      </c>
      <c r="R813">
        <v>7351</v>
      </c>
      <c r="S813">
        <v>7</v>
      </c>
      <c r="T813" t="s">
        <v>43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  <c r="AF813">
        <f t="shared" si="156"/>
        <v>0</v>
      </c>
      <c r="AG813">
        <f t="shared" si="157"/>
        <v>0</v>
      </c>
      <c r="AH813" t="str">
        <f t="shared" si="158"/>
        <v>College</v>
      </c>
      <c r="AI813" t="str">
        <f t="shared" si="159"/>
        <v>Very High</v>
      </c>
      <c r="AJ813" t="str">
        <f t="shared" si="160"/>
        <v>High</v>
      </c>
      <c r="AK813" t="str">
        <f t="shared" si="161"/>
        <v>Mid-Level</v>
      </c>
      <c r="AL813" t="str">
        <f t="shared" si="162"/>
        <v>Medium</v>
      </c>
      <c r="AM813" t="str">
        <f t="shared" si="163"/>
        <v>High</v>
      </c>
      <c r="AN813" t="str">
        <f t="shared" si="164"/>
        <v>No Options</v>
      </c>
      <c r="AO813" t="str">
        <f t="shared" si="165"/>
        <v>Better</v>
      </c>
      <c r="AP813" t="str">
        <f t="shared" si="166"/>
        <v>35-44</v>
      </c>
      <c r="AQ813" t="str">
        <f t="shared" si="167"/>
        <v>Upper-Mid</v>
      </c>
      <c r="AR813" t="str">
        <f t="shared" si="168"/>
        <v>0-2 Years</v>
      </c>
    </row>
    <row r="814" spans="1:44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83</v>
      </c>
      <c r="M814">
        <v>3</v>
      </c>
      <c r="N814">
        <v>3</v>
      </c>
      <c r="O814" t="s">
        <v>53</v>
      </c>
      <c r="P814">
        <v>1</v>
      </c>
      <c r="Q814" t="s">
        <v>48</v>
      </c>
      <c r="R814">
        <v>10820</v>
      </c>
      <c r="S814">
        <v>8</v>
      </c>
      <c r="T814" t="s">
        <v>43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  <c r="AF814">
        <f t="shared" si="156"/>
        <v>0</v>
      </c>
      <c r="AG814">
        <f t="shared" si="157"/>
        <v>0</v>
      </c>
      <c r="AH814" t="str">
        <f t="shared" si="158"/>
        <v>Bachelor</v>
      </c>
      <c r="AI814" t="str">
        <f t="shared" si="159"/>
        <v>High</v>
      </c>
      <c r="AJ814" t="str">
        <f t="shared" si="160"/>
        <v>High</v>
      </c>
      <c r="AK814" t="str">
        <f t="shared" si="161"/>
        <v>Mid-Level</v>
      </c>
      <c r="AL814" t="str">
        <f t="shared" si="162"/>
        <v>Low</v>
      </c>
      <c r="AM814" t="str">
        <f t="shared" si="163"/>
        <v>High</v>
      </c>
      <c r="AN814" t="str">
        <f t="shared" si="164"/>
        <v>Low</v>
      </c>
      <c r="AO814" t="str">
        <f t="shared" si="165"/>
        <v>Better</v>
      </c>
      <c r="AP814" t="str">
        <f t="shared" si="166"/>
        <v>35-44</v>
      </c>
      <c r="AQ814" t="str">
        <f t="shared" si="167"/>
        <v>Upper-Mid</v>
      </c>
      <c r="AR814" t="str">
        <f t="shared" si="168"/>
        <v>6-10 Years</v>
      </c>
    </row>
    <row r="815" spans="1:44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46</v>
      </c>
      <c r="L815">
        <v>84</v>
      </c>
      <c r="M815">
        <v>3</v>
      </c>
      <c r="N815">
        <v>4</v>
      </c>
      <c r="O815" t="s">
        <v>54</v>
      </c>
      <c r="P815">
        <v>4</v>
      </c>
      <c r="Q815" t="s">
        <v>52</v>
      </c>
      <c r="R815">
        <v>12169</v>
      </c>
      <c r="S815">
        <v>7</v>
      </c>
      <c r="T815" t="s">
        <v>43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  <c r="AF815">
        <f t="shared" si="156"/>
        <v>1</v>
      </c>
      <c r="AG815">
        <f t="shared" si="157"/>
        <v>0</v>
      </c>
      <c r="AH815" t="str">
        <f t="shared" si="158"/>
        <v>Bachelor</v>
      </c>
      <c r="AI815" t="str">
        <f t="shared" si="159"/>
        <v>Low</v>
      </c>
      <c r="AJ815" t="str">
        <f t="shared" si="160"/>
        <v>High</v>
      </c>
      <c r="AK815" t="str">
        <f t="shared" si="161"/>
        <v>Senior</v>
      </c>
      <c r="AL815" t="str">
        <f t="shared" si="162"/>
        <v>Very High</v>
      </c>
      <c r="AM815" t="str">
        <f t="shared" si="163"/>
        <v>Very High</v>
      </c>
      <c r="AN815" t="str">
        <f t="shared" si="164"/>
        <v>High</v>
      </c>
      <c r="AO815" t="str">
        <f t="shared" si="165"/>
        <v>Better</v>
      </c>
      <c r="AP815" t="str">
        <f t="shared" si="166"/>
        <v>35-44</v>
      </c>
      <c r="AQ815" t="str">
        <f t="shared" si="167"/>
        <v>Upper-Mid</v>
      </c>
      <c r="AR815" t="str">
        <f t="shared" si="168"/>
        <v>11-20 Years</v>
      </c>
    </row>
    <row r="816" spans="1:44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46</v>
      </c>
      <c r="L816">
        <v>44</v>
      </c>
      <c r="M816">
        <v>2</v>
      </c>
      <c r="N816">
        <v>5</v>
      </c>
      <c r="O816" t="s">
        <v>58</v>
      </c>
      <c r="P816">
        <v>3</v>
      </c>
      <c r="Q816" t="s">
        <v>41</v>
      </c>
      <c r="R816">
        <v>19626</v>
      </c>
      <c r="S816">
        <v>1</v>
      </c>
      <c r="T816" t="s">
        <v>43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  <c r="AF816">
        <f t="shared" si="156"/>
        <v>0</v>
      </c>
      <c r="AG816">
        <f t="shared" si="157"/>
        <v>0</v>
      </c>
      <c r="AH816" t="str">
        <f t="shared" si="158"/>
        <v>Bachelor</v>
      </c>
      <c r="AI816" t="str">
        <f t="shared" si="159"/>
        <v>High</v>
      </c>
      <c r="AJ816" t="str">
        <f t="shared" si="160"/>
        <v>Medium</v>
      </c>
      <c r="AK816" t="str">
        <f t="shared" si="161"/>
        <v>Executive</v>
      </c>
      <c r="AL816" t="str">
        <f t="shared" si="162"/>
        <v>High</v>
      </c>
      <c r="AM816" t="str">
        <f t="shared" si="163"/>
        <v>Low</v>
      </c>
      <c r="AN816" t="str">
        <f t="shared" si="164"/>
        <v>No Options</v>
      </c>
      <c r="AO816" t="str">
        <f t="shared" si="165"/>
        <v>Best</v>
      </c>
      <c r="AP816" t="str">
        <f t="shared" si="166"/>
        <v>35-44</v>
      </c>
      <c r="AQ816" t="str">
        <f t="shared" si="167"/>
        <v>High</v>
      </c>
      <c r="AR816" t="str">
        <f t="shared" si="168"/>
        <v>11-20 Years</v>
      </c>
    </row>
    <row r="817" spans="1:44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t="s">
        <v>39</v>
      </c>
      <c r="L817">
        <v>70</v>
      </c>
      <c r="M817">
        <v>2</v>
      </c>
      <c r="N817">
        <v>1</v>
      </c>
      <c r="O817" t="s">
        <v>47</v>
      </c>
      <c r="P817">
        <v>2</v>
      </c>
      <c r="Q817" t="s">
        <v>41</v>
      </c>
      <c r="R817">
        <v>2070</v>
      </c>
      <c r="S817">
        <v>1</v>
      </c>
      <c r="T817" t="s">
        <v>35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  <c r="AF817">
        <f t="shared" si="156"/>
        <v>0</v>
      </c>
      <c r="AG817">
        <f t="shared" si="157"/>
        <v>1</v>
      </c>
      <c r="AH817" t="str">
        <f t="shared" si="158"/>
        <v>Below College</v>
      </c>
      <c r="AI817" t="str">
        <f t="shared" si="159"/>
        <v>Very High</v>
      </c>
      <c r="AJ817" t="str">
        <f t="shared" si="160"/>
        <v>Medium</v>
      </c>
      <c r="AK817" t="str">
        <f t="shared" si="161"/>
        <v>Entry</v>
      </c>
      <c r="AL817" t="str">
        <f t="shared" si="162"/>
        <v>Medium</v>
      </c>
      <c r="AM817" t="str">
        <f t="shared" si="163"/>
        <v>High</v>
      </c>
      <c r="AN817" t="str">
        <f t="shared" si="164"/>
        <v>No Options</v>
      </c>
      <c r="AO817" t="str">
        <f t="shared" si="165"/>
        <v>Best</v>
      </c>
      <c r="AP817" t="str">
        <f t="shared" si="166"/>
        <v>Under 25</v>
      </c>
      <c r="AQ817" t="str">
        <f t="shared" si="167"/>
        <v>Low</v>
      </c>
      <c r="AR817" t="str">
        <f t="shared" si="168"/>
        <v>0-2 Years</v>
      </c>
    </row>
    <row r="818" spans="1:44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46</v>
      </c>
      <c r="L818">
        <v>70</v>
      </c>
      <c r="M818">
        <v>3</v>
      </c>
      <c r="N818">
        <v>2</v>
      </c>
      <c r="O818" t="s">
        <v>50</v>
      </c>
      <c r="P818">
        <v>2</v>
      </c>
      <c r="Q818" t="s">
        <v>41</v>
      </c>
      <c r="R818">
        <v>6782</v>
      </c>
      <c r="S818">
        <v>9</v>
      </c>
      <c r="T818" t="s">
        <v>43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  <c r="AF818">
        <f t="shared" si="156"/>
        <v>0</v>
      </c>
      <c r="AG818">
        <f t="shared" si="157"/>
        <v>0</v>
      </c>
      <c r="AH818" t="str">
        <f t="shared" si="158"/>
        <v>Bachelor</v>
      </c>
      <c r="AI818" t="str">
        <f t="shared" si="159"/>
        <v>High</v>
      </c>
      <c r="AJ818" t="str">
        <f t="shared" si="160"/>
        <v>High</v>
      </c>
      <c r="AK818" t="str">
        <f t="shared" si="161"/>
        <v>Junior</v>
      </c>
      <c r="AL818" t="str">
        <f t="shared" si="162"/>
        <v>Medium</v>
      </c>
      <c r="AM818" t="str">
        <f t="shared" si="163"/>
        <v>High</v>
      </c>
      <c r="AN818" t="str">
        <f t="shared" si="164"/>
        <v>No Options</v>
      </c>
      <c r="AO818" t="str">
        <f t="shared" si="165"/>
        <v>Good</v>
      </c>
      <c r="AP818" t="str">
        <f t="shared" si="166"/>
        <v>35-44</v>
      </c>
      <c r="AQ818" t="str">
        <f t="shared" si="167"/>
        <v>Lower-Mid</v>
      </c>
      <c r="AR818" t="str">
        <f t="shared" si="168"/>
        <v>3-5 Years</v>
      </c>
    </row>
    <row r="819" spans="1:44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46</v>
      </c>
      <c r="L819">
        <v>78</v>
      </c>
      <c r="M819">
        <v>3</v>
      </c>
      <c r="N819">
        <v>2</v>
      </c>
      <c r="O819" t="s">
        <v>53</v>
      </c>
      <c r="P819">
        <v>4</v>
      </c>
      <c r="Q819" t="s">
        <v>41</v>
      </c>
      <c r="R819">
        <v>7779</v>
      </c>
      <c r="S819">
        <v>2</v>
      </c>
      <c r="T819" t="s">
        <v>43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  <c r="AF819">
        <f t="shared" si="156"/>
        <v>0</v>
      </c>
      <c r="AG819">
        <f t="shared" si="157"/>
        <v>0</v>
      </c>
      <c r="AH819" t="str">
        <f t="shared" si="158"/>
        <v>Master</v>
      </c>
      <c r="AI819" t="str">
        <f t="shared" si="159"/>
        <v>Low</v>
      </c>
      <c r="AJ819" t="str">
        <f t="shared" si="160"/>
        <v>High</v>
      </c>
      <c r="AK819" t="str">
        <f t="shared" si="161"/>
        <v>Junior</v>
      </c>
      <c r="AL819" t="str">
        <f t="shared" si="162"/>
        <v>Very High</v>
      </c>
      <c r="AM819" t="str">
        <f t="shared" si="163"/>
        <v>Low</v>
      </c>
      <c r="AN819" t="str">
        <f t="shared" si="164"/>
        <v>No Options</v>
      </c>
      <c r="AO819" t="str">
        <f t="shared" si="165"/>
        <v>Better</v>
      </c>
      <c r="AP819" t="str">
        <f t="shared" si="166"/>
        <v>35-44</v>
      </c>
      <c r="AQ819" t="str">
        <f t="shared" si="167"/>
        <v>Upper-Mid</v>
      </c>
      <c r="AR819" t="str">
        <f t="shared" si="168"/>
        <v>11-20 Years</v>
      </c>
    </row>
    <row r="820" spans="1:44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46</v>
      </c>
      <c r="L820">
        <v>67</v>
      </c>
      <c r="M820">
        <v>4</v>
      </c>
      <c r="N820">
        <v>1</v>
      </c>
      <c r="O820" t="s">
        <v>57</v>
      </c>
      <c r="P820">
        <v>4</v>
      </c>
      <c r="Q820" t="s">
        <v>48</v>
      </c>
      <c r="R820">
        <v>2791</v>
      </c>
      <c r="S820">
        <v>0</v>
      </c>
      <c r="T820" t="s">
        <v>43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  <c r="AF820">
        <f t="shared" si="156"/>
        <v>0</v>
      </c>
      <c r="AG820">
        <f t="shared" si="157"/>
        <v>0</v>
      </c>
      <c r="AH820" t="str">
        <f t="shared" si="158"/>
        <v>Bachelor</v>
      </c>
      <c r="AI820" t="str">
        <f t="shared" si="159"/>
        <v>High</v>
      </c>
      <c r="AJ820" t="str">
        <f t="shared" si="160"/>
        <v>Very High</v>
      </c>
      <c r="AK820" t="str">
        <f t="shared" si="161"/>
        <v>Entry</v>
      </c>
      <c r="AL820" t="str">
        <f t="shared" si="162"/>
        <v>Very High</v>
      </c>
      <c r="AM820" t="str">
        <f t="shared" si="163"/>
        <v>Low</v>
      </c>
      <c r="AN820" t="str">
        <f t="shared" si="164"/>
        <v>Low</v>
      </c>
      <c r="AO820" t="str">
        <f t="shared" si="165"/>
        <v>Better</v>
      </c>
      <c r="AP820" t="str">
        <f t="shared" si="166"/>
        <v>25-34</v>
      </c>
      <c r="AQ820" t="str">
        <f t="shared" si="167"/>
        <v>Low</v>
      </c>
      <c r="AR820" t="str">
        <f t="shared" si="168"/>
        <v>0-2 Years</v>
      </c>
    </row>
    <row r="821" spans="1:44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46</v>
      </c>
      <c r="L821">
        <v>67</v>
      </c>
      <c r="M821">
        <v>2</v>
      </c>
      <c r="N821">
        <v>1</v>
      </c>
      <c r="O821" t="s">
        <v>47</v>
      </c>
      <c r="P821">
        <v>2</v>
      </c>
      <c r="Q821" t="s">
        <v>48</v>
      </c>
      <c r="R821">
        <v>3201</v>
      </c>
      <c r="S821">
        <v>0</v>
      </c>
      <c r="T821" t="s">
        <v>43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  <c r="AF821">
        <f t="shared" si="156"/>
        <v>0</v>
      </c>
      <c r="AG821">
        <f t="shared" si="157"/>
        <v>0</v>
      </c>
      <c r="AH821" t="str">
        <f t="shared" si="158"/>
        <v>Below College</v>
      </c>
      <c r="AI821" t="str">
        <f t="shared" si="159"/>
        <v>Low</v>
      </c>
      <c r="AJ821" t="str">
        <f t="shared" si="160"/>
        <v>Medium</v>
      </c>
      <c r="AK821" t="str">
        <f t="shared" si="161"/>
        <v>Entry</v>
      </c>
      <c r="AL821" t="str">
        <f t="shared" si="162"/>
        <v>Medium</v>
      </c>
      <c r="AM821" t="str">
        <f t="shared" si="163"/>
        <v>Low</v>
      </c>
      <c r="AN821" t="str">
        <f t="shared" si="164"/>
        <v>No Options</v>
      </c>
      <c r="AO821" t="str">
        <f t="shared" si="165"/>
        <v>Bad</v>
      </c>
      <c r="AP821" t="str">
        <f t="shared" si="166"/>
        <v>25-34</v>
      </c>
      <c r="AQ821" t="str">
        <f t="shared" si="167"/>
        <v>Lower-Mid</v>
      </c>
      <c r="AR821" t="str">
        <f t="shared" si="168"/>
        <v>3-5 Years</v>
      </c>
    </row>
    <row r="822" spans="1:44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t="s">
        <v>46</v>
      </c>
      <c r="L822">
        <v>54</v>
      </c>
      <c r="M822">
        <v>3</v>
      </c>
      <c r="N822">
        <v>2</v>
      </c>
      <c r="O822" t="s">
        <v>40</v>
      </c>
      <c r="P822">
        <v>4</v>
      </c>
      <c r="Q822" t="s">
        <v>52</v>
      </c>
      <c r="R822">
        <v>4968</v>
      </c>
      <c r="S822">
        <v>1</v>
      </c>
      <c r="T822" t="s">
        <v>43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  <c r="AF822">
        <f t="shared" si="156"/>
        <v>0</v>
      </c>
      <c r="AG822">
        <f t="shared" si="157"/>
        <v>0</v>
      </c>
      <c r="AH822" t="str">
        <f t="shared" si="158"/>
        <v>College</v>
      </c>
      <c r="AI822" t="str">
        <f t="shared" si="159"/>
        <v>Very High</v>
      </c>
      <c r="AJ822" t="str">
        <f t="shared" si="160"/>
        <v>High</v>
      </c>
      <c r="AK822" t="str">
        <f t="shared" si="161"/>
        <v>Junior</v>
      </c>
      <c r="AL822" t="str">
        <f t="shared" si="162"/>
        <v>Very High</v>
      </c>
      <c r="AM822" t="str">
        <f t="shared" si="163"/>
        <v>Very High</v>
      </c>
      <c r="AN822" t="str">
        <f t="shared" si="164"/>
        <v>Low</v>
      </c>
      <c r="AO822" t="str">
        <f t="shared" si="165"/>
        <v>Better</v>
      </c>
      <c r="AP822" t="str">
        <f t="shared" si="166"/>
        <v>35-44</v>
      </c>
      <c r="AQ822" t="str">
        <f t="shared" si="167"/>
        <v>Lower-Mid</v>
      </c>
      <c r="AR822" t="str">
        <f t="shared" si="168"/>
        <v>3-5 Years</v>
      </c>
    </row>
    <row r="823" spans="1:44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t="s">
        <v>46</v>
      </c>
      <c r="L823">
        <v>56</v>
      </c>
      <c r="M823">
        <v>2</v>
      </c>
      <c r="N823">
        <v>4</v>
      </c>
      <c r="O823" t="s">
        <v>40</v>
      </c>
      <c r="P823">
        <v>2</v>
      </c>
      <c r="Q823" t="s">
        <v>48</v>
      </c>
      <c r="R823">
        <v>13120</v>
      </c>
      <c r="S823">
        <v>6</v>
      </c>
      <c r="T823" t="s">
        <v>43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  <c r="AF823">
        <f t="shared" si="156"/>
        <v>0</v>
      </c>
      <c r="AG823">
        <f t="shared" si="157"/>
        <v>0</v>
      </c>
      <c r="AH823" t="str">
        <f t="shared" si="158"/>
        <v>Master</v>
      </c>
      <c r="AI823" t="str">
        <f t="shared" si="159"/>
        <v>Very High</v>
      </c>
      <c r="AJ823" t="str">
        <f t="shared" si="160"/>
        <v>Medium</v>
      </c>
      <c r="AK823" t="str">
        <f t="shared" si="161"/>
        <v>Senior</v>
      </c>
      <c r="AL823" t="str">
        <f t="shared" si="162"/>
        <v>Medium</v>
      </c>
      <c r="AM823" t="str">
        <f t="shared" si="163"/>
        <v>Medium</v>
      </c>
      <c r="AN823" t="str">
        <f t="shared" si="164"/>
        <v>Low</v>
      </c>
      <c r="AO823" t="str">
        <f t="shared" si="165"/>
        <v>Better</v>
      </c>
      <c r="AP823" t="str">
        <f t="shared" si="166"/>
        <v>45-54</v>
      </c>
      <c r="AQ823" t="str">
        <f t="shared" si="167"/>
        <v>High</v>
      </c>
      <c r="AR823" t="str">
        <f t="shared" si="168"/>
        <v>6-10 Years</v>
      </c>
    </row>
    <row r="824" spans="1:44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46</v>
      </c>
      <c r="L824">
        <v>95</v>
      </c>
      <c r="M824">
        <v>3</v>
      </c>
      <c r="N824">
        <v>2</v>
      </c>
      <c r="O824" t="s">
        <v>53</v>
      </c>
      <c r="P824">
        <v>3</v>
      </c>
      <c r="Q824" t="s">
        <v>41</v>
      </c>
      <c r="R824">
        <v>4033</v>
      </c>
      <c r="S824">
        <v>2</v>
      </c>
      <c r="T824" t="s">
        <v>43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  <c r="AF824">
        <f t="shared" si="156"/>
        <v>0</v>
      </c>
      <c r="AG824">
        <f t="shared" si="157"/>
        <v>0</v>
      </c>
      <c r="AH824" t="str">
        <f t="shared" si="158"/>
        <v>College</v>
      </c>
      <c r="AI824" t="str">
        <f t="shared" si="159"/>
        <v>Very High</v>
      </c>
      <c r="AJ824" t="str">
        <f t="shared" si="160"/>
        <v>High</v>
      </c>
      <c r="AK824" t="str">
        <f t="shared" si="161"/>
        <v>Junior</v>
      </c>
      <c r="AL824" t="str">
        <f t="shared" si="162"/>
        <v>High</v>
      </c>
      <c r="AM824" t="str">
        <f t="shared" si="163"/>
        <v>Very High</v>
      </c>
      <c r="AN824" t="str">
        <f t="shared" si="164"/>
        <v>No Options</v>
      </c>
      <c r="AO824" t="str">
        <f t="shared" si="165"/>
        <v>Good</v>
      </c>
      <c r="AP824" t="str">
        <f t="shared" si="166"/>
        <v>25-34</v>
      </c>
      <c r="AQ824" t="str">
        <f t="shared" si="167"/>
        <v>Lower-Mid</v>
      </c>
      <c r="AR824" t="str">
        <f t="shared" si="168"/>
        <v>3-5 Years</v>
      </c>
    </row>
    <row r="825" spans="1:44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61</v>
      </c>
      <c r="M825">
        <v>3</v>
      </c>
      <c r="N825">
        <v>1</v>
      </c>
      <c r="O825" t="s">
        <v>47</v>
      </c>
      <c r="P825">
        <v>2</v>
      </c>
      <c r="Q825" t="s">
        <v>52</v>
      </c>
      <c r="R825">
        <v>3291</v>
      </c>
      <c r="S825">
        <v>0</v>
      </c>
      <c r="T825" t="s">
        <v>43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  <c r="AF825">
        <f t="shared" si="156"/>
        <v>0</v>
      </c>
      <c r="AG825">
        <f t="shared" si="157"/>
        <v>0</v>
      </c>
      <c r="AH825" t="str">
        <f t="shared" si="158"/>
        <v>Bachelor</v>
      </c>
      <c r="AI825" t="str">
        <f t="shared" si="159"/>
        <v>Very High</v>
      </c>
      <c r="AJ825" t="str">
        <f t="shared" si="160"/>
        <v>High</v>
      </c>
      <c r="AK825" t="str">
        <f t="shared" si="161"/>
        <v>Entry</v>
      </c>
      <c r="AL825" t="str">
        <f t="shared" si="162"/>
        <v>Medium</v>
      </c>
      <c r="AM825" t="str">
        <f t="shared" si="163"/>
        <v>Very High</v>
      </c>
      <c r="AN825" t="str">
        <f t="shared" si="164"/>
        <v>Medium</v>
      </c>
      <c r="AO825" t="str">
        <f t="shared" si="165"/>
        <v>Good</v>
      </c>
      <c r="AP825" t="str">
        <f t="shared" si="166"/>
        <v>25-34</v>
      </c>
      <c r="AQ825" t="str">
        <f t="shared" si="167"/>
        <v>Lower-Mid</v>
      </c>
      <c r="AR825" t="str">
        <f t="shared" si="168"/>
        <v>6-10 Years</v>
      </c>
    </row>
    <row r="826" spans="1:44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46</v>
      </c>
      <c r="L826">
        <v>56</v>
      </c>
      <c r="M826">
        <v>1</v>
      </c>
      <c r="N826">
        <v>2</v>
      </c>
      <c r="O826" t="s">
        <v>50</v>
      </c>
      <c r="P826">
        <v>4</v>
      </c>
      <c r="Q826" t="s">
        <v>41</v>
      </c>
      <c r="R826">
        <v>4272</v>
      </c>
      <c r="S826">
        <v>4</v>
      </c>
      <c r="T826" t="s">
        <v>43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  <c r="AF826">
        <f t="shared" si="156"/>
        <v>0</v>
      </c>
      <c r="AG826">
        <f t="shared" si="157"/>
        <v>0</v>
      </c>
      <c r="AH826" t="str">
        <f t="shared" si="158"/>
        <v>Bachelor</v>
      </c>
      <c r="AI826" t="str">
        <f t="shared" si="159"/>
        <v>Medium</v>
      </c>
      <c r="AJ826" t="str">
        <f t="shared" si="160"/>
        <v>Low</v>
      </c>
      <c r="AK826" t="str">
        <f t="shared" si="161"/>
        <v>Junior</v>
      </c>
      <c r="AL826" t="str">
        <f t="shared" si="162"/>
        <v>Very High</v>
      </c>
      <c r="AM826" t="str">
        <f t="shared" si="163"/>
        <v>Low</v>
      </c>
      <c r="AN826" t="str">
        <f t="shared" si="164"/>
        <v>No Options</v>
      </c>
      <c r="AO826" t="str">
        <f t="shared" si="165"/>
        <v>Better</v>
      </c>
      <c r="AP826" t="str">
        <f t="shared" si="166"/>
        <v>35-44</v>
      </c>
      <c r="AQ826" t="str">
        <f t="shared" si="167"/>
        <v>Lower-Mid</v>
      </c>
      <c r="AR826" t="str">
        <f t="shared" si="168"/>
        <v>0-2 Years</v>
      </c>
    </row>
    <row r="827" spans="1:44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46</v>
      </c>
      <c r="L827">
        <v>79</v>
      </c>
      <c r="M827">
        <v>2</v>
      </c>
      <c r="N827">
        <v>2</v>
      </c>
      <c r="O827" t="s">
        <v>53</v>
      </c>
      <c r="P827">
        <v>4</v>
      </c>
      <c r="Q827" t="s">
        <v>48</v>
      </c>
      <c r="R827">
        <v>5056</v>
      </c>
      <c r="S827">
        <v>1</v>
      </c>
      <c r="T827" t="s">
        <v>35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  <c r="AF827">
        <f t="shared" si="156"/>
        <v>0</v>
      </c>
      <c r="AG827">
        <f t="shared" si="157"/>
        <v>1</v>
      </c>
      <c r="AH827" t="str">
        <f t="shared" si="158"/>
        <v>Below College</v>
      </c>
      <c r="AI827" t="str">
        <f t="shared" si="159"/>
        <v>Medium</v>
      </c>
      <c r="AJ827" t="str">
        <f t="shared" si="160"/>
        <v>Medium</v>
      </c>
      <c r="AK827" t="str">
        <f t="shared" si="161"/>
        <v>Junior</v>
      </c>
      <c r="AL827" t="str">
        <f t="shared" si="162"/>
        <v>Very High</v>
      </c>
      <c r="AM827" t="str">
        <f t="shared" si="163"/>
        <v>High</v>
      </c>
      <c r="AN827" t="str">
        <f t="shared" si="164"/>
        <v>Low</v>
      </c>
      <c r="AO827" t="str">
        <f t="shared" si="165"/>
        <v>Good</v>
      </c>
      <c r="AP827" t="str">
        <f t="shared" si="166"/>
        <v>25-34</v>
      </c>
      <c r="AQ827" t="str">
        <f t="shared" si="167"/>
        <v>Lower-Mid</v>
      </c>
      <c r="AR827" t="str">
        <f t="shared" si="168"/>
        <v>6-10 Years</v>
      </c>
    </row>
    <row r="828" spans="1:44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t="s">
        <v>46</v>
      </c>
      <c r="L828">
        <v>37</v>
      </c>
      <c r="M828">
        <v>4</v>
      </c>
      <c r="N828">
        <v>1</v>
      </c>
      <c r="O828" t="s">
        <v>61</v>
      </c>
      <c r="P828">
        <v>3</v>
      </c>
      <c r="Q828" t="s">
        <v>48</v>
      </c>
      <c r="R828">
        <v>2844</v>
      </c>
      <c r="S828">
        <v>1</v>
      </c>
      <c r="T828" t="s">
        <v>43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  <c r="AF828">
        <f t="shared" si="156"/>
        <v>0</v>
      </c>
      <c r="AG828">
        <f t="shared" si="157"/>
        <v>0</v>
      </c>
      <c r="AH828" t="str">
        <f t="shared" si="158"/>
        <v>Bachelor</v>
      </c>
      <c r="AI828" t="str">
        <f t="shared" si="159"/>
        <v>High</v>
      </c>
      <c r="AJ828" t="str">
        <f t="shared" si="160"/>
        <v>Very High</v>
      </c>
      <c r="AK828" t="str">
        <f t="shared" si="161"/>
        <v>Entry</v>
      </c>
      <c r="AL828" t="str">
        <f t="shared" si="162"/>
        <v>High</v>
      </c>
      <c r="AM828" t="str">
        <f t="shared" si="163"/>
        <v>Very High</v>
      </c>
      <c r="AN828" t="str">
        <f t="shared" si="164"/>
        <v>Low</v>
      </c>
      <c r="AO828" t="str">
        <f t="shared" si="165"/>
        <v>Best</v>
      </c>
      <c r="AP828" t="str">
        <f t="shared" si="166"/>
        <v>35-44</v>
      </c>
      <c r="AQ828" t="str">
        <f t="shared" si="167"/>
        <v>Low</v>
      </c>
      <c r="AR828" t="str">
        <f t="shared" si="168"/>
        <v>6-10 Years</v>
      </c>
    </row>
    <row r="829" spans="1:44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46</v>
      </c>
      <c r="L829">
        <v>39</v>
      </c>
      <c r="M829">
        <v>2</v>
      </c>
      <c r="N829">
        <v>1</v>
      </c>
      <c r="O829" t="s">
        <v>47</v>
      </c>
      <c r="P829">
        <v>3</v>
      </c>
      <c r="Q829" t="s">
        <v>52</v>
      </c>
      <c r="R829">
        <v>2703</v>
      </c>
      <c r="S829">
        <v>1</v>
      </c>
      <c r="T829" t="s">
        <v>35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  <c r="AF829">
        <f t="shared" si="156"/>
        <v>0</v>
      </c>
      <c r="AG829">
        <f t="shared" si="157"/>
        <v>1</v>
      </c>
      <c r="AH829" t="str">
        <f t="shared" si="158"/>
        <v>Bachelor</v>
      </c>
      <c r="AI829" t="str">
        <f t="shared" si="159"/>
        <v>High</v>
      </c>
      <c r="AJ829" t="str">
        <f t="shared" si="160"/>
        <v>Medium</v>
      </c>
      <c r="AK829" t="str">
        <f t="shared" si="161"/>
        <v>Entry</v>
      </c>
      <c r="AL829" t="str">
        <f t="shared" si="162"/>
        <v>High</v>
      </c>
      <c r="AM829" t="str">
        <f t="shared" si="163"/>
        <v>Very High</v>
      </c>
      <c r="AN829" t="str">
        <f t="shared" si="164"/>
        <v>Low</v>
      </c>
      <c r="AO829" t="str">
        <f t="shared" si="165"/>
        <v>Better</v>
      </c>
      <c r="AP829" t="str">
        <f t="shared" si="166"/>
        <v>25-34</v>
      </c>
      <c r="AQ829" t="str">
        <f t="shared" si="167"/>
        <v>Low</v>
      </c>
      <c r="AR829" t="str">
        <f t="shared" si="168"/>
        <v>3-5 Years</v>
      </c>
    </row>
    <row r="830" spans="1:44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46</v>
      </c>
      <c r="L830">
        <v>80</v>
      </c>
      <c r="M830">
        <v>3</v>
      </c>
      <c r="N830">
        <v>1</v>
      </c>
      <c r="O830" t="s">
        <v>50</v>
      </c>
      <c r="P830">
        <v>3</v>
      </c>
      <c r="Q830" t="s">
        <v>41</v>
      </c>
      <c r="R830">
        <v>1904</v>
      </c>
      <c r="S830">
        <v>1</v>
      </c>
      <c r="T830" t="s">
        <v>43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  <c r="AF830">
        <f t="shared" si="156"/>
        <v>1</v>
      </c>
      <c r="AG830">
        <f t="shared" si="157"/>
        <v>0</v>
      </c>
      <c r="AH830" t="str">
        <f t="shared" si="158"/>
        <v>Below College</v>
      </c>
      <c r="AI830" t="str">
        <f t="shared" si="159"/>
        <v>High</v>
      </c>
      <c r="AJ830" t="str">
        <f t="shared" si="160"/>
        <v>High</v>
      </c>
      <c r="AK830" t="str">
        <f t="shared" si="161"/>
        <v>Entry</v>
      </c>
      <c r="AL830" t="str">
        <f t="shared" si="162"/>
        <v>High</v>
      </c>
      <c r="AM830" t="str">
        <f t="shared" si="163"/>
        <v>Very High</v>
      </c>
      <c r="AN830" t="str">
        <f t="shared" si="164"/>
        <v>No Options</v>
      </c>
      <c r="AO830" t="str">
        <f t="shared" si="165"/>
        <v>Better</v>
      </c>
      <c r="AP830" t="str">
        <f t="shared" si="166"/>
        <v>Under 25</v>
      </c>
      <c r="AQ830" t="str">
        <f t="shared" si="167"/>
        <v>Low</v>
      </c>
      <c r="AR830" t="str">
        <f t="shared" si="168"/>
        <v>0-2 Years</v>
      </c>
    </row>
    <row r="831" spans="1:44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t="s">
        <v>39</v>
      </c>
      <c r="L831">
        <v>77</v>
      </c>
      <c r="M831">
        <v>3</v>
      </c>
      <c r="N831">
        <v>2</v>
      </c>
      <c r="O831" t="s">
        <v>40</v>
      </c>
      <c r="P831">
        <v>1</v>
      </c>
      <c r="Q831" t="s">
        <v>41</v>
      </c>
      <c r="R831">
        <v>8224</v>
      </c>
      <c r="S831">
        <v>0</v>
      </c>
      <c r="T831" t="s">
        <v>35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  <c r="AF831">
        <f t="shared" si="156"/>
        <v>1</v>
      </c>
      <c r="AG831">
        <f t="shared" si="157"/>
        <v>1</v>
      </c>
      <c r="AH831" t="str">
        <f t="shared" si="158"/>
        <v>Master</v>
      </c>
      <c r="AI831" t="str">
        <f t="shared" si="159"/>
        <v>Low</v>
      </c>
      <c r="AJ831" t="str">
        <f t="shared" si="160"/>
        <v>High</v>
      </c>
      <c r="AK831" t="str">
        <f t="shared" si="161"/>
        <v>Junior</v>
      </c>
      <c r="AL831" t="str">
        <f t="shared" si="162"/>
        <v>Low</v>
      </c>
      <c r="AM831" t="str">
        <f t="shared" si="163"/>
        <v>Low</v>
      </c>
      <c r="AN831" t="str">
        <f t="shared" si="164"/>
        <v>No Options</v>
      </c>
      <c r="AO831" t="str">
        <f t="shared" si="165"/>
        <v>Better</v>
      </c>
      <c r="AP831" t="str">
        <f t="shared" si="166"/>
        <v>25-34</v>
      </c>
      <c r="AQ831" t="str">
        <f t="shared" si="167"/>
        <v>Upper-Mid</v>
      </c>
      <c r="AR831" t="str">
        <f t="shared" si="168"/>
        <v>3-5 Years</v>
      </c>
    </row>
    <row r="832" spans="1:44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46</v>
      </c>
      <c r="L832">
        <v>46</v>
      </c>
      <c r="M832">
        <v>3</v>
      </c>
      <c r="N832">
        <v>1</v>
      </c>
      <c r="O832" t="s">
        <v>50</v>
      </c>
      <c r="P832">
        <v>4</v>
      </c>
      <c r="Q832" t="s">
        <v>48</v>
      </c>
      <c r="R832">
        <v>4766</v>
      </c>
      <c r="S832">
        <v>3</v>
      </c>
      <c r="T832" t="s">
        <v>35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  <c r="AF832">
        <f t="shared" si="156"/>
        <v>0</v>
      </c>
      <c r="AG832">
        <f t="shared" si="157"/>
        <v>1</v>
      </c>
      <c r="AH832" t="str">
        <f t="shared" si="158"/>
        <v>Master</v>
      </c>
      <c r="AI832" t="str">
        <f t="shared" si="159"/>
        <v>Medium</v>
      </c>
      <c r="AJ832" t="str">
        <f t="shared" si="160"/>
        <v>High</v>
      </c>
      <c r="AK832" t="str">
        <f t="shared" si="161"/>
        <v>Entry</v>
      </c>
      <c r="AL832" t="str">
        <f t="shared" si="162"/>
        <v>Very High</v>
      </c>
      <c r="AM832" t="str">
        <f t="shared" si="163"/>
        <v>Low</v>
      </c>
      <c r="AN832" t="str">
        <f t="shared" si="164"/>
        <v>Low</v>
      </c>
      <c r="AO832" t="str">
        <f t="shared" si="165"/>
        <v>Better</v>
      </c>
      <c r="AP832" t="str">
        <f t="shared" si="166"/>
        <v>35-44</v>
      </c>
      <c r="AQ832" t="str">
        <f t="shared" si="167"/>
        <v>Lower-Mid</v>
      </c>
      <c r="AR832" t="str">
        <f t="shared" si="168"/>
        <v>0-2 Years</v>
      </c>
    </row>
    <row r="833" spans="1:44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46</v>
      </c>
      <c r="L833">
        <v>72</v>
      </c>
      <c r="M833">
        <v>3</v>
      </c>
      <c r="N833">
        <v>1</v>
      </c>
      <c r="O833" t="s">
        <v>50</v>
      </c>
      <c r="P833">
        <v>3</v>
      </c>
      <c r="Q833" t="s">
        <v>48</v>
      </c>
      <c r="R833">
        <v>2610</v>
      </c>
      <c r="S833">
        <v>1</v>
      </c>
      <c r="T833" t="s">
        <v>43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  <c r="AF833">
        <f t="shared" si="156"/>
        <v>1</v>
      </c>
      <c r="AG833">
        <f t="shared" si="157"/>
        <v>0</v>
      </c>
      <c r="AH833" t="str">
        <f t="shared" si="158"/>
        <v>Bachelor</v>
      </c>
      <c r="AI833" t="str">
        <f t="shared" si="159"/>
        <v>High</v>
      </c>
      <c r="AJ833" t="str">
        <f t="shared" si="160"/>
        <v>High</v>
      </c>
      <c r="AK833" t="str">
        <f t="shared" si="161"/>
        <v>Entry</v>
      </c>
      <c r="AL833" t="str">
        <f t="shared" si="162"/>
        <v>High</v>
      </c>
      <c r="AM833" t="str">
        <f t="shared" si="163"/>
        <v>High</v>
      </c>
      <c r="AN833" t="str">
        <f t="shared" si="164"/>
        <v>Low</v>
      </c>
      <c r="AO833" t="str">
        <f t="shared" si="165"/>
        <v>Good</v>
      </c>
      <c r="AP833" t="str">
        <f t="shared" si="166"/>
        <v>25-34</v>
      </c>
      <c r="AQ833" t="str">
        <f t="shared" si="167"/>
        <v>Low</v>
      </c>
      <c r="AR833" t="str">
        <f t="shared" si="168"/>
        <v>0-2 Years</v>
      </c>
    </row>
    <row r="834" spans="1:44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39</v>
      </c>
      <c r="L834">
        <v>52</v>
      </c>
      <c r="M834">
        <v>2</v>
      </c>
      <c r="N834">
        <v>2</v>
      </c>
      <c r="O834" t="s">
        <v>54</v>
      </c>
      <c r="P834">
        <v>4</v>
      </c>
      <c r="Q834" t="s">
        <v>52</v>
      </c>
      <c r="R834">
        <v>5731</v>
      </c>
      <c r="S834">
        <v>7</v>
      </c>
      <c r="T834" t="s">
        <v>43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  <c r="AF834">
        <f t="shared" si="156"/>
        <v>0</v>
      </c>
      <c r="AG834">
        <f t="shared" si="157"/>
        <v>0</v>
      </c>
      <c r="AH834" t="str">
        <f t="shared" si="158"/>
        <v>College</v>
      </c>
      <c r="AI834" t="str">
        <f t="shared" si="159"/>
        <v>High</v>
      </c>
      <c r="AJ834" t="str">
        <f t="shared" si="160"/>
        <v>Medium</v>
      </c>
      <c r="AK834" t="str">
        <f t="shared" si="161"/>
        <v>Junior</v>
      </c>
      <c r="AL834" t="str">
        <f t="shared" si="162"/>
        <v>Very High</v>
      </c>
      <c r="AM834" t="str">
        <f t="shared" si="163"/>
        <v>High</v>
      </c>
      <c r="AN834" t="str">
        <f t="shared" si="164"/>
        <v>Medium</v>
      </c>
      <c r="AO834" t="str">
        <f t="shared" si="165"/>
        <v>Better</v>
      </c>
      <c r="AP834" t="str">
        <f t="shared" si="166"/>
        <v>35-44</v>
      </c>
      <c r="AQ834" t="str">
        <f t="shared" si="167"/>
        <v>Lower-Mid</v>
      </c>
      <c r="AR834" t="str">
        <f t="shared" si="168"/>
        <v>6-10 Years</v>
      </c>
    </row>
    <row r="835" spans="1:44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46</v>
      </c>
      <c r="L835">
        <v>55</v>
      </c>
      <c r="M835">
        <v>2</v>
      </c>
      <c r="N835">
        <v>1</v>
      </c>
      <c r="O835" t="s">
        <v>47</v>
      </c>
      <c r="P835">
        <v>3</v>
      </c>
      <c r="Q835" t="s">
        <v>48</v>
      </c>
      <c r="R835">
        <v>2539</v>
      </c>
      <c r="S835">
        <v>1</v>
      </c>
      <c r="T835" t="s">
        <v>43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  <c r="AF835">
        <f t="shared" ref="AF835:AF898" si="169">IF(B835="Yes",1,0)</f>
        <v>0</v>
      </c>
      <c r="AG835">
        <f t="shared" ref="AG835:AG898" si="170">IF(T835="Yes",1,0)</f>
        <v>0</v>
      </c>
      <c r="AH835" t="str">
        <f t="shared" ref="AH835:AH898" si="171">CHOOSE(G835,"Below College","College","Bachelor","Master","Doctor")</f>
        <v>Bachelor</v>
      </c>
      <c r="AI835" t="str">
        <f t="shared" ref="AI835:AI898" si="172">CHOOSE(J835,"Low","Medium","High","Very High")</f>
        <v>Very High</v>
      </c>
      <c r="AJ835" t="str">
        <f t="shared" ref="AJ835:AJ898" si="173">CHOOSE(M835,"Low","Medium","High","Very High")</f>
        <v>Medium</v>
      </c>
      <c r="AK835" t="str">
        <f t="shared" ref="AK835:AK898" si="174">CHOOSE(N835,"Entry","Junior","Mid-Level","Senior","Executive")</f>
        <v>Entry</v>
      </c>
      <c r="AL835" t="str">
        <f t="shared" ref="AL835:AL898" si="175">CHOOSE(P835,"Low","Medium","High","Very High")</f>
        <v>High</v>
      </c>
      <c r="AM835" t="str">
        <f t="shared" ref="AM835:AM898" si="176">CHOOSE(W835,"Low","Medium","High","Very High")</f>
        <v>High</v>
      </c>
      <c r="AN835" t="str">
        <f t="shared" ref="AN835:AN898" si="177">CHOOSE(X835+1,"No Options","Low","Medium","High")</f>
        <v>Low</v>
      </c>
      <c r="AO835" t="str">
        <f t="shared" ref="AO835:AO898" si="178">CHOOSE(AA835,"Bad","Good","Better","Best")</f>
        <v>Better</v>
      </c>
      <c r="AP835" t="str">
        <f t="shared" ref="AP835:AP898" si="179">IF(A835&lt;=24,"Under 25",IF(A835&lt;=34,"25-34",IF(A835&lt;=44,"35-44",IF(A835&lt;=54,"45-54","55+"))))</f>
        <v>25-34</v>
      </c>
      <c r="AQ835" t="str">
        <f t="shared" ref="AQ835:AQ898" si="180">IF(R835&lt;3000,"Low",IF(R835&lt;7000,"Lower-Mid",IF(R835&lt;13000,"Upper-Mid","High")))</f>
        <v>Low</v>
      </c>
      <c r="AR835" t="str">
        <f t="shared" ref="AR835:AR898" si="181">IF(AB835&lt;=2,"0-2 Years",IF(AB835&lt;=5,"3-5 Years",IF(AB835&lt;=10,"6-10 Years",IF(AB835&lt;=20,"11-20 Years","20+ Years"))))</f>
        <v>3-5 Years</v>
      </c>
    </row>
    <row r="836" spans="1:44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70</v>
      </c>
      <c r="M836">
        <v>3</v>
      </c>
      <c r="N836">
        <v>2</v>
      </c>
      <c r="O836" t="s">
        <v>40</v>
      </c>
      <c r="P836">
        <v>3</v>
      </c>
      <c r="Q836" t="s">
        <v>48</v>
      </c>
      <c r="R836">
        <v>5714</v>
      </c>
      <c r="S836">
        <v>1</v>
      </c>
      <c r="T836" t="s">
        <v>43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  <c r="AF836">
        <f t="shared" si="169"/>
        <v>0</v>
      </c>
      <c r="AG836">
        <f t="shared" si="170"/>
        <v>0</v>
      </c>
      <c r="AH836" t="str">
        <f t="shared" si="171"/>
        <v>Below College</v>
      </c>
      <c r="AI836" t="str">
        <f t="shared" si="172"/>
        <v>Medium</v>
      </c>
      <c r="AJ836" t="str">
        <f t="shared" si="173"/>
        <v>High</v>
      </c>
      <c r="AK836" t="str">
        <f t="shared" si="174"/>
        <v>Junior</v>
      </c>
      <c r="AL836" t="str">
        <f t="shared" si="175"/>
        <v>High</v>
      </c>
      <c r="AM836" t="str">
        <f t="shared" si="176"/>
        <v>Low</v>
      </c>
      <c r="AN836" t="str">
        <f t="shared" si="177"/>
        <v>No Options</v>
      </c>
      <c r="AO836" t="str">
        <f t="shared" si="178"/>
        <v>Good</v>
      </c>
      <c r="AP836" t="str">
        <f t="shared" si="179"/>
        <v>25-34</v>
      </c>
      <c r="AQ836" t="str">
        <f t="shared" si="180"/>
        <v>Lower-Mid</v>
      </c>
      <c r="AR836" t="str">
        <f t="shared" si="181"/>
        <v>6-10 Years</v>
      </c>
    </row>
    <row r="837" spans="1:44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t="s">
        <v>46</v>
      </c>
      <c r="L837">
        <v>100</v>
      </c>
      <c r="M837">
        <v>3</v>
      </c>
      <c r="N837">
        <v>1</v>
      </c>
      <c r="O837" t="s">
        <v>61</v>
      </c>
      <c r="P837">
        <v>3</v>
      </c>
      <c r="Q837" t="s">
        <v>41</v>
      </c>
      <c r="R837">
        <v>4323</v>
      </c>
      <c r="S837">
        <v>1</v>
      </c>
      <c r="T837" t="s">
        <v>43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  <c r="AF837">
        <f t="shared" si="169"/>
        <v>0</v>
      </c>
      <c r="AG837">
        <f t="shared" si="170"/>
        <v>0</v>
      </c>
      <c r="AH837" t="str">
        <f t="shared" si="171"/>
        <v>Master</v>
      </c>
      <c r="AI837" t="str">
        <f t="shared" si="172"/>
        <v>High</v>
      </c>
      <c r="AJ837" t="str">
        <f t="shared" si="173"/>
        <v>High</v>
      </c>
      <c r="AK837" t="str">
        <f t="shared" si="174"/>
        <v>Entry</v>
      </c>
      <c r="AL837" t="str">
        <f t="shared" si="175"/>
        <v>High</v>
      </c>
      <c r="AM837" t="str">
        <f t="shared" si="176"/>
        <v>Medium</v>
      </c>
      <c r="AN837" t="str">
        <f t="shared" si="177"/>
        <v>No Options</v>
      </c>
      <c r="AO837" t="str">
        <f t="shared" si="178"/>
        <v>Bad</v>
      </c>
      <c r="AP837" t="str">
        <f t="shared" si="179"/>
        <v>35-44</v>
      </c>
      <c r="AQ837" t="str">
        <f t="shared" si="180"/>
        <v>Lower-Mid</v>
      </c>
      <c r="AR837" t="str">
        <f t="shared" si="181"/>
        <v>3-5 Years</v>
      </c>
    </row>
    <row r="838" spans="1:44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45</v>
      </c>
      <c r="M838">
        <v>2</v>
      </c>
      <c r="N838">
        <v>3</v>
      </c>
      <c r="O838" t="s">
        <v>40</v>
      </c>
      <c r="P838">
        <v>1</v>
      </c>
      <c r="Q838" t="s">
        <v>48</v>
      </c>
      <c r="R838">
        <v>7336</v>
      </c>
      <c r="S838">
        <v>1</v>
      </c>
      <c r="T838" t="s">
        <v>43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  <c r="AF838">
        <f t="shared" si="169"/>
        <v>1</v>
      </c>
      <c r="AG838">
        <f t="shared" si="170"/>
        <v>0</v>
      </c>
      <c r="AH838" t="str">
        <f t="shared" si="171"/>
        <v>Below College</v>
      </c>
      <c r="AI838" t="str">
        <f t="shared" si="172"/>
        <v>Very High</v>
      </c>
      <c r="AJ838" t="str">
        <f t="shared" si="173"/>
        <v>Medium</v>
      </c>
      <c r="AK838" t="str">
        <f t="shared" si="174"/>
        <v>Mid-Level</v>
      </c>
      <c r="AL838" t="str">
        <f t="shared" si="175"/>
        <v>Low</v>
      </c>
      <c r="AM838" t="str">
        <f t="shared" si="176"/>
        <v>Low</v>
      </c>
      <c r="AN838" t="str">
        <f t="shared" si="177"/>
        <v>Low</v>
      </c>
      <c r="AO838" t="str">
        <f t="shared" si="178"/>
        <v>Bad</v>
      </c>
      <c r="AP838" t="str">
        <f t="shared" si="179"/>
        <v>25-34</v>
      </c>
      <c r="AQ838" t="str">
        <f t="shared" si="180"/>
        <v>Upper-Mid</v>
      </c>
      <c r="AR838" t="str">
        <f t="shared" si="181"/>
        <v>11-20 Years</v>
      </c>
    </row>
    <row r="839" spans="1:44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39</v>
      </c>
      <c r="L839">
        <v>88</v>
      </c>
      <c r="M839">
        <v>3</v>
      </c>
      <c r="N839">
        <v>3</v>
      </c>
      <c r="O839" t="s">
        <v>58</v>
      </c>
      <c r="P839">
        <v>3</v>
      </c>
      <c r="Q839" t="s">
        <v>41</v>
      </c>
      <c r="R839">
        <v>13499</v>
      </c>
      <c r="S839">
        <v>9</v>
      </c>
      <c r="T839" t="s">
        <v>43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  <c r="AF839">
        <f t="shared" si="169"/>
        <v>0</v>
      </c>
      <c r="AG839">
        <f t="shared" si="170"/>
        <v>0</v>
      </c>
      <c r="AH839" t="str">
        <f t="shared" si="171"/>
        <v>Master</v>
      </c>
      <c r="AI839" t="str">
        <f t="shared" si="172"/>
        <v>Medium</v>
      </c>
      <c r="AJ839" t="str">
        <f t="shared" si="173"/>
        <v>High</v>
      </c>
      <c r="AK839" t="str">
        <f t="shared" si="174"/>
        <v>Mid-Level</v>
      </c>
      <c r="AL839" t="str">
        <f t="shared" si="175"/>
        <v>High</v>
      </c>
      <c r="AM839" t="str">
        <f t="shared" si="176"/>
        <v>High</v>
      </c>
      <c r="AN839" t="str">
        <f t="shared" si="177"/>
        <v>No Options</v>
      </c>
      <c r="AO839" t="str">
        <f t="shared" si="178"/>
        <v>Good</v>
      </c>
      <c r="AP839" t="str">
        <f t="shared" si="179"/>
        <v>35-44</v>
      </c>
      <c r="AQ839" t="str">
        <f t="shared" si="180"/>
        <v>High</v>
      </c>
      <c r="AR839" t="str">
        <f t="shared" si="181"/>
        <v>11-20 Years</v>
      </c>
    </row>
    <row r="840" spans="1:44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46</v>
      </c>
      <c r="L840">
        <v>44</v>
      </c>
      <c r="M840">
        <v>3</v>
      </c>
      <c r="N840">
        <v>4</v>
      </c>
      <c r="O840" t="s">
        <v>40</v>
      </c>
      <c r="P840">
        <v>1</v>
      </c>
      <c r="Q840" t="s">
        <v>41</v>
      </c>
      <c r="R840">
        <v>13758</v>
      </c>
      <c r="S840">
        <v>0</v>
      </c>
      <c r="T840" t="s">
        <v>35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  <c r="AF840">
        <f t="shared" si="169"/>
        <v>1</v>
      </c>
      <c r="AG840">
        <f t="shared" si="170"/>
        <v>1</v>
      </c>
      <c r="AH840" t="str">
        <f t="shared" si="171"/>
        <v>Bachelor</v>
      </c>
      <c r="AI840" t="str">
        <f t="shared" si="172"/>
        <v>High</v>
      </c>
      <c r="AJ840" t="str">
        <f t="shared" si="173"/>
        <v>High</v>
      </c>
      <c r="AK840" t="str">
        <f t="shared" si="174"/>
        <v>Senior</v>
      </c>
      <c r="AL840" t="str">
        <f t="shared" si="175"/>
        <v>Low</v>
      </c>
      <c r="AM840" t="str">
        <f t="shared" si="176"/>
        <v>Medium</v>
      </c>
      <c r="AN840" t="str">
        <f t="shared" si="177"/>
        <v>No Options</v>
      </c>
      <c r="AO840" t="str">
        <f t="shared" si="178"/>
        <v>Good</v>
      </c>
      <c r="AP840" t="str">
        <f t="shared" si="179"/>
        <v>35-44</v>
      </c>
      <c r="AQ840" t="str">
        <f t="shared" si="180"/>
        <v>High</v>
      </c>
      <c r="AR840" t="str">
        <f t="shared" si="181"/>
        <v>20+ Years</v>
      </c>
    </row>
    <row r="841" spans="1:44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t="s">
        <v>46</v>
      </c>
      <c r="L841">
        <v>45</v>
      </c>
      <c r="M841">
        <v>3</v>
      </c>
      <c r="N841">
        <v>2</v>
      </c>
      <c r="O841" t="s">
        <v>40</v>
      </c>
      <c r="P841">
        <v>1</v>
      </c>
      <c r="Q841" t="s">
        <v>41</v>
      </c>
      <c r="R841">
        <v>5155</v>
      </c>
      <c r="S841">
        <v>7</v>
      </c>
      <c r="T841" t="s">
        <v>43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  <c r="AF841">
        <f t="shared" si="169"/>
        <v>0</v>
      </c>
      <c r="AG841">
        <f t="shared" si="170"/>
        <v>0</v>
      </c>
      <c r="AH841" t="str">
        <f t="shared" si="171"/>
        <v>Master</v>
      </c>
      <c r="AI841" t="str">
        <f t="shared" si="172"/>
        <v>Medium</v>
      </c>
      <c r="AJ841" t="str">
        <f t="shared" si="173"/>
        <v>High</v>
      </c>
      <c r="AK841" t="str">
        <f t="shared" si="174"/>
        <v>Junior</v>
      </c>
      <c r="AL841" t="str">
        <f t="shared" si="175"/>
        <v>Low</v>
      </c>
      <c r="AM841" t="str">
        <f t="shared" si="176"/>
        <v>Very High</v>
      </c>
      <c r="AN841" t="str">
        <f t="shared" si="177"/>
        <v>No Options</v>
      </c>
      <c r="AO841" t="str">
        <f t="shared" si="178"/>
        <v>Best</v>
      </c>
      <c r="AP841" t="str">
        <f t="shared" si="179"/>
        <v>35-44</v>
      </c>
      <c r="AQ841" t="str">
        <f t="shared" si="180"/>
        <v>Lower-Mid</v>
      </c>
      <c r="AR841" t="str">
        <f t="shared" si="181"/>
        <v>6-10 Years</v>
      </c>
    </row>
    <row r="842" spans="1:44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46</v>
      </c>
      <c r="L842">
        <v>58</v>
      </c>
      <c r="M842">
        <v>2</v>
      </c>
      <c r="N842">
        <v>1</v>
      </c>
      <c r="O842" t="s">
        <v>50</v>
      </c>
      <c r="P842">
        <v>3</v>
      </c>
      <c r="Q842" t="s">
        <v>48</v>
      </c>
      <c r="R842">
        <v>2258</v>
      </c>
      <c r="S842">
        <v>6</v>
      </c>
      <c r="T842" t="s">
        <v>43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  <c r="AF842">
        <f t="shared" si="169"/>
        <v>0</v>
      </c>
      <c r="AG842">
        <f t="shared" si="170"/>
        <v>0</v>
      </c>
      <c r="AH842" t="str">
        <f t="shared" si="171"/>
        <v>Master</v>
      </c>
      <c r="AI842" t="str">
        <f t="shared" si="172"/>
        <v>Very High</v>
      </c>
      <c r="AJ842" t="str">
        <f t="shared" si="173"/>
        <v>Medium</v>
      </c>
      <c r="AK842" t="str">
        <f t="shared" si="174"/>
        <v>Entry</v>
      </c>
      <c r="AL842" t="str">
        <f t="shared" si="175"/>
        <v>High</v>
      </c>
      <c r="AM842" t="str">
        <f t="shared" si="176"/>
        <v>Medium</v>
      </c>
      <c r="AN842" t="str">
        <f t="shared" si="177"/>
        <v>Low</v>
      </c>
      <c r="AO842" t="str">
        <f t="shared" si="178"/>
        <v>Better</v>
      </c>
      <c r="AP842" t="str">
        <f t="shared" si="179"/>
        <v>35-44</v>
      </c>
      <c r="AQ842" t="str">
        <f t="shared" si="180"/>
        <v>Low</v>
      </c>
      <c r="AR842" t="str">
        <f t="shared" si="181"/>
        <v>6-10 Years</v>
      </c>
    </row>
    <row r="843" spans="1:44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46</v>
      </c>
      <c r="L843">
        <v>49</v>
      </c>
      <c r="M843">
        <v>3</v>
      </c>
      <c r="N843">
        <v>1</v>
      </c>
      <c r="O843" t="s">
        <v>50</v>
      </c>
      <c r="P843">
        <v>2</v>
      </c>
      <c r="Q843" t="s">
        <v>41</v>
      </c>
      <c r="R843">
        <v>3597</v>
      </c>
      <c r="S843">
        <v>8</v>
      </c>
      <c r="T843" t="s">
        <v>43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  <c r="AF843">
        <f t="shared" si="169"/>
        <v>0</v>
      </c>
      <c r="AG843">
        <f t="shared" si="170"/>
        <v>0</v>
      </c>
      <c r="AH843" t="str">
        <f t="shared" si="171"/>
        <v>Bachelor</v>
      </c>
      <c r="AI843" t="str">
        <f t="shared" si="172"/>
        <v>Very High</v>
      </c>
      <c r="AJ843" t="str">
        <f t="shared" si="173"/>
        <v>High</v>
      </c>
      <c r="AK843" t="str">
        <f t="shared" si="174"/>
        <v>Entry</v>
      </c>
      <c r="AL843" t="str">
        <f t="shared" si="175"/>
        <v>Medium</v>
      </c>
      <c r="AM843" t="str">
        <f t="shared" si="176"/>
        <v>Very High</v>
      </c>
      <c r="AN843" t="str">
        <f t="shared" si="177"/>
        <v>No Options</v>
      </c>
      <c r="AO843" t="str">
        <f t="shared" si="178"/>
        <v>Better</v>
      </c>
      <c r="AP843" t="str">
        <f t="shared" si="179"/>
        <v>Under 25</v>
      </c>
      <c r="AQ843" t="str">
        <f t="shared" si="180"/>
        <v>Lower-Mid</v>
      </c>
      <c r="AR843" t="str">
        <f t="shared" si="181"/>
        <v>3-5 Years</v>
      </c>
    </row>
    <row r="844" spans="1:44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79</v>
      </c>
      <c r="M844">
        <v>3</v>
      </c>
      <c r="N844">
        <v>1</v>
      </c>
      <c r="O844" t="s">
        <v>50</v>
      </c>
      <c r="P844">
        <v>4</v>
      </c>
      <c r="Q844" t="s">
        <v>48</v>
      </c>
      <c r="R844">
        <v>2515</v>
      </c>
      <c r="S844">
        <v>1</v>
      </c>
      <c r="T844" t="s">
        <v>35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  <c r="AF844">
        <f t="shared" si="169"/>
        <v>1</v>
      </c>
      <c r="AG844">
        <f t="shared" si="170"/>
        <v>1</v>
      </c>
      <c r="AH844" t="str">
        <f t="shared" si="171"/>
        <v>Below College</v>
      </c>
      <c r="AI844" t="str">
        <f t="shared" si="172"/>
        <v>High</v>
      </c>
      <c r="AJ844" t="str">
        <f t="shared" si="173"/>
        <v>High</v>
      </c>
      <c r="AK844" t="str">
        <f t="shared" si="174"/>
        <v>Entry</v>
      </c>
      <c r="AL844" t="str">
        <f t="shared" si="175"/>
        <v>Very High</v>
      </c>
      <c r="AM844" t="str">
        <f t="shared" si="176"/>
        <v>Very High</v>
      </c>
      <c r="AN844" t="str">
        <f t="shared" si="177"/>
        <v>No Options</v>
      </c>
      <c r="AO844" t="str">
        <f t="shared" si="178"/>
        <v>Good</v>
      </c>
      <c r="AP844" t="str">
        <f t="shared" si="179"/>
        <v>25-34</v>
      </c>
      <c r="AQ844" t="str">
        <f t="shared" si="180"/>
        <v>Low</v>
      </c>
      <c r="AR844" t="str">
        <f t="shared" si="181"/>
        <v>0-2 Years</v>
      </c>
    </row>
    <row r="845" spans="1:44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46</v>
      </c>
      <c r="L845">
        <v>82</v>
      </c>
      <c r="M845">
        <v>4</v>
      </c>
      <c r="N845">
        <v>1</v>
      </c>
      <c r="O845" t="s">
        <v>50</v>
      </c>
      <c r="P845">
        <v>4</v>
      </c>
      <c r="Q845" t="s">
        <v>48</v>
      </c>
      <c r="R845">
        <v>4420</v>
      </c>
      <c r="S845">
        <v>1</v>
      </c>
      <c r="T845" t="s">
        <v>43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  <c r="AF845">
        <f t="shared" si="169"/>
        <v>0</v>
      </c>
      <c r="AG845">
        <f t="shared" si="170"/>
        <v>0</v>
      </c>
      <c r="AH845" t="str">
        <f t="shared" si="171"/>
        <v>Master</v>
      </c>
      <c r="AI845" t="str">
        <f t="shared" si="172"/>
        <v>Low</v>
      </c>
      <c r="AJ845" t="str">
        <f t="shared" si="173"/>
        <v>Very High</v>
      </c>
      <c r="AK845" t="str">
        <f t="shared" si="174"/>
        <v>Entry</v>
      </c>
      <c r="AL845" t="str">
        <f t="shared" si="175"/>
        <v>Very High</v>
      </c>
      <c r="AM845" t="str">
        <f t="shared" si="176"/>
        <v>Medium</v>
      </c>
      <c r="AN845" t="str">
        <f t="shared" si="177"/>
        <v>Low</v>
      </c>
      <c r="AO845" t="str">
        <f t="shared" si="178"/>
        <v>Better</v>
      </c>
      <c r="AP845" t="str">
        <f t="shared" si="179"/>
        <v>25-34</v>
      </c>
      <c r="AQ845" t="str">
        <f t="shared" si="180"/>
        <v>Lower-Mid</v>
      </c>
      <c r="AR845" t="str">
        <f t="shared" si="181"/>
        <v>6-10 Years</v>
      </c>
    </row>
    <row r="846" spans="1:44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t="s">
        <v>46</v>
      </c>
      <c r="L846">
        <v>72</v>
      </c>
      <c r="M846">
        <v>2</v>
      </c>
      <c r="N846">
        <v>2</v>
      </c>
      <c r="O846" t="s">
        <v>40</v>
      </c>
      <c r="P846">
        <v>3</v>
      </c>
      <c r="Q846" t="s">
        <v>48</v>
      </c>
      <c r="R846">
        <v>6578</v>
      </c>
      <c r="S846">
        <v>1</v>
      </c>
      <c r="T846" t="s">
        <v>43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  <c r="AF846">
        <f t="shared" si="169"/>
        <v>0</v>
      </c>
      <c r="AG846">
        <f t="shared" si="170"/>
        <v>0</v>
      </c>
      <c r="AH846" t="str">
        <f t="shared" si="171"/>
        <v>Bachelor</v>
      </c>
      <c r="AI846" t="str">
        <f t="shared" si="172"/>
        <v>High</v>
      </c>
      <c r="AJ846" t="str">
        <f t="shared" si="173"/>
        <v>Medium</v>
      </c>
      <c r="AK846" t="str">
        <f t="shared" si="174"/>
        <v>Junior</v>
      </c>
      <c r="AL846" t="str">
        <f t="shared" si="175"/>
        <v>High</v>
      </c>
      <c r="AM846" t="str">
        <f t="shared" si="176"/>
        <v>Low</v>
      </c>
      <c r="AN846" t="str">
        <f t="shared" si="177"/>
        <v>Low</v>
      </c>
      <c r="AO846" t="str">
        <f t="shared" si="178"/>
        <v>Better</v>
      </c>
      <c r="AP846" t="str">
        <f t="shared" si="179"/>
        <v>25-34</v>
      </c>
      <c r="AQ846" t="str">
        <f t="shared" si="180"/>
        <v>Lower-Mid</v>
      </c>
      <c r="AR846" t="str">
        <f t="shared" si="181"/>
        <v>6-10 Years</v>
      </c>
    </row>
    <row r="847" spans="1:44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39</v>
      </c>
      <c r="L847">
        <v>92</v>
      </c>
      <c r="M847">
        <v>2</v>
      </c>
      <c r="N847">
        <v>2</v>
      </c>
      <c r="O847" t="s">
        <v>47</v>
      </c>
      <c r="P847">
        <v>4</v>
      </c>
      <c r="Q847" t="s">
        <v>48</v>
      </c>
      <c r="R847">
        <v>4422</v>
      </c>
      <c r="S847">
        <v>3</v>
      </c>
      <c r="T847" t="s">
        <v>35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  <c r="AF847">
        <f t="shared" si="169"/>
        <v>0</v>
      </c>
      <c r="AG847">
        <f t="shared" si="170"/>
        <v>1</v>
      </c>
      <c r="AH847" t="str">
        <f t="shared" si="171"/>
        <v>College</v>
      </c>
      <c r="AI847" t="str">
        <f t="shared" si="172"/>
        <v>High</v>
      </c>
      <c r="AJ847" t="str">
        <f t="shared" si="173"/>
        <v>Medium</v>
      </c>
      <c r="AK847" t="str">
        <f t="shared" si="174"/>
        <v>Junior</v>
      </c>
      <c r="AL847" t="str">
        <f t="shared" si="175"/>
        <v>Very High</v>
      </c>
      <c r="AM847" t="str">
        <f t="shared" si="176"/>
        <v>Very High</v>
      </c>
      <c r="AN847" t="str">
        <f t="shared" si="177"/>
        <v>Low</v>
      </c>
      <c r="AO847" t="str">
        <f t="shared" si="178"/>
        <v>Bad</v>
      </c>
      <c r="AP847" t="str">
        <f t="shared" si="179"/>
        <v>35-44</v>
      </c>
      <c r="AQ847" t="str">
        <f t="shared" si="180"/>
        <v>Lower-Mid</v>
      </c>
      <c r="AR847" t="str">
        <f t="shared" si="181"/>
        <v>0-2 Years</v>
      </c>
    </row>
    <row r="848" spans="1:44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46</v>
      </c>
      <c r="L848">
        <v>44</v>
      </c>
      <c r="M848">
        <v>2</v>
      </c>
      <c r="N848">
        <v>3</v>
      </c>
      <c r="O848" t="s">
        <v>53</v>
      </c>
      <c r="P848">
        <v>2</v>
      </c>
      <c r="Q848" t="s">
        <v>52</v>
      </c>
      <c r="R848">
        <v>10274</v>
      </c>
      <c r="S848">
        <v>2</v>
      </c>
      <c r="T848" t="s">
        <v>43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  <c r="AF848">
        <f t="shared" si="169"/>
        <v>0</v>
      </c>
      <c r="AG848">
        <f t="shared" si="170"/>
        <v>0</v>
      </c>
      <c r="AH848" t="str">
        <f t="shared" si="171"/>
        <v>Bachelor</v>
      </c>
      <c r="AI848" t="str">
        <f t="shared" si="172"/>
        <v>High</v>
      </c>
      <c r="AJ848" t="str">
        <f t="shared" si="173"/>
        <v>Medium</v>
      </c>
      <c r="AK848" t="str">
        <f t="shared" si="174"/>
        <v>Mid-Level</v>
      </c>
      <c r="AL848" t="str">
        <f t="shared" si="175"/>
        <v>Medium</v>
      </c>
      <c r="AM848" t="str">
        <f t="shared" si="176"/>
        <v>Medium</v>
      </c>
      <c r="AN848" t="str">
        <f t="shared" si="177"/>
        <v>Low</v>
      </c>
      <c r="AO848" t="str">
        <f t="shared" si="178"/>
        <v>Best</v>
      </c>
      <c r="AP848" t="str">
        <f t="shared" si="179"/>
        <v>35-44</v>
      </c>
      <c r="AQ848" t="str">
        <f t="shared" si="180"/>
        <v>Upper-Mid</v>
      </c>
      <c r="AR848" t="str">
        <f t="shared" si="181"/>
        <v>6-10 Years</v>
      </c>
    </row>
    <row r="849" spans="1:44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46</v>
      </c>
      <c r="L849">
        <v>97</v>
      </c>
      <c r="M849">
        <v>2</v>
      </c>
      <c r="N849">
        <v>2</v>
      </c>
      <c r="O849" t="s">
        <v>54</v>
      </c>
      <c r="P849">
        <v>1</v>
      </c>
      <c r="Q849" t="s">
        <v>41</v>
      </c>
      <c r="R849">
        <v>5343</v>
      </c>
      <c r="S849">
        <v>0</v>
      </c>
      <c r="T849" t="s">
        <v>43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  <c r="AF849">
        <f t="shared" si="169"/>
        <v>0</v>
      </c>
      <c r="AG849">
        <f t="shared" si="170"/>
        <v>0</v>
      </c>
      <c r="AH849" t="str">
        <f t="shared" si="171"/>
        <v>Bachelor</v>
      </c>
      <c r="AI849" t="str">
        <f t="shared" si="172"/>
        <v>Very High</v>
      </c>
      <c r="AJ849" t="str">
        <f t="shared" si="173"/>
        <v>Medium</v>
      </c>
      <c r="AK849" t="str">
        <f t="shared" si="174"/>
        <v>Junior</v>
      </c>
      <c r="AL849" t="str">
        <f t="shared" si="175"/>
        <v>Low</v>
      </c>
      <c r="AM849" t="str">
        <f t="shared" si="176"/>
        <v>High</v>
      </c>
      <c r="AN849" t="str">
        <f t="shared" si="177"/>
        <v>No Options</v>
      </c>
      <c r="AO849" t="str">
        <f t="shared" si="178"/>
        <v>Better</v>
      </c>
      <c r="AP849" t="str">
        <f t="shared" si="179"/>
        <v>25-34</v>
      </c>
      <c r="AQ849" t="str">
        <f t="shared" si="180"/>
        <v>Lower-Mid</v>
      </c>
      <c r="AR849" t="str">
        <f t="shared" si="181"/>
        <v>11-20 Years</v>
      </c>
    </row>
    <row r="850" spans="1:44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47</v>
      </c>
      <c r="M850">
        <v>2</v>
      </c>
      <c r="N850">
        <v>1</v>
      </c>
      <c r="O850" t="s">
        <v>50</v>
      </c>
      <c r="P850">
        <v>4</v>
      </c>
      <c r="Q850" t="s">
        <v>48</v>
      </c>
      <c r="R850">
        <v>2376</v>
      </c>
      <c r="S850">
        <v>1</v>
      </c>
      <c r="T850" t="s">
        <v>43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  <c r="AF850">
        <f t="shared" si="169"/>
        <v>0</v>
      </c>
      <c r="AG850">
        <f t="shared" si="170"/>
        <v>0</v>
      </c>
      <c r="AH850" t="str">
        <f t="shared" si="171"/>
        <v>Master</v>
      </c>
      <c r="AI850" t="str">
        <f t="shared" si="172"/>
        <v>Very High</v>
      </c>
      <c r="AJ850" t="str">
        <f t="shared" si="173"/>
        <v>Medium</v>
      </c>
      <c r="AK850" t="str">
        <f t="shared" si="174"/>
        <v>Entry</v>
      </c>
      <c r="AL850" t="str">
        <f t="shared" si="175"/>
        <v>Very High</v>
      </c>
      <c r="AM850" t="str">
        <f t="shared" si="176"/>
        <v>Medium</v>
      </c>
      <c r="AN850" t="str">
        <f t="shared" si="177"/>
        <v>Low</v>
      </c>
      <c r="AO850" t="str">
        <f t="shared" si="178"/>
        <v>Best</v>
      </c>
      <c r="AP850" t="str">
        <f t="shared" si="179"/>
        <v>35-44</v>
      </c>
      <c r="AQ850" t="str">
        <f t="shared" si="180"/>
        <v>Low</v>
      </c>
      <c r="AR850" t="str">
        <f t="shared" si="181"/>
        <v>0-2 Years</v>
      </c>
    </row>
    <row r="851" spans="1:44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t="s">
        <v>39</v>
      </c>
      <c r="L851">
        <v>85</v>
      </c>
      <c r="M851">
        <v>1</v>
      </c>
      <c r="N851">
        <v>2</v>
      </c>
      <c r="O851" t="s">
        <v>40</v>
      </c>
      <c r="P851">
        <v>3</v>
      </c>
      <c r="Q851" t="s">
        <v>41</v>
      </c>
      <c r="R851">
        <v>5346</v>
      </c>
      <c r="S851">
        <v>8</v>
      </c>
      <c r="T851" t="s">
        <v>43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  <c r="AF851">
        <f t="shared" si="169"/>
        <v>1</v>
      </c>
      <c r="AG851">
        <f t="shared" si="170"/>
        <v>0</v>
      </c>
      <c r="AH851" t="str">
        <f t="shared" si="171"/>
        <v>Bachelor</v>
      </c>
      <c r="AI851" t="str">
        <f t="shared" si="172"/>
        <v>Low</v>
      </c>
      <c r="AJ851" t="str">
        <f t="shared" si="173"/>
        <v>Low</v>
      </c>
      <c r="AK851" t="str">
        <f t="shared" si="174"/>
        <v>Junior</v>
      </c>
      <c r="AL851" t="str">
        <f t="shared" si="175"/>
        <v>High</v>
      </c>
      <c r="AM851" t="str">
        <f t="shared" si="176"/>
        <v>Medium</v>
      </c>
      <c r="AN851" t="str">
        <f t="shared" si="177"/>
        <v>No Options</v>
      </c>
      <c r="AO851" t="str">
        <f t="shared" si="178"/>
        <v>Good</v>
      </c>
      <c r="AP851" t="str">
        <f t="shared" si="179"/>
        <v>35-44</v>
      </c>
      <c r="AQ851" t="str">
        <f t="shared" si="180"/>
        <v>Lower-Mid</v>
      </c>
      <c r="AR851" t="str">
        <f t="shared" si="181"/>
        <v>3-5 Years</v>
      </c>
    </row>
    <row r="852" spans="1:44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76</v>
      </c>
      <c r="M852">
        <v>3</v>
      </c>
      <c r="N852">
        <v>1</v>
      </c>
      <c r="O852" t="s">
        <v>57</v>
      </c>
      <c r="P852">
        <v>1</v>
      </c>
      <c r="Q852" t="s">
        <v>52</v>
      </c>
      <c r="R852">
        <v>2827</v>
      </c>
      <c r="S852">
        <v>1</v>
      </c>
      <c r="T852" t="s">
        <v>43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  <c r="AF852">
        <f t="shared" si="169"/>
        <v>0</v>
      </c>
      <c r="AG852">
        <f t="shared" si="170"/>
        <v>0</v>
      </c>
      <c r="AH852" t="str">
        <f t="shared" si="171"/>
        <v>Below College</v>
      </c>
      <c r="AI852" t="str">
        <f t="shared" si="172"/>
        <v>High</v>
      </c>
      <c r="AJ852" t="str">
        <f t="shared" si="173"/>
        <v>High</v>
      </c>
      <c r="AK852" t="str">
        <f t="shared" si="174"/>
        <v>Entry</v>
      </c>
      <c r="AL852" t="str">
        <f t="shared" si="175"/>
        <v>Low</v>
      </c>
      <c r="AM852" t="str">
        <f t="shared" si="176"/>
        <v>High</v>
      </c>
      <c r="AN852" t="str">
        <f t="shared" si="177"/>
        <v>High</v>
      </c>
      <c r="AO852" t="str">
        <f t="shared" si="178"/>
        <v>Better</v>
      </c>
      <c r="AP852" t="str">
        <f t="shared" si="179"/>
        <v>25-34</v>
      </c>
      <c r="AQ852" t="str">
        <f t="shared" si="180"/>
        <v>Low</v>
      </c>
      <c r="AR852" t="str">
        <f t="shared" si="181"/>
        <v>0-2 Years</v>
      </c>
    </row>
    <row r="853" spans="1:44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t="s">
        <v>39</v>
      </c>
      <c r="L853">
        <v>92</v>
      </c>
      <c r="M853">
        <v>3</v>
      </c>
      <c r="N853">
        <v>5</v>
      </c>
      <c r="O853" t="s">
        <v>56</v>
      </c>
      <c r="P853">
        <v>1</v>
      </c>
      <c r="Q853" t="s">
        <v>52</v>
      </c>
      <c r="R853">
        <v>19943</v>
      </c>
      <c r="S853">
        <v>4</v>
      </c>
      <c r="T853" t="s">
        <v>43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  <c r="AF853">
        <f t="shared" si="169"/>
        <v>0</v>
      </c>
      <c r="AG853">
        <f t="shared" si="170"/>
        <v>0</v>
      </c>
      <c r="AH853" t="str">
        <f t="shared" si="171"/>
        <v>Master</v>
      </c>
      <c r="AI853" t="str">
        <f t="shared" si="172"/>
        <v>Very High</v>
      </c>
      <c r="AJ853" t="str">
        <f t="shared" si="173"/>
        <v>High</v>
      </c>
      <c r="AK853" t="str">
        <f t="shared" si="174"/>
        <v>Executive</v>
      </c>
      <c r="AL853" t="str">
        <f t="shared" si="175"/>
        <v>Low</v>
      </c>
      <c r="AM853" t="str">
        <f t="shared" si="176"/>
        <v>Very High</v>
      </c>
      <c r="AN853" t="str">
        <f t="shared" si="177"/>
        <v>Low</v>
      </c>
      <c r="AO853" t="str">
        <f t="shared" si="178"/>
        <v>Better</v>
      </c>
      <c r="AP853" t="str">
        <f t="shared" si="179"/>
        <v>55+</v>
      </c>
      <c r="AQ853" t="str">
        <f t="shared" si="180"/>
        <v>High</v>
      </c>
      <c r="AR853" t="str">
        <f t="shared" si="181"/>
        <v>3-5 Years</v>
      </c>
    </row>
    <row r="854" spans="1:44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39</v>
      </c>
      <c r="L854">
        <v>54</v>
      </c>
      <c r="M854">
        <v>3</v>
      </c>
      <c r="N854">
        <v>1</v>
      </c>
      <c r="O854" t="s">
        <v>50</v>
      </c>
      <c r="P854">
        <v>4</v>
      </c>
      <c r="Q854" t="s">
        <v>48</v>
      </c>
      <c r="R854">
        <v>3131</v>
      </c>
      <c r="S854">
        <v>1</v>
      </c>
      <c r="T854" t="s">
        <v>43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  <c r="AF854">
        <f t="shared" si="169"/>
        <v>0</v>
      </c>
      <c r="AG854">
        <f t="shared" si="170"/>
        <v>0</v>
      </c>
      <c r="AH854" t="str">
        <f t="shared" si="171"/>
        <v>Below College</v>
      </c>
      <c r="AI854" t="str">
        <f t="shared" si="172"/>
        <v>Medium</v>
      </c>
      <c r="AJ854" t="str">
        <f t="shared" si="173"/>
        <v>High</v>
      </c>
      <c r="AK854" t="str">
        <f t="shared" si="174"/>
        <v>Entry</v>
      </c>
      <c r="AL854" t="str">
        <f t="shared" si="175"/>
        <v>Very High</v>
      </c>
      <c r="AM854" t="str">
        <f t="shared" si="176"/>
        <v>Low</v>
      </c>
      <c r="AN854" t="str">
        <f t="shared" si="177"/>
        <v>Low</v>
      </c>
      <c r="AO854" t="str">
        <f t="shared" si="178"/>
        <v>Better</v>
      </c>
      <c r="AP854" t="str">
        <f t="shared" si="179"/>
        <v>25-34</v>
      </c>
      <c r="AQ854" t="str">
        <f t="shared" si="180"/>
        <v>Lower-Mid</v>
      </c>
      <c r="AR854" t="str">
        <f t="shared" si="181"/>
        <v>6-10 Years</v>
      </c>
    </row>
    <row r="855" spans="1:44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46</v>
      </c>
      <c r="L855">
        <v>54</v>
      </c>
      <c r="M855">
        <v>3</v>
      </c>
      <c r="N855">
        <v>1</v>
      </c>
      <c r="O855" t="s">
        <v>47</v>
      </c>
      <c r="P855">
        <v>1</v>
      </c>
      <c r="Q855" t="s">
        <v>41</v>
      </c>
      <c r="R855">
        <v>2552</v>
      </c>
      <c r="S855">
        <v>1</v>
      </c>
      <c r="T855" t="s">
        <v>43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  <c r="AF855">
        <f t="shared" si="169"/>
        <v>0</v>
      </c>
      <c r="AG855">
        <f t="shared" si="170"/>
        <v>0</v>
      </c>
      <c r="AH855" t="str">
        <f t="shared" si="171"/>
        <v>College</v>
      </c>
      <c r="AI855" t="str">
        <f t="shared" si="172"/>
        <v>High</v>
      </c>
      <c r="AJ855" t="str">
        <f t="shared" si="173"/>
        <v>High</v>
      </c>
      <c r="AK855" t="str">
        <f t="shared" si="174"/>
        <v>Entry</v>
      </c>
      <c r="AL855" t="str">
        <f t="shared" si="175"/>
        <v>Low</v>
      </c>
      <c r="AM855" t="str">
        <f t="shared" si="176"/>
        <v>High</v>
      </c>
      <c r="AN855" t="str">
        <f t="shared" si="177"/>
        <v>No Options</v>
      </c>
      <c r="AO855" t="str">
        <f t="shared" si="178"/>
        <v>Better</v>
      </c>
      <c r="AP855" t="str">
        <f t="shared" si="179"/>
        <v>Under 25</v>
      </c>
      <c r="AQ855" t="str">
        <f t="shared" si="180"/>
        <v>Low</v>
      </c>
      <c r="AR855" t="str">
        <f t="shared" si="181"/>
        <v>0-2 Years</v>
      </c>
    </row>
    <row r="856" spans="1:44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39</v>
      </c>
      <c r="L856">
        <v>83</v>
      </c>
      <c r="M856">
        <v>3</v>
      </c>
      <c r="N856">
        <v>1</v>
      </c>
      <c r="O856" t="s">
        <v>47</v>
      </c>
      <c r="P856">
        <v>3</v>
      </c>
      <c r="Q856" t="s">
        <v>48</v>
      </c>
      <c r="R856">
        <v>4477</v>
      </c>
      <c r="S856">
        <v>4</v>
      </c>
      <c r="T856" t="s">
        <v>35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  <c r="AF856">
        <f t="shared" si="169"/>
        <v>0</v>
      </c>
      <c r="AG856">
        <f t="shared" si="170"/>
        <v>1</v>
      </c>
      <c r="AH856" t="str">
        <f t="shared" si="171"/>
        <v>Bachelor</v>
      </c>
      <c r="AI856" t="str">
        <f t="shared" si="172"/>
        <v>Low</v>
      </c>
      <c r="AJ856" t="str">
        <f t="shared" si="173"/>
        <v>High</v>
      </c>
      <c r="AK856" t="str">
        <f t="shared" si="174"/>
        <v>Entry</v>
      </c>
      <c r="AL856" t="str">
        <f t="shared" si="175"/>
        <v>High</v>
      </c>
      <c r="AM856" t="str">
        <f t="shared" si="176"/>
        <v>High</v>
      </c>
      <c r="AN856" t="str">
        <f t="shared" si="177"/>
        <v>Low</v>
      </c>
      <c r="AO856" t="str">
        <f t="shared" si="178"/>
        <v>Good</v>
      </c>
      <c r="AP856" t="str">
        <f t="shared" si="179"/>
        <v>45-54</v>
      </c>
      <c r="AQ856" t="str">
        <f t="shared" si="180"/>
        <v>Lower-Mid</v>
      </c>
      <c r="AR856" t="str">
        <f t="shared" si="181"/>
        <v>3-5 Years</v>
      </c>
    </row>
    <row r="857" spans="1:44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56</v>
      </c>
      <c r="M857">
        <v>2</v>
      </c>
      <c r="N857">
        <v>2</v>
      </c>
      <c r="O857" t="s">
        <v>53</v>
      </c>
      <c r="P857">
        <v>4</v>
      </c>
      <c r="Q857" t="s">
        <v>48</v>
      </c>
      <c r="R857">
        <v>6474</v>
      </c>
      <c r="S857">
        <v>1</v>
      </c>
      <c r="T857" t="s">
        <v>43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  <c r="AF857">
        <f t="shared" si="169"/>
        <v>0</v>
      </c>
      <c r="AG857">
        <f t="shared" si="170"/>
        <v>0</v>
      </c>
      <c r="AH857" t="str">
        <f t="shared" si="171"/>
        <v>Bachelor</v>
      </c>
      <c r="AI857" t="str">
        <f t="shared" si="172"/>
        <v>Very High</v>
      </c>
      <c r="AJ857" t="str">
        <f t="shared" si="173"/>
        <v>Medium</v>
      </c>
      <c r="AK857" t="str">
        <f t="shared" si="174"/>
        <v>Junior</v>
      </c>
      <c r="AL857" t="str">
        <f t="shared" si="175"/>
        <v>Very High</v>
      </c>
      <c r="AM857" t="str">
        <f t="shared" si="176"/>
        <v>Medium</v>
      </c>
      <c r="AN857" t="str">
        <f t="shared" si="177"/>
        <v>Low</v>
      </c>
      <c r="AO857" t="str">
        <f t="shared" si="178"/>
        <v>Good</v>
      </c>
      <c r="AP857" t="str">
        <f t="shared" si="179"/>
        <v>35-44</v>
      </c>
      <c r="AQ857" t="str">
        <f t="shared" si="180"/>
        <v>Lower-Mid</v>
      </c>
      <c r="AR857" t="str">
        <f t="shared" si="181"/>
        <v>11-20 Years</v>
      </c>
    </row>
    <row r="858" spans="1:44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46</v>
      </c>
      <c r="L858">
        <v>87</v>
      </c>
      <c r="M858">
        <v>2</v>
      </c>
      <c r="N858">
        <v>1</v>
      </c>
      <c r="O858" t="s">
        <v>50</v>
      </c>
      <c r="P858">
        <v>3</v>
      </c>
      <c r="Q858" t="s">
        <v>41</v>
      </c>
      <c r="R858">
        <v>3033</v>
      </c>
      <c r="S858">
        <v>1</v>
      </c>
      <c r="T858" t="s">
        <v>43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  <c r="AF858">
        <f t="shared" si="169"/>
        <v>0</v>
      </c>
      <c r="AG858">
        <f t="shared" si="170"/>
        <v>0</v>
      </c>
      <c r="AH858" t="str">
        <f t="shared" si="171"/>
        <v>Bachelor</v>
      </c>
      <c r="AI858" t="str">
        <f t="shared" si="172"/>
        <v>Low</v>
      </c>
      <c r="AJ858" t="str">
        <f t="shared" si="173"/>
        <v>Medium</v>
      </c>
      <c r="AK858" t="str">
        <f t="shared" si="174"/>
        <v>Entry</v>
      </c>
      <c r="AL858" t="str">
        <f t="shared" si="175"/>
        <v>High</v>
      </c>
      <c r="AM858" t="str">
        <f t="shared" si="176"/>
        <v>Low</v>
      </c>
      <c r="AN858" t="str">
        <f t="shared" si="177"/>
        <v>No Options</v>
      </c>
      <c r="AO858" t="str">
        <f t="shared" si="178"/>
        <v>Good</v>
      </c>
      <c r="AP858" t="str">
        <f t="shared" si="179"/>
        <v>Under 25</v>
      </c>
      <c r="AQ858" t="str">
        <f t="shared" si="180"/>
        <v>Lower-Mid</v>
      </c>
      <c r="AR858" t="str">
        <f t="shared" si="181"/>
        <v>0-2 Years</v>
      </c>
    </row>
    <row r="859" spans="1:44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46</v>
      </c>
      <c r="L859">
        <v>96</v>
      </c>
      <c r="M859">
        <v>3</v>
      </c>
      <c r="N859">
        <v>1</v>
      </c>
      <c r="O859" t="s">
        <v>47</v>
      </c>
      <c r="P859">
        <v>3</v>
      </c>
      <c r="Q859" t="s">
        <v>41</v>
      </c>
      <c r="R859">
        <v>2936</v>
      </c>
      <c r="S859">
        <v>1</v>
      </c>
      <c r="T859" t="s">
        <v>35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  <c r="AF859">
        <f t="shared" si="169"/>
        <v>1</v>
      </c>
      <c r="AG859">
        <f t="shared" si="170"/>
        <v>1</v>
      </c>
      <c r="AH859" t="str">
        <f t="shared" si="171"/>
        <v>Master</v>
      </c>
      <c r="AI859" t="str">
        <f t="shared" si="172"/>
        <v>High</v>
      </c>
      <c r="AJ859" t="str">
        <f t="shared" si="173"/>
        <v>High</v>
      </c>
      <c r="AK859" t="str">
        <f t="shared" si="174"/>
        <v>Entry</v>
      </c>
      <c r="AL859" t="str">
        <f t="shared" si="175"/>
        <v>High</v>
      </c>
      <c r="AM859" t="str">
        <f t="shared" si="176"/>
        <v>High</v>
      </c>
      <c r="AN859" t="str">
        <f t="shared" si="177"/>
        <v>No Options</v>
      </c>
      <c r="AO859" t="str">
        <f t="shared" si="178"/>
        <v>Better</v>
      </c>
      <c r="AP859" t="str">
        <f t="shared" si="179"/>
        <v>35-44</v>
      </c>
      <c r="AQ859" t="str">
        <f t="shared" si="180"/>
        <v>Low</v>
      </c>
      <c r="AR859" t="str">
        <f t="shared" si="181"/>
        <v>6-10 Years</v>
      </c>
    </row>
    <row r="860" spans="1:44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39</v>
      </c>
      <c r="L860">
        <v>50</v>
      </c>
      <c r="M860">
        <v>3</v>
      </c>
      <c r="N860">
        <v>5</v>
      </c>
      <c r="O860" t="s">
        <v>56</v>
      </c>
      <c r="P860">
        <v>3</v>
      </c>
      <c r="Q860" t="s">
        <v>52</v>
      </c>
      <c r="R860">
        <v>18606</v>
      </c>
      <c r="S860">
        <v>3</v>
      </c>
      <c r="T860" t="s">
        <v>43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  <c r="AF860">
        <f t="shared" si="169"/>
        <v>0</v>
      </c>
      <c r="AG860">
        <f t="shared" si="170"/>
        <v>0</v>
      </c>
      <c r="AH860" t="str">
        <f t="shared" si="171"/>
        <v>College</v>
      </c>
      <c r="AI860" t="str">
        <f t="shared" si="172"/>
        <v>Very High</v>
      </c>
      <c r="AJ860" t="str">
        <f t="shared" si="173"/>
        <v>High</v>
      </c>
      <c r="AK860" t="str">
        <f t="shared" si="174"/>
        <v>Executive</v>
      </c>
      <c r="AL860" t="str">
        <f t="shared" si="175"/>
        <v>High</v>
      </c>
      <c r="AM860" t="str">
        <f t="shared" si="176"/>
        <v>Medium</v>
      </c>
      <c r="AN860" t="str">
        <f t="shared" si="177"/>
        <v>Low</v>
      </c>
      <c r="AO860" t="str">
        <f t="shared" si="178"/>
        <v>Better</v>
      </c>
      <c r="AP860" t="str">
        <f t="shared" si="179"/>
        <v>45-54</v>
      </c>
      <c r="AQ860" t="str">
        <f t="shared" si="180"/>
        <v>High</v>
      </c>
      <c r="AR860" t="str">
        <f t="shared" si="181"/>
        <v>6-10 Years</v>
      </c>
    </row>
    <row r="861" spans="1:44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69</v>
      </c>
      <c r="M861">
        <v>1</v>
      </c>
      <c r="N861">
        <v>1</v>
      </c>
      <c r="O861" t="s">
        <v>47</v>
      </c>
      <c r="P861">
        <v>4</v>
      </c>
      <c r="Q861" t="s">
        <v>48</v>
      </c>
      <c r="R861">
        <v>2168</v>
      </c>
      <c r="S861">
        <v>0</v>
      </c>
      <c r="T861" t="s">
        <v>35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  <c r="AF861">
        <f t="shared" si="169"/>
        <v>0</v>
      </c>
      <c r="AG861">
        <f t="shared" si="170"/>
        <v>1</v>
      </c>
      <c r="AH861" t="str">
        <f t="shared" si="171"/>
        <v>Below College</v>
      </c>
      <c r="AI861" t="str">
        <f t="shared" si="172"/>
        <v>Medium</v>
      </c>
      <c r="AJ861" t="str">
        <f t="shared" si="173"/>
        <v>Low</v>
      </c>
      <c r="AK861" t="str">
        <f t="shared" si="174"/>
        <v>Entry</v>
      </c>
      <c r="AL861" t="str">
        <f t="shared" si="175"/>
        <v>Very High</v>
      </c>
      <c r="AM861" t="str">
        <f t="shared" si="176"/>
        <v>Low</v>
      </c>
      <c r="AN861" t="str">
        <f t="shared" si="177"/>
        <v>Low</v>
      </c>
      <c r="AO861" t="str">
        <f t="shared" si="178"/>
        <v>Good</v>
      </c>
      <c r="AP861" t="str">
        <f t="shared" si="179"/>
        <v>25-34</v>
      </c>
      <c r="AQ861" t="str">
        <f t="shared" si="180"/>
        <v>Low</v>
      </c>
      <c r="AR861" t="str">
        <f t="shared" si="181"/>
        <v>3-5 Years</v>
      </c>
    </row>
    <row r="862" spans="1:44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46</v>
      </c>
      <c r="L862">
        <v>48</v>
      </c>
      <c r="M862">
        <v>2</v>
      </c>
      <c r="N862">
        <v>1</v>
      </c>
      <c r="O862" t="s">
        <v>47</v>
      </c>
      <c r="P862">
        <v>4</v>
      </c>
      <c r="Q862" t="s">
        <v>48</v>
      </c>
      <c r="R862">
        <v>2853</v>
      </c>
      <c r="S862">
        <v>0</v>
      </c>
      <c r="T862" t="s">
        <v>35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  <c r="AF862">
        <f t="shared" si="169"/>
        <v>1</v>
      </c>
      <c r="AG862">
        <f t="shared" si="170"/>
        <v>1</v>
      </c>
      <c r="AH862" t="str">
        <f t="shared" si="171"/>
        <v>Master</v>
      </c>
      <c r="AI862" t="str">
        <f t="shared" si="172"/>
        <v>High</v>
      </c>
      <c r="AJ862" t="str">
        <f t="shared" si="173"/>
        <v>Medium</v>
      </c>
      <c r="AK862" t="str">
        <f t="shared" si="174"/>
        <v>Entry</v>
      </c>
      <c r="AL862" t="str">
        <f t="shared" si="175"/>
        <v>Very High</v>
      </c>
      <c r="AM862" t="str">
        <f t="shared" si="176"/>
        <v>Medium</v>
      </c>
      <c r="AN862" t="str">
        <f t="shared" si="177"/>
        <v>Low</v>
      </c>
      <c r="AO862" t="str">
        <f t="shared" si="178"/>
        <v>Better</v>
      </c>
      <c r="AP862" t="str">
        <f t="shared" si="179"/>
        <v>Under 25</v>
      </c>
      <c r="AQ862" t="str">
        <f t="shared" si="180"/>
        <v>Low</v>
      </c>
      <c r="AR862" t="str">
        <f t="shared" si="181"/>
        <v>0-2 Years</v>
      </c>
    </row>
    <row r="863" spans="1:44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t="s">
        <v>39</v>
      </c>
      <c r="L863">
        <v>69</v>
      </c>
      <c r="M863">
        <v>3</v>
      </c>
      <c r="N863">
        <v>4</v>
      </c>
      <c r="O863" t="s">
        <v>56</v>
      </c>
      <c r="P863">
        <v>1</v>
      </c>
      <c r="Q863" t="s">
        <v>48</v>
      </c>
      <c r="R863">
        <v>17048</v>
      </c>
      <c r="S863">
        <v>8</v>
      </c>
      <c r="T863" t="s">
        <v>43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  <c r="AF863">
        <f t="shared" si="169"/>
        <v>0</v>
      </c>
      <c r="AG863">
        <f t="shared" si="170"/>
        <v>0</v>
      </c>
      <c r="AH863" t="str">
        <f t="shared" si="171"/>
        <v>Bachelor</v>
      </c>
      <c r="AI863" t="str">
        <f t="shared" si="172"/>
        <v>High</v>
      </c>
      <c r="AJ863" t="str">
        <f t="shared" si="173"/>
        <v>High</v>
      </c>
      <c r="AK863" t="str">
        <f t="shared" si="174"/>
        <v>Senior</v>
      </c>
      <c r="AL863" t="str">
        <f t="shared" si="175"/>
        <v>Low</v>
      </c>
      <c r="AM863" t="str">
        <f t="shared" si="176"/>
        <v>Low</v>
      </c>
      <c r="AN863" t="str">
        <f t="shared" si="177"/>
        <v>No Options</v>
      </c>
      <c r="AO863" t="str">
        <f t="shared" si="178"/>
        <v>Better</v>
      </c>
      <c r="AP863" t="str">
        <f t="shared" si="179"/>
        <v>45-54</v>
      </c>
      <c r="AQ863" t="str">
        <f t="shared" si="180"/>
        <v>High</v>
      </c>
      <c r="AR863" t="str">
        <f t="shared" si="181"/>
        <v>20+ Years</v>
      </c>
    </row>
    <row r="864" spans="1:44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46</v>
      </c>
      <c r="L864">
        <v>74</v>
      </c>
      <c r="M864">
        <v>1</v>
      </c>
      <c r="N864">
        <v>1</v>
      </c>
      <c r="O864" t="s">
        <v>47</v>
      </c>
      <c r="P864">
        <v>3</v>
      </c>
      <c r="Q864" t="s">
        <v>41</v>
      </c>
      <c r="R864">
        <v>2290</v>
      </c>
      <c r="S864">
        <v>2</v>
      </c>
      <c r="T864" t="s">
        <v>43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  <c r="AF864">
        <f t="shared" si="169"/>
        <v>0</v>
      </c>
      <c r="AG864">
        <f t="shared" si="170"/>
        <v>0</v>
      </c>
      <c r="AH864" t="str">
        <f t="shared" si="171"/>
        <v>Bachelor</v>
      </c>
      <c r="AI864" t="str">
        <f t="shared" si="172"/>
        <v>Very High</v>
      </c>
      <c r="AJ864" t="str">
        <f t="shared" si="173"/>
        <v>Low</v>
      </c>
      <c r="AK864" t="str">
        <f t="shared" si="174"/>
        <v>Entry</v>
      </c>
      <c r="AL864" t="str">
        <f t="shared" si="175"/>
        <v>High</v>
      </c>
      <c r="AM864" t="str">
        <f t="shared" si="176"/>
        <v>Very High</v>
      </c>
      <c r="AN864" t="str">
        <f t="shared" si="177"/>
        <v>No Options</v>
      </c>
      <c r="AO864" t="str">
        <f t="shared" si="178"/>
        <v>Better</v>
      </c>
      <c r="AP864" t="str">
        <f t="shared" si="179"/>
        <v>35-44</v>
      </c>
      <c r="AQ864" t="str">
        <f t="shared" si="180"/>
        <v>Low</v>
      </c>
      <c r="AR864" t="str">
        <f t="shared" si="181"/>
        <v>0-2 Years</v>
      </c>
    </row>
    <row r="865" spans="1:44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t="s">
        <v>46</v>
      </c>
      <c r="L865">
        <v>99</v>
      </c>
      <c r="M865">
        <v>3</v>
      </c>
      <c r="N865">
        <v>1</v>
      </c>
      <c r="O865" t="s">
        <v>61</v>
      </c>
      <c r="P865">
        <v>3</v>
      </c>
      <c r="Q865" t="s">
        <v>48</v>
      </c>
      <c r="R865">
        <v>3600</v>
      </c>
      <c r="S865">
        <v>1</v>
      </c>
      <c r="T865" t="s">
        <v>43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  <c r="AF865">
        <f t="shared" si="169"/>
        <v>0</v>
      </c>
      <c r="AG865">
        <f t="shared" si="170"/>
        <v>0</v>
      </c>
      <c r="AH865" t="str">
        <f t="shared" si="171"/>
        <v>Bachelor</v>
      </c>
      <c r="AI865" t="str">
        <f t="shared" si="172"/>
        <v>Medium</v>
      </c>
      <c r="AJ865" t="str">
        <f t="shared" si="173"/>
        <v>High</v>
      </c>
      <c r="AK865" t="str">
        <f t="shared" si="174"/>
        <v>Entry</v>
      </c>
      <c r="AL865" t="str">
        <f t="shared" si="175"/>
        <v>High</v>
      </c>
      <c r="AM865" t="str">
        <f t="shared" si="176"/>
        <v>Very High</v>
      </c>
      <c r="AN865" t="str">
        <f t="shared" si="177"/>
        <v>Low</v>
      </c>
      <c r="AO865" t="str">
        <f t="shared" si="178"/>
        <v>Better</v>
      </c>
      <c r="AP865" t="str">
        <f t="shared" si="179"/>
        <v>25-34</v>
      </c>
      <c r="AQ865" t="str">
        <f t="shared" si="180"/>
        <v>Lower-Mid</v>
      </c>
      <c r="AR865" t="str">
        <f t="shared" si="181"/>
        <v>3-5 Years</v>
      </c>
    </row>
    <row r="866" spans="1:44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46</v>
      </c>
      <c r="L866">
        <v>95</v>
      </c>
      <c r="M866">
        <v>2</v>
      </c>
      <c r="N866">
        <v>1</v>
      </c>
      <c r="O866" t="s">
        <v>47</v>
      </c>
      <c r="P866">
        <v>1</v>
      </c>
      <c r="Q866" t="s">
        <v>52</v>
      </c>
      <c r="R866">
        <v>2107</v>
      </c>
      <c r="S866">
        <v>6</v>
      </c>
      <c r="T866" t="s">
        <v>43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  <c r="AF866">
        <f t="shared" si="169"/>
        <v>1</v>
      </c>
      <c r="AG866">
        <f t="shared" si="170"/>
        <v>0</v>
      </c>
      <c r="AH866" t="str">
        <f t="shared" si="171"/>
        <v>College</v>
      </c>
      <c r="AI866" t="str">
        <f t="shared" si="172"/>
        <v>Low</v>
      </c>
      <c r="AJ866" t="str">
        <f t="shared" si="173"/>
        <v>Medium</v>
      </c>
      <c r="AK866" t="str">
        <f t="shared" si="174"/>
        <v>Entry</v>
      </c>
      <c r="AL866" t="str">
        <f t="shared" si="175"/>
        <v>Low</v>
      </c>
      <c r="AM866" t="str">
        <f t="shared" si="176"/>
        <v>Low</v>
      </c>
      <c r="AN866" t="str">
        <f t="shared" si="177"/>
        <v>Low</v>
      </c>
      <c r="AO866" t="str">
        <f t="shared" si="178"/>
        <v>Bad</v>
      </c>
      <c r="AP866" t="str">
        <f t="shared" si="179"/>
        <v>35-44</v>
      </c>
      <c r="AQ866" t="str">
        <f t="shared" si="180"/>
        <v>Low</v>
      </c>
      <c r="AR866" t="str">
        <f t="shared" si="181"/>
        <v>0-2 Years</v>
      </c>
    </row>
    <row r="867" spans="1:44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46</v>
      </c>
      <c r="L867">
        <v>61</v>
      </c>
      <c r="M867">
        <v>3</v>
      </c>
      <c r="N867">
        <v>2</v>
      </c>
      <c r="O867" t="s">
        <v>40</v>
      </c>
      <c r="P867">
        <v>1</v>
      </c>
      <c r="Q867" t="s">
        <v>52</v>
      </c>
      <c r="R867">
        <v>4115</v>
      </c>
      <c r="S867">
        <v>8</v>
      </c>
      <c r="T867" t="s">
        <v>43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  <c r="AF867">
        <f t="shared" si="169"/>
        <v>0</v>
      </c>
      <c r="AG867">
        <f t="shared" si="170"/>
        <v>0</v>
      </c>
      <c r="AH867" t="str">
        <f t="shared" si="171"/>
        <v>Master</v>
      </c>
      <c r="AI867" t="str">
        <f t="shared" si="172"/>
        <v>High</v>
      </c>
      <c r="AJ867" t="str">
        <f t="shared" si="173"/>
        <v>High</v>
      </c>
      <c r="AK867" t="str">
        <f t="shared" si="174"/>
        <v>Junior</v>
      </c>
      <c r="AL867" t="str">
        <f t="shared" si="175"/>
        <v>Low</v>
      </c>
      <c r="AM867" t="str">
        <f t="shared" si="176"/>
        <v>High</v>
      </c>
      <c r="AN867" t="str">
        <f t="shared" si="177"/>
        <v>High</v>
      </c>
      <c r="AO867" t="str">
        <f t="shared" si="178"/>
        <v>Better</v>
      </c>
      <c r="AP867" t="str">
        <f t="shared" si="179"/>
        <v>25-34</v>
      </c>
      <c r="AQ867" t="str">
        <f t="shared" si="180"/>
        <v>Lower-Mid</v>
      </c>
      <c r="AR867" t="str">
        <f t="shared" si="181"/>
        <v>3-5 Years</v>
      </c>
    </row>
    <row r="868" spans="1:44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46</v>
      </c>
      <c r="L868">
        <v>62</v>
      </c>
      <c r="M868">
        <v>3</v>
      </c>
      <c r="N868">
        <v>2</v>
      </c>
      <c r="O868" t="s">
        <v>40</v>
      </c>
      <c r="P868">
        <v>2</v>
      </c>
      <c r="Q868" t="s">
        <v>48</v>
      </c>
      <c r="R868">
        <v>4327</v>
      </c>
      <c r="S868">
        <v>5</v>
      </c>
      <c r="T868" t="s">
        <v>43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  <c r="AF868">
        <f t="shared" si="169"/>
        <v>0</v>
      </c>
      <c r="AG868">
        <f t="shared" si="170"/>
        <v>0</v>
      </c>
      <c r="AH868" t="str">
        <f t="shared" si="171"/>
        <v>Master</v>
      </c>
      <c r="AI868" t="str">
        <f t="shared" si="172"/>
        <v>Medium</v>
      </c>
      <c r="AJ868" t="str">
        <f t="shared" si="173"/>
        <v>High</v>
      </c>
      <c r="AK868" t="str">
        <f t="shared" si="174"/>
        <v>Junior</v>
      </c>
      <c r="AL868" t="str">
        <f t="shared" si="175"/>
        <v>Medium</v>
      </c>
      <c r="AM868" t="str">
        <f t="shared" si="176"/>
        <v>Very High</v>
      </c>
      <c r="AN868" t="str">
        <f t="shared" si="177"/>
        <v>High</v>
      </c>
      <c r="AO868" t="str">
        <f t="shared" si="178"/>
        <v>Better</v>
      </c>
      <c r="AP868" t="str">
        <f t="shared" si="179"/>
        <v>35-44</v>
      </c>
      <c r="AQ868" t="str">
        <f t="shared" si="180"/>
        <v>Lower-Mid</v>
      </c>
      <c r="AR868" t="str">
        <f t="shared" si="181"/>
        <v>0-2 Years</v>
      </c>
    </row>
    <row r="869" spans="1:44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39</v>
      </c>
      <c r="L869">
        <v>30</v>
      </c>
      <c r="M869">
        <v>3</v>
      </c>
      <c r="N869">
        <v>4</v>
      </c>
      <c r="O869" t="s">
        <v>56</v>
      </c>
      <c r="P869">
        <v>1</v>
      </c>
      <c r="Q869" t="s">
        <v>48</v>
      </c>
      <c r="R869">
        <v>17856</v>
      </c>
      <c r="S869">
        <v>2</v>
      </c>
      <c r="T869" t="s">
        <v>43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  <c r="AF869">
        <f t="shared" si="169"/>
        <v>0</v>
      </c>
      <c r="AG869">
        <f t="shared" si="170"/>
        <v>0</v>
      </c>
      <c r="AH869" t="str">
        <f t="shared" si="171"/>
        <v>Bachelor</v>
      </c>
      <c r="AI869" t="str">
        <f t="shared" si="172"/>
        <v>Very High</v>
      </c>
      <c r="AJ869" t="str">
        <f t="shared" si="173"/>
        <v>High</v>
      </c>
      <c r="AK869" t="str">
        <f t="shared" si="174"/>
        <v>Senior</v>
      </c>
      <c r="AL869" t="str">
        <f t="shared" si="175"/>
        <v>Low</v>
      </c>
      <c r="AM869" t="str">
        <f t="shared" si="176"/>
        <v>High</v>
      </c>
      <c r="AN869" t="str">
        <f t="shared" si="177"/>
        <v>Low</v>
      </c>
      <c r="AO869" t="str">
        <f t="shared" si="178"/>
        <v>Better</v>
      </c>
      <c r="AP869" t="str">
        <f t="shared" si="179"/>
        <v>45-54</v>
      </c>
      <c r="AQ869" t="str">
        <f t="shared" si="180"/>
        <v>High</v>
      </c>
      <c r="AR869" t="str">
        <f t="shared" si="181"/>
        <v>0-2 Years</v>
      </c>
    </row>
    <row r="870" spans="1:44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46</v>
      </c>
      <c r="L870">
        <v>78</v>
      </c>
      <c r="M870">
        <v>2</v>
      </c>
      <c r="N870">
        <v>1</v>
      </c>
      <c r="O870" t="s">
        <v>50</v>
      </c>
      <c r="P870">
        <v>1</v>
      </c>
      <c r="Q870" t="s">
        <v>48</v>
      </c>
      <c r="R870">
        <v>3196</v>
      </c>
      <c r="S870">
        <v>1</v>
      </c>
      <c r="T870" t="s">
        <v>43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  <c r="AF870">
        <f t="shared" si="169"/>
        <v>0</v>
      </c>
      <c r="AG870">
        <f t="shared" si="170"/>
        <v>0</v>
      </c>
      <c r="AH870" t="str">
        <f t="shared" si="171"/>
        <v>Master</v>
      </c>
      <c r="AI870" t="str">
        <f t="shared" si="172"/>
        <v>Very High</v>
      </c>
      <c r="AJ870" t="str">
        <f t="shared" si="173"/>
        <v>Medium</v>
      </c>
      <c r="AK870" t="str">
        <f t="shared" si="174"/>
        <v>Entry</v>
      </c>
      <c r="AL870" t="str">
        <f t="shared" si="175"/>
        <v>Low</v>
      </c>
      <c r="AM870" t="str">
        <f t="shared" si="176"/>
        <v>High</v>
      </c>
      <c r="AN870" t="str">
        <f t="shared" si="177"/>
        <v>High</v>
      </c>
      <c r="AO870" t="str">
        <f t="shared" si="178"/>
        <v>Better</v>
      </c>
      <c r="AP870" t="str">
        <f t="shared" si="179"/>
        <v>25-34</v>
      </c>
      <c r="AQ870" t="str">
        <f t="shared" si="180"/>
        <v>Lower-Mid</v>
      </c>
      <c r="AR870" t="str">
        <f t="shared" si="181"/>
        <v>6-10 Years</v>
      </c>
    </row>
    <row r="871" spans="1:44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46</v>
      </c>
      <c r="L871">
        <v>52</v>
      </c>
      <c r="M871">
        <v>3</v>
      </c>
      <c r="N871">
        <v>5</v>
      </c>
      <c r="O871" t="s">
        <v>58</v>
      </c>
      <c r="P871">
        <v>2</v>
      </c>
      <c r="Q871" t="s">
        <v>48</v>
      </c>
      <c r="R871">
        <v>19081</v>
      </c>
      <c r="S871">
        <v>5</v>
      </c>
      <c r="T871" t="s">
        <v>43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  <c r="AF871">
        <f t="shared" si="169"/>
        <v>0</v>
      </c>
      <c r="AG871">
        <f t="shared" si="170"/>
        <v>0</v>
      </c>
      <c r="AH871" t="str">
        <f t="shared" si="171"/>
        <v>College</v>
      </c>
      <c r="AI871" t="str">
        <f t="shared" si="172"/>
        <v>Very High</v>
      </c>
      <c r="AJ871" t="str">
        <f t="shared" si="173"/>
        <v>High</v>
      </c>
      <c r="AK871" t="str">
        <f t="shared" si="174"/>
        <v>Executive</v>
      </c>
      <c r="AL871" t="str">
        <f t="shared" si="175"/>
        <v>Medium</v>
      </c>
      <c r="AM871" t="str">
        <f t="shared" si="176"/>
        <v>Low</v>
      </c>
      <c r="AN871" t="str">
        <f t="shared" si="177"/>
        <v>Low</v>
      </c>
      <c r="AO871" t="str">
        <f t="shared" si="178"/>
        <v>Better</v>
      </c>
      <c r="AP871" t="str">
        <f t="shared" si="179"/>
        <v>45-54</v>
      </c>
      <c r="AQ871" t="str">
        <f t="shared" si="180"/>
        <v>High</v>
      </c>
      <c r="AR871" t="str">
        <f t="shared" si="181"/>
        <v>3-5 Years</v>
      </c>
    </row>
    <row r="872" spans="1:44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46</v>
      </c>
      <c r="L872">
        <v>94</v>
      </c>
      <c r="M872">
        <v>3</v>
      </c>
      <c r="N872">
        <v>2</v>
      </c>
      <c r="O872" t="s">
        <v>40</v>
      </c>
      <c r="P872">
        <v>1</v>
      </c>
      <c r="Q872" t="s">
        <v>48</v>
      </c>
      <c r="R872">
        <v>8966</v>
      </c>
      <c r="S872">
        <v>3</v>
      </c>
      <c r="T872" t="s">
        <v>35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  <c r="AF872">
        <f t="shared" si="169"/>
        <v>0</v>
      </c>
      <c r="AG872">
        <f t="shared" si="170"/>
        <v>1</v>
      </c>
      <c r="AH872" t="str">
        <f t="shared" si="171"/>
        <v>Master</v>
      </c>
      <c r="AI872" t="str">
        <f t="shared" si="172"/>
        <v>High</v>
      </c>
      <c r="AJ872" t="str">
        <f t="shared" si="173"/>
        <v>High</v>
      </c>
      <c r="AK872" t="str">
        <f t="shared" si="174"/>
        <v>Junior</v>
      </c>
      <c r="AL872" t="str">
        <f t="shared" si="175"/>
        <v>Low</v>
      </c>
      <c r="AM872" t="str">
        <f t="shared" si="176"/>
        <v>Very High</v>
      </c>
      <c r="AN872" t="str">
        <f t="shared" si="177"/>
        <v>High</v>
      </c>
      <c r="AO872" t="str">
        <f t="shared" si="178"/>
        <v>Better</v>
      </c>
      <c r="AP872" t="str">
        <f t="shared" si="179"/>
        <v>35-44</v>
      </c>
      <c r="AQ872" t="str">
        <f t="shared" si="180"/>
        <v>Upper-Mid</v>
      </c>
      <c r="AR872" t="str">
        <f t="shared" si="181"/>
        <v>6-10 Years</v>
      </c>
    </row>
    <row r="873" spans="1:44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97</v>
      </c>
      <c r="M873">
        <v>3</v>
      </c>
      <c r="N873">
        <v>1</v>
      </c>
      <c r="O873" t="s">
        <v>50</v>
      </c>
      <c r="P873">
        <v>2</v>
      </c>
      <c r="Q873" t="s">
        <v>48</v>
      </c>
      <c r="R873">
        <v>2210</v>
      </c>
      <c r="S873">
        <v>1</v>
      </c>
      <c r="T873" t="s">
        <v>43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  <c r="AF873">
        <f t="shared" si="169"/>
        <v>1</v>
      </c>
      <c r="AG873">
        <f t="shared" si="170"/>
        <v>0</v>
      </c>
      <c r="AH873" t="str">
        <f t="shared" si="171"/>
        <v>College</v>
      </c>
      <c r="AI873" t="str">
        <f t="shared" si="172"/>
        <v>Very High</v>
      </c>
      <c r="AJ873" t="str">
        <f t="shared" si="173"/>
        <v>High</v>
      </c>
      <c r="AK873" t="str">
        <f t="shared" si="174"/>
        <v>Entry</v>
      </c>
      <c r="AL873" t="str">
        <f t="shared" si="175"/>
        <v>Medium</v>
      </c>
      <c r="AM873" t="str">
        <f t="shared" si="176"/>
        <v>Low</v>
      </c>
      <c r="AN873" t="str">
        <f t="shared" si="177"/>
        <v>Low</v>
      </c>
      <c r="AO873" t="str">
        <f t="shared" si="178"/>
        <v>Bad</v>
      </c>
      <c r="AP873" t="str">
        <f t="shared" si="179"/>
        <v>Under 25</v>
      </c>
      <c r="AQ873" t="str">
        <f t="shared" si="180"/>
        <v>Low</v>
      </c>
      <c r="AR873" t="str">
        <f t="shared" si="181"/>
        <v>0-2 Years</v>
      </c>
    </row>
    <row r="874" spans="1:44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39</v>
      </c>
      <c r="L874">
        <v>82</v>
      </c>
      <c r="M874">
        <v>3</v>
      </c>
      <c r="N874">
        <v>2</v>
      </c>
      <c r="O874" t="s">
        <v>40</v>
      </c>
      <c r="P874">
        <v>3</v>
      </c>
      <c r="Q874" t="s">
        <v>48</v>
      </c>
      <c r="R874">
        <v>4539</v>
      </c>
      <c r="S874">
        <v>1</v>
      </c>
      <c r="T874" t="s">
        <v>43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  <c r="AF874">
        <f t="shared" si="169"/>
        <v>0</v>
      </c>
      <c r="AG874">
        <f t="shared" si="170"/>
        <v>0</v>
      </c>
      <c r="AH874" t="str">
        <f t="shared" si="171"/>
        <v>Bachelor</v>
      </c>
      <c r="AI874" t="str">
        <f t="shared" si="172"/>
        <v>Medium</v>
      </c>
      <c r="AJ874" t="str">
        <f t="shared" si="173"/>
        <v>High</v>
      </c>
      <c r="AK874" t="str">
        <f t="shared" si="174"/>
        <v>Junior</v>
      </c>
      <c r="AL874" t="str">
        <f t="shared" si="175"/>
        <v>High</v>
      </c>
      <c r="AM874" t="str">
        <f t="shared" si="176"/>
        <v>Low</v>
      </c>
      <c r="AN874" t="str">
        <f t="shared" si="177"/>
        <v>Low</v>
      </c>
      <c r="AO874" t="str">
        <f t="shared" si="178"/>
        <v>Good</v>
      </c>
      <c r="AP874" t="str">
        <f t="shared" si="179"/>
        <v>25-34</v>
      </c>
      <c r="AQ874" t="str">
        <f t="shared" si="180"/>
        <v>Lower-Mid</v>
      </c>
      <c r="AR874" t="str">
        <f t="shared" si="181"/>
        <v>6-10 Years</v>
      </c>
    </row>
    <row r="875" spans="1:44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46</v>
      </c>
      <c r="L875">
        <v>60</v>
      </c>
      <c r="M875">
        <v>1</v>
      </c>
      <c r="N875">
        <v>1</v>
      </c>
      <c r="O875" t="s">
        <v>50</v>
      </c>
      <c r="P875">
        <v>3</v>
      </c>
      <c r="Q875" t="s">
        <v>52</v>
      </c>
      <c r="R875">
        <v>2741</v>
      </c>
      <c r="S875">
        <v>1</v>
      </c>
      <c r="T875" t="s">
        <v>43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  <c r="AF875">
        <f t="shared" si="169"/>
        <v>0</v>
      </c>
      <c r="AG875">
        <f t="shared" si="170"/>
        <v>0</v>
      </c>
      <c r="AH875" t="str">
        <f t="shared" si="171"/>
        <v>Master</v>
      </c>
      <c r="AI875" t="str">
        <f t="shared" si="172"/>
        <v>High</v>
      </c>
      <c r="AJ875" t="str">
        <f t="shared" si="173"/>
        <v>Low</v>
      </c>
      <c r="AK875" t="str">
        <f t="shared" si="174"/>
        <v>Entry</v>
      </c>
      <c r="AL875" t="str">
        <f t="shared" si="175"/>
        <v>High</v>
      </c>
      <c r="AM875" t="str">
        <f t="shared" si="176"/>
        <v>High</v>
      </c>
      <c r="AN875" t="str">
        <f t="shared" si="177"/>
        <v>Low</v>
      </c>
      <c r="AO875" t="str">
        <f t="shared" si="178"/>
        <v>Better</v>
      </c>
      <c r="AP875" t="str">
        <f t="shared" si="179"/>
        <v>35-44</v>
      </c>
      <c r="AQ875" t="str">
        <f t="shared" si="180"/>
        <v>Low</v>
      </c>
      <c r="AR875" t="str">
        <f t="shared" si="181"/>
        <v>6-10 Years</v>
      </c>
    </row>
    <row r="876" spans="1:44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46</v>
      </c>
      <c r="L876">
        <v>49</v>
      </c>
      <c r="M876">
        <v>3</v>
      </c>
      <c r="N876">
        <v>2</v>
      </c>
      <c r="O876" t="s">
        <v>50</v>
      </c>
      <c r="P876">
        <v>3</v>
      </c>
      <c r="Q876" t="s">
        <v>52</v>
      </c>
      <c r="R876">
        <v>3491</v>
      </c>
      <c r="S876">
        <v>1</v>
      </c>
      <c r="T876" t="s">
        <v>43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  <c r="AF876">
        <f t="shared" si="169"/>
        <v>0</v>
      </c>
      <c r="AG876">
        <f t="shared" si="170"/>
        <v>0</v>
      </c>
      <c r="AH876" t="str">
        <f t="shared" si="171"/>
        <v>Master</v>
      </c>
      <c r="AI876" t="str">
        <f t="shared" si="172"/>
        <v>High</v>
      </c>
      <c r="AJ876" t="str">
        <f t="shared" si="173"/>
        <v>High</v>
      </c>
      <c r="AK876" t="str">
        <f t="shared" si="174"/>
        <v>Junior</v>
      </c>
      <c r="AL876" t="str">
        <f t="shared" si="175"/>
        <v>High</v>
      </c>
      <c r="AM876" t="str">
        <f t="shared" si="176"/>
        <v>Low</v>
      </c>
      <c r="AN876" t="str">
        <f t="shared" si="177"/>
        <v>High</v>
      </c>
      <c r="AO876" t="str">
        <f t="shared" si="178"/>
        <v>Good</v>
      </c>
      <c r="AP876" t="str">
        <f t="shared" si="179"/>
        <v>25-34</v>
      </c>
      <c r="AQ876" t="str">
        <f t="shared" si="180"/>
        <v>Lower-Mid</v>
      </c>
      <c r="AR876" t="str">
        <f t="shared" si="181"/>
        <v>6-10 Years</v>
      </c>
    </row>
    <row r="877" spans="1:44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32</v>
      </c>
      <c r="M877">
        <v>3</v>
      </c>
      <c r="N877">
        <v>2</v>
      </c>
      <c r="O877" t="s">
        <v>47</v>
      </c>
      <c r="P877">
        <v>4</v>
      </c>
      <c r="Q877" t="s">
        <v>41</v>
      </c>
      <c r="R877">
        <v>4541</v>
      </c>
      <c r="S877">
        <v>1</v>
      </c>
      <c r="T877" t="s">
        <v>43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  <c r="AF877">
        <f t="shared" si="169"/>
        <v>0</v>
      </c>
      <c r="AG877">
        <f t="shared" si="170"/>
        <v>0</v>
      </c>
      <c r="AH877" t="str">
        <f t="shared" si="171"/>
        <v>Master</v>
      </c>
      <c r="AI877" t="str">
        <f t="shared" si="172"/>
        <v>Very High</v>
      </c>
      <c r="AJ877" t="str">
        <f t="shared" si="173"/>
        <v>High</v>
      </c>
      <c r="AK877" t="str">
        <f t="shared" si="174"/>
        <v>Junior</v>
      </c>
      <c r="AL877" t="str">
        <f t="shared" si="175"/>
        <v>Very High</v>
      </c>
      <c r="AM877" t="str">
        <f t="shared" si="176"/>
        <v>Medium</v>
      </c>
      <c r="AN877" t="str">
        <f t="shared" si="177"/>
        <v>No Options</v>
      </c>
      <c r="AO877" t="str">
        <f t="shared" si="178"/>
        <v>Better</v>
      </c>
      <c r="AP877" t="str">
        <f t="shared" si="179"/>
        <v>35-44</v>
      </c>
      <c r="AQ877" t="str">
        <f t="shared" si="180"/>
        <v>Lower-Mid</v>
      </c>
      <c r="AR877" t="str">
        <f t="shared" si="181"/>
        <v>11-20 Years</v>
      </c>
    </row>
    <row r="878" spans="1:44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t="s">
        <v>46</v>
      </c>
      <c r="L878">
        <v>43</v>
      </c>
      <c r="M878">
        <v>4</v>
      </c>
      <c r="N878">
        <v>1</v>
      </c>
      <c r="O878" t="s">
        <v>57</v>
      </c>
      <c r="P878">
        <v>4</v>
      </c>
      <c r="Q878" t="s">
        <v>41</v>
      </c>
      <c r="R878">
        <v>2678</v>
      </c>
      <c r="S878">
        <v>1</v>
      </c>
      <c r="T878" t="s">
        <v>43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  <c r="AF878">
        <f t="shared" si="169"/>
        <v>0</v>
      </c>
      <c r="AG878">
        <f t="shared" si="170"/>
        <v>0</v>
      </c>
      <c r="AH878" t="str">
        <f t="shared" si="171"/>
        <v>Bachelor</v>
      </c>
      <c r="AI878" t="str">
        <f t="shared" si="172"/>
        <v>High</v>
      </c>
      <c r="AJ878" t="str">
        <f t="shared" si="173"/>
        <v>Very High</v>
      </c>
      <c r="AK878" t="str">
        <f t="shared" si="174"/>
        <v>Entry</v>
      </c>
      <c r="AL878" t="str">
        <f t="shared" si="175"/>
        <v>Very High</v>
      </c>
      <c r="AM878" t="str">
        <f t="shared" si="176"/>
        <v>Very High</v>
      </c>
      <c r="AN878" t="str">
        <f t="shared" si="177"/>
        <v>No Options</v>
      </c>
      <c r="AO878" t="str">
        <f t="shared" si="178"/>
        <v>Better</v>
      </c>
      <c r="AP878" t="str">
        <f t="shared" si="179"/>
        <v>Under 25</v>
      </c>
      <c r="AQ878" t="str">
        <f t="shared" si="180"/>
        <v>Low</v>
      </c>
      <c r="AR878" t="str">
        <f t="shared" si="181"/>
        <v>0-2 Years</v>
      </c>
    </row>
    <row r="879" spans="1:44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t="s">
        <v>46</v>
      </c>
      <c r="L879">
        <v>60</v>
      </c>
      <c r="M879">
        <v>3</v>
      </c>
      <c r="N879">
        <v>2</v>
      </c>
      <c r="O879" t="s">
        <v>53</v>
      </c>
      <c r="P879">
        <v>4</v>
      </c>
      <c r="Q879" t="s">
        <v>52</v>
      </c>
      <c r="R879">
        <v>7379</v>
      </c>
      <c r="S879">
        <v>2</v>
      </c>
      <c r="T879" t="s">
        <v>43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  <c r="AF879">
        <f t="shared" si="169"/>
        <v>0</v>
      </c>
      <c r="AG879">
        <f t="shared" si="170"/>
        <v>0</v>
      </c>
      <c r="AH879" t="str">
        <f t="shared" si="171"/>
        <v>Master</v>
      </c>
      <c r="AI879" t="str">
        <f t="shared" si="172"/>
        <v>Very High</v>
      </c>
      <c r="AJ879" t="str">
        <f t="shared" si="173"/>
        <v>High</v>
      </c>
      <c r="AK879" t="str">
        <f t="shared" si="174"/>
        <v>Junior</v>
      </c>
      <c r="AL879" t="str">
        <f t="shared" si="175"/>
        <v>Very High</v>
      </c>
      <c r="AM879" t="str">
        <f t="shared" si="176"/>
        <v>High</v>
      </c>
      <c r="AN879" t="str">
        <f t="shared" si="177"/>
        <v>Low</v>
      </c>
      <c r="AO879" t="str">
        <f t="shared" si="178"/>
        <v>Good</v>
      </c>
      <c r="AP879" t="str">
        <f t="shared" si="179"/>
        <v>45-54</v>
      </c>
      <c r="AQ879" t="str">
        <f t="shared" si="180"/>
        <v>Upper-Mid</v>
      </c>
      <c r="AR879" t="str">
        <f t="shared" si="181"/>
        <v>6-10 Years</v>
      </c>
    </row>
    <row r="880" spans="1:44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46</v>
      </c>
      <c r="L880">
        <v>79</v>
      </c>
      <c r="M880">
        <v>4</v>
      </c>
      <c r="N880">
        <v>2</v>
      </c>
      <c r="O880" t="s">
        <v>61</v>
      </c>
      <c r="P880">
        <v>1</v>
      </c>
      <c r="Q880" t="s">
        <v>48</v>
      </c>
      <c r="R880">
        <v>6272</v>
      </c>
      <c r="S880">
        <v>7</v>
      </c>
      <c r="T880" t="s">
        <v>43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  <c r="AF880">
        <f t="shared" si="169"/>
        <v>0</v>
      </c>
      <c r="AG880">
        <f t="shared" si="170"/>
        <v>0</v>
      </c>
      <c r="AH880" t="str">
        <f t="shared" si="171"/>
        <v>Doctor</v>
      </c>
      <c r="AI880" t="str">
        <f t="shared" si="172"/>
        <v>Very High</v>
      </c>
      <c r="AJ880" t="str">
        <f t="shared" si="173"/>
        <v>Very High</v>
      </c>
      <c r="AK880" t="str">
        <f t="shared" si="174"/>
        <v>Junior</v>
      </c>
      <c r="AL880" t="str">
        <f t="shared" si="175"/>
        <v>Low</v>
      </c>
      <c r="AM880" t="str">
        <f t="shared" si="176"/>
        <v>Low</v>
      </c>
      <c r="AN880" t="str">
        <f t="shared" si="177"/>
        <v>Low</v>
      </c>
      <c r="AO880" t="str">
        <f t="shared" si="178"/>
        <v>Best</v>
      </c>
      <c r="AP880" t="str">
        <f t="shared" si="179"/>
        <v>35-44</v>
      </c>
      <c r="AQ880" t="str">
        <f t="shared" si="180"/>
        <v>Lower-Mid</v>
      </c>
      <c r="AR880" t="str">
        <f t="shared" si="181"/>
        <v>3-5 Years</v>
      </c>
    </row>
    <row r="881" spans="1:44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t="s">
        <v>46</v>
      </c>
      <c r="L881">
        <v>52</v>
      </c>
      <c r="M881">
        <v>4</v>
      </c>
      <c r="N881">
        <v>2</v>
      </c>
      <c r="O881" t="s">
        <v>40</v>
      </c>
      <c r="P881">
        <v>4</v>
      </c>
      <c r="Q881" t="s">
        <v>52</v>
      </c>
      <c r="R881">
        <v>5220</v>
      </c>
      <c r="S881">
        <v>0</v>
      </c>
      <c r="T881" t="s">
        <v>35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  <c r="AF881">
        <f t="shared" si="169"/>
        <v>0</v>
      </c>
      <c r="AG881">
        <f t="shared" si="170"/>
        <v>1</v>
      </c>
      <c r="AH881" t="str">
        <f t="shared" si="171"/>
        <v>Master</v>
      </c>
      <c r="AI881" t="str">
        <f t="shared" si="172"/>
        <v>Medium</v>
      </c>
      <c r="AJ881" t="str">
        <f t="shared" si="173"/>
        <v>Very High</v>
      </c>
      <c r="AK881" t="str">
        <f t="shared" si="174"/>
        <v>Junior</v>
      </c>
      <c r="AL881" t="str">
        <f t="shared" si="175"/>
        <v>Very High</v>
      </c>
      <c r="AM881" t="str">
        <f t="shared" si="176"/>
        <v>Medium</v>
      </c>
      <c r="AN881" t="str">
        <f t="shared" si="177"/>
        <v>Low</v>
      </c>
      <c r="AO881" t="str">
        <f t="shared" si="178"/>
        <v>Better</v>
      </c>
      <c r="AP881" t="str">
        <f t="shared" si="179"/>
        <v>55+</v>
      </c>
      <c r="AQ881" t="str">
        <f t="shared" si="180"/>
        <v>Lower-Mid</v>
      </c>
      <c r="AR881" t="str">
        <f t="shared" si="181"/>
        <v>11-20 Years</v>
      </c>
    </row>
    <row r="882" spans="1:44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39</v>
      </c>
      <c r="L882">
        <v>77</v>
      </c>
      <c r="M882">
        <v>2</v>
      </c>
      <c r="N882">
        <v>1</v>
      </c>
      <c r="O882" t="s">
        <v>50</v>
      </c>
      <c r="P882">
        <v>2</v>
      </c>
      <c r="Q882" t="s">
        <v>48</v>
      </c>
      <c r="R882">
        <v>2743</v>
      </c>
      <c r="S882">
        <v>1</v>
      </c>
      <c r="T882" t="s">
        <v>43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  <c r="AF882">
        <f t="shared" si="169"/>
        <v>0</v>
      </c>
      <c r="AG882">
        <f t="shared" si="170"/>
        <v>0</v>
      </c>
      <c r="AH882" t="str">
        <f t="shared" si="171"/>
        <v>Bachelor</v>
      </c>
      <c r="AI882" t="str">
        <f t="shared" si="172"/>
        <v>High</v>
      </c>
      <c r="AJ882" t="str">
        <f t="shared" si="173"/>
        <v>Medium</v>
      </c>
      <c r="AK882" t="str">
        <f t="shared" si="174"/>
        <v>Entry</v>
      </c>
      <c r="AL882" t="str">
        <f t="shared" si="175"/>
        <v>Medium</v>
      </c>
      <c r="AM882" t="str">
        <f t="shared" si="176"/>
        <v>High</v>
      </c>
      <c r="AN882" t="str">
        <f t="shared" si="177"/>
        <v>Low</v>
      </c>
      <c r="AO882" t="str">
        <f t="shared" si="178"/>
        <v>Better</v>
      </c>
      <c r="AP882" t="str">
        <f t="shared" si="179"/>
        <v>25-34</v>
      </c>
      <c r="AQ882" t="str">
        <f t="shared" si="180"/>
        <v>Low</v>
      </c>
      <c r="AR882" t="str">
        <f t="shared" si="181"/>
        <v>0-2 Years</v>
      </c>
    </row>
    <row r="883" spans="1:44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38</v>
      </c>
      <c r="M883">
        <v>3</v>
      </c>
      <c r="N883">
        <v>2</v>
      </c>
      <c r="O883" t="s">
        <v>47</v>
      </c>
      <c r="P883">
        <v>3</v>
      </c>
      <c r="Q883" t="s">
        <v>41</v>
      </c>
      <c r="R883">
        <v>4998</v>
      </c>
      <c r="S883">
        <v>4</v>
      </c>
      <c r="T883" t="s">
        <v>35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  <c r="AF883">
        <f t="shared" si="169"/>
        <v>0</v>
      </c>
      <c r="AG883">
        <f t="shared" si="170"/>
        <v>1</v>
      </c>
      <c r="AH883" t="str">
        <f t="shared" si="171"/>
        <v>College</v>
      </c>
      <c r="AI883" t="str">
        <f t="shared" si="172"/>
        <v>Very High</v>
      </c>
      <c r="AJ883" t="str">
        <f t="shared" si="173"/>
        <v>High</v>
      </c>
      <c r="AK883" t="str">
        <f t="shared" si="174"/>
        <v>Junior</v>
      </c>
      <c r="AL883" t="str">
        <f t="shared" si="175"/>
        <v>High</v>
      </c>
      <c r="AM883" t="str">
        <f t="shared" si="176"/>
        <v>Very High</v>
      </c>
      <c r="AN883" t="str">
        <f t="shared" si="177"/>
        <v>No Options</v>
      </c>
      <c r="AO883" t="str">
        <f t="shared" si="178"/>
        <v>Better</v>
      </c>
      <c r="AP883" t="str">
        <f t="shared" si="179"/>
        <v>25-34</v>
      </c>
      <c r="AQ883" t="str">
        <f t="shared" si="180"/>
        <v>Lower-Mid</v>
      </c>
      <c r="AR883" t="str">
        <f t="shared" si="181"/>
        <v>6-10 Years</v>
      </c>
    </row>
    <row r="884" spans="1:44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t="s">
        <v>39</v>
      </c>
      <c r="L884">
        <v>77</v>
      </c>
      <c r="M884">
        <v>1</v>
      </c>
      <c r="N884">
        <v>3</v>
      </c>
      <c r="O884" t="s">
        <v>53</v>
      </c>
      <c r="P884">
        <v>1</v>
      </c>
      <c r="Q884" t="s">
        <v>52</v>
      </c>
      <c r="R884">
        <v>10252</v>
      </c>
      <c r="S884">
        <v>2</v>
      </c>
      <c r="T884" t="s">
        <v>35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  <c r="AF884">
        <f t="shared" si="169"/>
        <v>0</v>
      </c>
      <c r="AG884">
        <f t="shared" si="170"/>
        <v>1</v>
      </c>
      <c r="AH884" t="str">
        <f t="shared" si="171"/>
        <v>Bachelor</v>
      </c>
      <c r="AI884" t="str">
        <f t="shared" si="172"/>
        <v>High</v>
      </c>
      <c r="AJ884" t="str">
        <f t="shared" si="173"/>
        <v>Low</v>
      </c>
      <c r="AK884" t="str">
        <f t="shared" si="174"/>
        <v>Mid-Level</v>
      </c>
      <c r="AL884" t="str">
        <f t="shared" si="175"/>
        <v>Low</v>
      </c>
      <c r="AM884" t="str">
        <f t="shared" si="176"/>
        <v>High</v>
      </c>
      <c r="AN884" t="str">
        <f t="shared" si="177"/>
        <v>Low</v>
      </c>
      <c r="AO884" t="str">
        <f t="shared" si="178"/>
        <v>Better</v>
      </c>
      <c r="AP884" t="str">
        <f t="shared" si="179"/>
        <v>35-44</v>
      </c>
      <c r="AQ884" t="str">
        <f t="shared" si="180"/>
        <v>Upper-Mid</v>
      </c>
      <c r="AR884" t="str">
        <f t="shared" si="181"/>
        <v>6-10 Years</v>
      </c>
    </row>
    <row r="885" spans="1:44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46</v>
      </c>
      <c r="L885">
        <v>60</v>
      </c>
      <c r="M885">
        <v>3</v>
      </c>
      <c r="N885">
        <v>1</v>
      </c>
      <c r="O885" t="s">
        <v>47</v>
      </c>
      <c r="P885">
        <v>4</v>
      </c>
      <c r="Q885" t="s">
        <v>48</v>
      </c>
      <c r="R885">
        <v>2781</v>
      </c>
      <c r="S885">
        <v>0</v>
      </c>
      <c r="T885" t="s">
        <v>43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  <c r="AF885">
        <f t="shared" si="169"/>
        <v>0</v>
      </c>
      <c r="AG885">
        <f t="shared" si="170"/>
        <v>0</v>
      </c>
      <c r="AH885" t="str">
        <f t="shared" si="171"/>
        <v>Bachelor</v>
      </c>
      <c r="AI885" t="str">
        <f t="shared" si="172"/>
        <v>Low</v>
      </c>
      <c r="AJ885" t="str">
        <f t="shared" si="173"/>
        <v>High</v>
      </c>
      <c r="AK885" t="str">
        <f t="shared" si="174"/>
        <v>Entry</v>
      </c>
      <c r="AL885" t="str">
        <f t="shared" si="175"/>
        <v>Very High</v>
      </c>
      <c r="AM885" t="str">
        <f t="shared" si="176"/>
        <v>Medium</v>
      </c>
      <c r="AN885" t="str">
        <f t="shared" si="177"/>
        <v>Low</v>
      </c>
      <c r="AO885" t="str">
        <f t="shared" si="178"/>
        <v>Better</v>
      </c>
      <c r="AP885" t="str">
        <f t="shared" si="179"/>
        <v>25-34</v>
      </c>
      <c r="AQ885" t="str">
        <f t="shared" si="180"/>
        <v>Low</v>
      </c>
      <c r="AR885" t="str">
        <f t="shared" si="181"/>
        <v>11-20 Years</v>
      </c>
    </row>
    <row r="886" spans="1:44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t="s">
        <v>39</v>
      </c>
      <c r="L886">
        <v>84</v>
      </c>
      <c r="M886">
        <v>2</v>
      </c>
      <c r="N886">
        <v>2</v>
      </c>
      <c r="O886" t="s">
        <v>40</v>
      </c>
      <c r="P886">
        <v>2</v>
      </c>
      <c r="Q886" t="s">
        <v>52</v>
      </c>
      <c r="R886">
        <v>6852</v>
      </c>
      <c r="S886">
        <v>7</v>
      </c>
      <c r="T886" t="s">
        <v>43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  <c r="AF886">
        <f t="shared" si="169"/>
        <v>0</v>
      </c>
      <c r="AG886">
        <f t="shared" si="170"/>
        <v>0</v>
      </c>
      <c r="AH886" t="str">
        <f t="shared" si="171"/>
        <v>Bachelor</v>
      </c>
      <c r="AI886" t="str">
        <f t="shared" si="172"/>
        <v>Medium</v>
      </c>
      <c r="AJ886" t="str">
        <f t="shared" si="173"/>
        <v>Medium</v>
      </c>
      <c r="AK886" t="str">
        <f t="shared" si="174"/>
        <v>Junior</v>
      </c>
      <c r="AL886" t="str">
        <f t="shared" si="175"/>
        <v>Medium</v>
      </c>
      <c r="AM886" t="str">
        <f t="shared" si="176"/>
        <v>Medium</v>
      </c>
      <c r="AN886" t="str">
        <f t="shared" si="177"/>
        <v>Low</v>
      </c>
      <c r="AO886" t="str">
        <f t="shared" si="178"/>
        <v>Best</v>
      </c>
      <c r="AP886" t="str">
        <f t="shared" si="179"/>
        <v>35-44</v>
      </c>
      <c r="AQ886" t="str">
        <f t="shared" si="180"/>
        <v>Lower-Mid</v>
      </c>
      <c r="AR886" t="str">
        <f t="shared" si="181"/>
        <v>3-5 Years</v>
      </c>
    </row>
    <row r="887" spans="1:44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46</v>
      </c>
      <c r="L887">
        <v>57</v>
      </c>
      <c r="M887">
        <v>3</v>
      </c>
      <c r="N887">
        <v>2</v>
      </c>
      <c r="O887" t="s">
        <v>40</v>
      </c>
      <c r="P887">
        <v>4</v>
      </c>
      <c r="Q887" t="s">
        <v>41</v>
      </c>
      <c r="R887">
        <v>4950</v>
      </c>
      <c r="S887">
        <v>0</v>
      </c>
      <c r="T887" t="s">
        <v>43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  <c r="AF887">
        <f t="shared" si="169"/>
        <v>0</v>
      </c>
      <c r="AG887">
        <f t="shared" si="170"/>
        <v>0</v>
      </c>
      <c r="AH887" t="str">
        <f t="shared" si="171"/>
        <v>Master</v>
      </c>
      <c r="AI887" t="str">
        <f t="shared" si="172"/>
        <v>High</v>
      </c>
      <c r="AJ887" t="str">
        <f t="shared" si="173"/>
        <v>High</v>
      </c>
      <c r="AK887" t="str">
        <f t="shared" si="174"/>
        <v>Junior</v>
      </c>
      <c r="AL887" t="str">
        <f t="shared" si="175"/>
        <v>Very High</v>
      </c>
      <c r="AM887" t="str">
        <f t="shared" si="176"/>
        <v>Medium</v>
      </c>
      <c r="AN887" t="str">
        <f t="shared" si="177"/>
        <v>No Options</v>
      </c>
      <c r="AO887" t="str">
        <f t="shared" si="178"/>
        <v>Better</v>
      </c>
      <c r="AP887" t="str">
        <f t="shared" si="179"/>
        <v>25-34</v>
      </c>
      <c r="AQ887" t="str">
        <f t="shared" si="180"/>
        <v>Lower-Mid</v>
      </c>
      <c r="AR887" t="str">
        <f t="shared" si="181"/>
        <v>3-5 Years</v>
      </c>
    </row>
    <row r="888" spans="1:44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46</v>
      </c>
      <c r="L888">
        <v>63</v>
      </c>
      <c r="M888">
        <v>3</v>
      </c>
      <c r="N888">
        <v>1</v>
      </c>
      <c r="O888" t="s">
        <v>47</v>
      </c>
      <c r="P888">
        <v>2</v>
      </c>
      <c r="Q888" t="s">
        <v>48</v>
      </c>
      <c r="R888">
        <v>3579</v>
      </c>
      <c r="S888">
        <v>0</v>
      </c>
      <c r="T888" t="s">
        <v>35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  <c r="AF888">
        <f t="shared" si="169"/>
        <v>0</v>
      </c>
      <c r="AG888">
        <f t="shared" si="170"/>
        <v>1</v>
      </c>
      <c r="AH888" t="str">
        <f t="shared" si="171"/>
        <v>Bachelor</v>
      </c>
      <c r="AI888" t="str">
        <f t="shared" si="172"/>
        <v>Very High</v>
      </c>
      <c r="AJ888" t="str">
        <f t="shared" si="173"/>
        <v>High</v>
      </c>
      <c r="AK888" t="str">
        <f t="shared" si="174"/>
        <v>Entry</v>
      </c>
      <c r="AL888" t="str">
        <f t="shared" si="175"/>
        <v>Medium</v>
      </c>
      <c r="AM888" t="str">
        <f t="shared" si="176"/>
        <v>Low</v>
      </c>
      <c r="AN888" t="str">
        <f t="shared" si="177"/>
        <v>Low</v>
      </c>
      <c r="AO888" t="str">
        <f t="shared" si="178"/>
        <v>Better</v>
      </c>
      <c r="AP888" t="str">
        <f t="shared" si="179"/>
        <v>25-34</v>
      </c>
      <c r="AQ888" t="str">
        <f t="shared" si="180"/>
        <v>Lower-Mid</v>
      </c>
      <c r="AR888" t="str">
        <f t="shared" si="181"/>
        <v>11-20 Years</v>
      </c>
    </row>
    <row r="889" spans="1:44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39</v>
      </c>
      <c r="L889">
        <v>60</v>
      </c>
      <c r="M889">
        <v>3</v>
      </c>
      <c r="N889">
        <v>3</v>
      </c>
      <c r="O889" t="s">
        <v>58</v>
      </c>
      <c r="P889">
        <v>1</v>
      </c>
      <c r="Q889" t="s">
        <v>48</v>
      </c>
      <c r="R889">
        <v>13191</v>
      </c>
      <c r="S889">
        <v>3</v>
      </c>
      <c r="T889" t="s">
        <v>35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  <c r="AF889">
        <f t="shared" si="169"/>
        <v>0</v>
      </c>
      <c r="AG889">
        <f t="shared" si="170"/>
        <v>1</v>
      </c>
      <c r="AH889" t="str">
        <f t="shared" si="171"/>
        <v>Doctor</v>
      </c>
      <c r="AI889" t="str">
        <f t="shared" si="172"/>
        <v>Low</v>
      </c>
      <c r="AJ889" t="str">
        <f t="shared" si="173"/>
        <v>High</v>
      </c>
      <c r="AK889" t="str">
        <f t="shared" si="174"/>
        <v>Mid-Level</v>
      </c>
      <c r="AL889" t="str">
        <f t="shared" si="175"/>
        <v>Low</v>
      </c>
      <c r="AM889" t="str">
        <f t="shared" si="176"/>
        <v>High</v>
      </c>
      <c r="AN889" t="str">
        <f t="shared" si="177"/>
        <v>No Options</v>
      </c>
      <c r="AO889" t="str">
        <f t="shared" si="178"/>
        <v>Better</v>
      </c>
      <c r="AP889" t="str">
        <f t="shared" si="179"/>
        <v>35-44</v>
      </c>
      <c r="AQ889" t="str">
        <f t="shared" si="180"/>
        <v>High</v>
      </c>
      <c r="AR889" t="str">
        <f t="shared" si="181"/>
        <v>0-2 Years</v>
      </c>
    </row>
    <row r="890" spans="1:44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t="s">
        <v>39</v>
      </c>
      <c r="L890">
        <v>78</v>
      </c>
      <c r="M890">
        <v>2</v>
      </c>
      <c r="N890">
        <v>3</v>
      </c>
      <c r="O890" t="s">
        <v>40</v>
      </c>
      <c r="P890">
        <v>4</v>
      </c>
      <c r="Q890" t="s">
        <v>48</v>
      </c>
      <c r="R890">
        <v>10377</v>
      </c>
      <c r="S890">
        <v>4</v>
      </c>
      <c r="T890" t="s">
        <v>35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  <c r="AF890">
        <f t="shared" si="169"/>
        <v>0</v>
      </c>
      <c r="AG890">
        <f t="shared" si="170"/>
        <v>1</v>
      </c>
      <c r="AH890" t="str">
        <f t="shared" si="171"/>
        <v>College</v>
      </c>
      <c r="AI890" t="str">
        <f t="shared" si="172"/>
        <v>High</v>
      </c>
      <c r="AJ890" t="str">
        <f t="shared" si="173"/>
        <v>Medium</v>
      </c>
      <c r="AK890" t="str">
        <f t="shared" si="174"/>
        <v>Mid-Level</v>
      </c>
      <c r="AL890" t="str">
        <f t="shared" si="175"/>
        <v>Very High</v>
      </c>
      <c r="AM890" t="str">
        <f t="shared" si="176"/>
        <v>Medium</v>
      </c>
      <c r="AN890" t="str">
        <f t="shared" si="177"/>
        <v>Low</v>
      </c>
      <c r="AO890" t="str">
        <f t="shared" si="178"/>
        <v>Good</v>
      </c>
      <c r="AP890" t="str">
        <f t="shared" si="179"/>
        <v>35-44</v>
      </c>
      <c r="AQ890" t="str">
        <f t="shared" si="180"/>
        <v>Upper-Mid</v>
      </c>
      <c r="AR890" t="str">
        <f t="shared" si="181"/>
        <v>11-20 Years</v>
      </c>
    </row>
    <row r="891" spans="1:44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46</v>
      </c>
      <c r="L891">
        <v>42</v>
      </c>
      <c r="M891">
        <v>3</v>
      </c>
      <c r="N891">
        <v>1</v>
      </c>
      <c r="O891" t="s">
        <v>47</v>
      </c>
      <c r="P891">
        <v>1</v>
      </c>
      <c r="Q891" t="s">
        <v>48</v>
      </c>
      <c r="R891">
        <v>2235</v>
      </c>
      <c r="S891">
        <v>1</v>
      </c>
      <c r="T891" t="s">
        <v>35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  <c r="AF891">
        <f t="shared" si="169"/>
        <v>0</v>
      </c>
      <c r="AG891">
        <f t="shared" si="170"/>
        <v>1</v>
      </c>
      <c r="AH891" t="str">
        <f t="shared" si="171"/>
        <v>Bachelor</v>
      </c>
      <c r="AI891" t="str">
        <f t="shared" si="172"/>
        <v>Low</v>
      </c>
      <c r="AJ891" t="str">
        <f t="shared" si="173"/>
        <v>High</v>
      </c>
      <c r="AK891" t="str">
        <f t="shared" si="174"/>
        <v>Entry</v>
      </c>
      <c r="AL891" t="str">
        <f t="shared" si="175"/>
        <v>Low</v>
      </c>
      <c r="AM891" t="str">
        <f t="shared" si="176"/>
        <v>Very High</v>
      </c>
      <c r="AN891" t="str">
        <f t="shared" si="177"/>
        <v>Medium</v>
      </c>
      <c r="AO891" t="str">
        <f t="shared" si="178"/>
        <v>Good</v>
      </c>
      <c r="AP891" t="str">
        <f t="shared" si="179"/>
        <v>25-34</v>
      </c>
      <c r="AQ891" t="str">
        <f t="shared" si="180"/>
        <v>Low</v>
      </c>
      <c r="AR891" t="str">
        <f t="shared" si="181"/>
        <v>6-10 Years</v>
      </c>
    </row>
    <row r="892" spans="1:44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53</v>
      </c>
      <c r="M892">
        <v>3</v>
      </c>
      <c r="N892">
        <v>3</v>
      </c>
      <c r="O892" t="s">
        <v>53</v>
      </c>
      <c r="P892">
        <v>3</v>
      </c>
      <c r="Q892" t="s">
        <v>52</v>
      </c>
      <c r="R892">
        <v>10502</v>
      </c>
      <c r="S892">
        <v>7</v>
      </c>
      <c r="T892" t="s">
        <v>43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  <c r="AF892">
        <f t="shared" si="169"/>
        <v>0</v>
      </c>
      <c r="AG892">
        <f t="shared" si="170"/>
        <v>0</v>
      </c>
      <c r="AH892" t="str">
        <f t="shared" si="171"/>
        <v>Master</v>
      </c>
      <c r="AI892" t="str">
        <f t="shared" si="172"/>
        <v>Very High</v>
      </c>
      <c r="AJ892" t="str">
        <f t="shared" si="173"/>
        <v>High</v>
      </c>
      <c r="AK892" t="str">
        <f t="shared" si="174"/>
        <v>Mid-Level</v>
      </c>
      <c r="AL892" t="str">
        <f t="shared" si="175"/>
        <v>High</v>
      </c>
      <c r="AM892" t="str">
        <f t="shared" si="176"/>
        <v>Low</v>
      </c>
      <c r="AN892" t="str">
        <f t="shared" si="177"/>
        <v>Low</v>
      </c>
      <c r="AO892" t="str">
        <f t="shared" si="178"/>
        <v>Bad</v>
      </c>
      <c r="AP892" t="str">
        <f t="shared" si="179"/>
        <v>45-54</v>
      </c>
      <c r="AQ892" t="str">
        <f t="shared" si="180"/>
        <v>Upper-Mid</v>
      </c>
      <c r="AR892" t="str">
        <f t="shared" si="181"/>
        <v>3-5 Years</v>
      </c>
    </row>
    <row r="893" spans="1:44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72</v>
      </c>
      <c r="M893">
        <v>4</v>
      </c>
      <c r="N893">
        <v>1</v>
      </c>
      <c r="O893" t="s">
        <v>47</v>
      </c>
      <c r="P893">
        <v>4</v>
      </c>
      <c r="Q893" t="s">
        <v>48</v>
      </c>
      <c r="R893">
        <v>2011</v>
      </c>
      <c r="S893">
        <v>1</v>
      </c>
      <c r="T893" t="s">
        <v>43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  <c r="AF893">
        <f t="shared" si="169"/>
        <v>0</v>
      </c>
      <c r="AG893">
        <f t="shared" si="170"/>
        <v>0</v>
      </c>
      <c r="AH893" t="str">
        <f t="shared" si="171"/>
        <v>Below College</v>
      </c>
      <c r="AI893" t="str">
        <f t="shared" si="172"/>
        <v>Low</v>
      </c>
      <c r="AJ893" t="str">
        <f t="shared" si="173"/>
        <v>Very High</v>
      </c>
      <c r="AK893" t="str">
        <f t="shared" si="174"/>
        <v>Entry</v>
      </c>
      <c r="AL893" t="str">
        <f t="shared" si="175"/>
        <v>Very High</v>
      </c>
      <c r="AM893" t="str">
        <f t="shared" si="176"/>
        <v>Very High</v>
      </c>
      <c r="AN893" t="str">
        <f t="shared" si="177"/>
        <v>Low</v>
      </c>
      <c r="AO893" t="str">
        <f t="shared" si="178"/>
        <v>Better</v>
      </c>
      <c r="AP893" t="str">
        <f t="shared" si="179"/>
        <v>35-44</v>
      </c>
      <c r="AQ893" t="str">
        <f t="shared" si="180"/>
        <v>Low</v>
      </c>
      <c r="AR893" t="str">
        <f t="shared" si="181"/>
        <v>6-10 Years</v>
      </c>
    </row>
    <row r="894" spans="1:44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39</v>
      </c>
      <c r="L894">
        <v>96</v>
      </c>
      <c r="M894">
        <v>2</v>
      </c>
      <c r="N894">
        <v>1</v>
      </c>
      <c r="O894" t="s">
        <v>47</v>
      </c>
      <c r="P894">
        <v>2</v>
      </c>
      <c r="Q894" t="s">
        <v>41</v>
      </c>
      <c r="R894">
        <v>1859</v>
      </c>
      <c r="S894">
        <v>1</v>
      </c>
      <c r="T894" t="s">
        <v>35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  <c r="AF894">
        <f t="shared" si="169"/>
        <v>1</v>
      </c>
      <c r="AG894">
        <f t="shared" si="170"/>
        <v>1</v>
      </c>
      <c r="AH894" t="str">
        <f t="shared" si="171"/>
        <v>Bachelor</v>
      </c>
      <c r="AI894" t="str">
        <f t="shared" si="172"/>
        <v>Low</v>
      </c>
      <c r="AJ894" t="str">
        <f t="shared" si="173"/>
        <v>Medium</v>
      </c>
      <c r="AK894" t="str">
        <f t="shared" si="174"/>
        <v>Entry</v>
      </c>
      <c r="AL894" t="str">
        <f t="shared" si="175"/>
        <v>Medium</v>
      </c>
      <c r="AM894" t="str">
        <f t="shared" si="176"/>
        <v>Medium</v>
      </c>
      <c r="AN894" t="str">
        <f t="shared" si="177"/>
        <v>No Options</v>
      </c>
      <c r="AO894" t="str">
        <f t="shared" si="178"/>
        <v>Best</v>
      </c>
      <c r="AP894" t="str">
        <f t="shared" si="179"/>
        <v>Under 25</v>
      </c>
      <c r="AQ894" t="str">
        <f t="shared" si="180"/>
        <v>Low</v>
      </c>
      <c r="AR894" t="str">
        <f t="shared" si="181"/>
        <v>0-2 Years</v>
      </c>
    </row>
    <row r="895" spans="1:44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97</v>
      </c>
      <c r="M895">
        <v>3</v>
      </c>
      <c r="N895">
        <v>1</v>
      </c>
      <c r="O895" t="s">
        <v>47</v>
      </c>
      <c r="P895">
        <v>4</v>
      </c>
      <c r="Q895" t="s">
        <v>52</v>
      </c>
      <c r="R895">
        <v>3760</v>
      </c>
      <c r="S895">
        <v>1</v>
      </c>
      <c r="T895" t="s">
        <v>43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  <c r="AF895">
        <f t="shared" si="169"/>
        <v>0</v>
      </c>
      <c r="AG895">
        <f t="shared" si="170"/>
        <v>0</v>
      </c>
      <c r="AH895" t="str">
        <f t="shared" si="171"/>
        <v>Bachelor</v>
      </c>
      <c r="AI895" t="str">
        <f t="shared" si="172"/>
        <v>Low</v>
      </c>
      <c r="AJ895" t="str">
        <f t="shared" si="173"/>
        <v>High</v>
      </c>
      <c r="AK895" t="str">
        <f t="shared" si="174"/>
        <v>Entry</v>
      </c>
      <c r="AL895" t="str">
        <f t="shared" si="175"/>
        <v>Very High</v>
      </c>
      <c r="AM895" t="str">
        <f t="shared" si="176"/>
        <v>Low</v>
      </c>
      <c r="AN895" t="str">
        <f t="shared" si="177"/>
        <v>High</v>
      </c>
      <c r="AO895" t="str">
        <f t="shared" si="178"/>
        <v>Better</v>
      </c>
      <c r="AP895" t="str">
        <f t="shared" si="179"/>
        <v>25-34</v>
      </c>
      <c r="AQ895" t="str">
        <f t="shared" si="180"/>
        <v>Lower-Mid</v>
      </c>
      <c r="AR895" t="str">
        <f t="shared" si="181"/>
        <v>3-5 Years</v>
      </c>
    </row>
    <row r="896" spans="1:44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46</v>
      </c>
      <c r="L896">
        <v>85</v>
      </c>
      <c r="M896">
        <v>3</v>
      </c>
      <c r="N896">
        <v>4</v>
      </c>
      <c r="O896" t="s">
        <v>58</v>
      </c>
      <c r="P896">
        <v>4</v>
      </c>
      <c r="Q896" t="s">
        <v>48</v>
      </c>
      <c r="R896">
        <v>17779</v>
      </c>
      <c r="S896">
        <v>3</v>
      </c>
      <c r="T896" t="s">
        <v>43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  <c r="AF896">
        <f t="shared" si="169"/>
        <v>0</v>
      </c>
      <c r="AG896">
        <f t="shared" si="170"/>
        <v>0</v>
      </c>
      <c r="AH896" t="str">
        <f t="shared" si="171"/>
        <v>Bachelor</v>
      </c>
      <c r="AI896" t="str">
        <f t="shared" si="172"/>
        <v>Very High</v>
      </c>
      <c r="AJ896" t="str">
        <f t="shared" si="173"/>
        <v>High</v>
      </c>
      <c r="AK896" t="str">
        <f t="shared" si="174"/>
        <v>Senior</v>
      </c>
      <c r="AL896" t="str">
        <f t="shared" si="175"/>
        <v>Very High</v>
      </c>
      <c r="AM896" t="str">
        <f t="shared" si="176"/>
        <v>Low</v>
      </c>
      <c r="AN896" t="str">
        <f t="shared" si="177"/>
        <v>No Options</v>
      </c>
      <c r="AO896" t="str">
        <f t="shared" si="178"/>
        <v>Better</v>
      </c>
      <c r="AP896" t="str">
        <f t="shared" si="179"/>
        <v>45-54</v>
      </c>
      <c r="AQ896" t="str">
        <f t="shared" si="180"/>
        <v>High</v>
      </c>
      <c r="AR896" t="str">
        <f t="shared" si="181"/>
        <v>6-10 Years</v>
      </c>
    </row>
    <row r="897" spans="1:44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46</v>
      </c>
      <c r="L897">
        <v>80</v>
      </c>
      <c r="M897">
        <v>3</v>
      </c>
      <c r="N897">
        <v>2</v>
      </c>
      <c r="O897" t="s">
        <v>54</v>
      </c>
      <c r="P897">
        <v>1</v>
      </c>
      <c r="Q897" t="s">
        <v>48</v>
      </c>
      <c r="R897">
        <v>6833</v>
      </c>
      <c r="S897">
        <v>1</v>
      </c>
      <c r="T897" t="s">
        <v>35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  <c r="AF897">
        <f t="shared" si="169"/>
        <v>0</v>
      </c>
      <c r="AG897">
        <f t="shared" si="170"/>
        <v>1</v>
      </c>
      <c r="AH897" t="str">
        <f t="shared" si="171"/>
        <v>College</v>
      </c>
      <c r="AI897" t="str">
        <f t="shared" si="172"/>
        <v>High</v>
      </c>
      <c r="AJ897" t="str">
        <f t="shared" si="173"/>
        <v>High</v>
      </c>
      <c r="AK897" t="str">
        <f t="shared" si="174"/>
        <v>Junior</v>
      </c>
      <c r="AL897" t="str">
        <f t="shared" si="175"/>
        <v>Low</v>
      </c>
      <c r="AM897" t="str">
        <f t="shared" si="176"/>
        <v>Very High</v>
      </c>
      <c r="AN897" t="str">
        <f t="shared" si="177"/>
        <v>No Options</v>
      </c>
      <c r="AO897" t="str">
        <f t="shared" si="178"/>
        <v>Good</v>
      </c>
      <c r="AP897" t="str">
        <f t="shared" si="179"/>
        <v>25-34</v>
      </c>
      <c r="AQ897" t="str">
        <f t="shared" si="180"/>
        <v>Lower-Mid</v>
      </c>
      <c r="AR897" t="str">
        <f t="shared" si="181"/>
        <v>6-10 Years</v>
      </c>
    </row>
    <row r="898" spans="1:44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39</v>
      </c>
      <c r="L898">
        <v>96</v>
      </c>
      <c r="M898">
        <v>2</v>
      </c>
      <c r="N898">
        <v>2</v>
      </c>
      <c r="O898" t="s">
        <v>54</v>
      </c>
      <c r="P898">
        <v>1</v>
      </c>
      <c r="Q898" t="s">
        <v>41</v>
      </c>
      <c r="R898">
        <v>6812</v>
      </c>
      <c r="S898">
        <v>1</v>
      </c>
      <c r="T898" t="s">
        <v>43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  <c r="AF898">
        <f t="shared" si="169"/>
        <v>0</v>
      </c>
      <c r="AG898">
        <f t="shared" si="170"/>
        <v>0</v>
      </c>
      <c r="AH898" t="str">
        <f t="shared" si="171"/>
        <v>Bachelor</v>
      </c>
      <c r="AI898" t="str">
        <f t="shared" si="172"/>
        <v>High</v>
      </c>
      <c r="AJ898" t="str">
        <f t="shared" si="173"/>
        <v>Medium</v>
      </c>
      <c r="AK898" t="str">
        <f t="shared" si="174"/>
        <v>Junior</v>
      </c>
      <c r="AL898" t="str">
        <f t="shared" si="175"/>
        <v>Low</v>
      </c>
      <c r="AM898" t="str">
        <f t="shared" si="176"/>
        <v>Medium</v>
      </c>
      <c r="AN898" t="str">
        <f t="shared" si="177"/>
        <v>No Options</v>
      </c>
      <c r="AO898" t="str">
        <f t="shared" si="178"/>
        <v>Better</v>
      </c>
      <c r="AP898" t="str">
        <f t="shared" si="179"/>
        <v>25-34</v>
      </c>
      <c r="AQ898" t="str">
        <f t="shared" si="180"/>
        <v>Lower-Mid</v>
      </c>
      <c r="AR898" t="str">
        <f t="shared" si="181"/>
        <v>6-10 Years</v>
      </c>
    </row>
    <row r="899" spans="1:44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48</v>
      </c>
      <c r="M899">
        <v>2</v>
      </c>
      <c r="N899">
        <v>2</v>
      </c>
      <c r="O899" t="s">
        <v>40</v>
      </c>
      <c r="P899">
        <v>4</v>
      </c>
      <c r="Q899" t="s">
        <v>41</v>
      </c>
      <c r="R899">
        <v>5171</v>
      </c>
      <c r="S899">
        <v>5</v>
      </c>
      <c r="T899" t="s">
        <v>43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  <c r="AF899">
        <f t="shared" ref="AF899:AF962" si="182">IF(B899="Yes",1,0)</f>
        <v>0</v>
      </c>
      <c r="AG899">
        <f t="shared" ref="AG899:AG962" si="183">IF(T899="Yes",1,0)</f>
        <v>0</v>
      </c>
      <c r="AH899" t="str">
        <f t="shared" ref="AH899:AH962" si="184">CHOOSE(G899,"Below College","College","Bachelor","Master","Doctor")</f>
        <v>Bachelor</v>
      </c>
      <c r="AI899" t="str">
        <f t="shared" ref="AI899:AI962" si="185">CHOOSE(J899,"Low","Medium","High","Very High")</f>
        <v>High</v>
      </c>
      <c r="AJ899" t="str">
        <f t="shared" ref="AJ899:AJ962" si="186">CHOOSE(M899,"Low","Medium","High","Very High")</f>
        <v>Medium</v>
      </c>
      <c r="AK899" t="str">
        <f t="shared" ref="AK899:AK962" si="187">CHOOSE(N899,"Entry","Junior","Mid-Level","Senior","Executive")</f>
        <v>Junior</v>
      </c>
      <c r="AL899" t="str">
        <f t="shared" ref="AL899:AL962" si="188">CHOOSE(P899,"Low","Medium","High","Very High")</f>
        <v>Very High</v>
      </c>
      <c r="AM899" t="str">
        <f t="shared" ref="AM899:AM962" si="189">CHOOSE(W899,"Low","Medium","High","Very High")</f>
        <v>Very High</v>
      </c>
      <c r="AN899" t="str">
        <f t="shared" ref="AN899:AN962" si="190">CHOOSE(X899+1,"No Options","Low","Medium","High")</f>
        <v>No Options</v>
      </c>
      <c r="AO899" t="str">
        <f t="shared" ref="AO899:AO962" si="191">CHOOSE(AA899,"Bad","Good","Better","Best")</f>
        <v>Better</v>
      </c>
      <c r="AP899" t="str">
        <f t="shared" ref="AP899:AP962" si="192">IF(A899&lt;=24,"Under 25",IF(A899&lt;=34,"25-34",IF(A899&lt;=44,"35-44",IF(A899&lt;=54,"45-54","55+"))))</f>
        <v>55+</v>
      </c>
      <c r="AQ899" t="str">
        <f t="shared" ref="AQ899:AQ962" si="193">IF(R899&lt;3000,"Low",IF(R899&lt;7000,"Lower-Mid",IF(R899&lt;13000,"Upper-Mid","High")))</f>
        <v>Lower-Mid</v>
      </c>
      <c r="AR899" t="str">
        <f t="shared" ref="AR899:AR962" si="194">IF(AB899&lt;=2,"0-2 Years",IF(AB899&lt;=5,"3-5 Years",IF(AB899&lt;=10,"6-10 Years",IF(AB899&lt;=20,"11-20 Years","20+ Years"))))</f>
        <v>6-10 Years</v>
      </c>
    </row>
    <row r="900" spans="1:44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46</v>
      </c>
      <c r="L900">
        <v>96</v>
      </c>
      <c r="M900">
        <v>1</v>
      </c>
      <c r="N900">
        <v>5</v>
      </c>
      <c r="O900" t="s">
        <v>58</v>
      </c>
      <c r="P900">
        <v>4</v>
      </c>
      <c r="Q900" t="s">
        <v>48</v>
      </c>
      <c r="R900">
        <v>19740</v>
      </c>
      <c r="S900">
        <v>3</v>
      </c>
      <c r="T900" t="s">
        <v>43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  <c r="AF900">
        <f t="shared" si="182"/>
        <v>0</v>
      </c>
      <c r="AG900">
        <f t="shared" si="183"/>
        <v>0</v>
      </c>
      <c r="AH900" t="str">
        <f t="shared" si="184"/>
        <v>Bachelor</v>
      </c>
      <c r="AI900" t="str">
        <f t="shared" si="185"/>
        <v>High</v>
      </c>
      <c r="AJ900" t="str">
        <f t="shared" si="186"/>
        <v>Low</v>
      </c>
      <c r="AK900" t="str">
        <f t="shared" si="187"/>
        <v>Executive</v>
      </c>
      <c r="AL900" t="str">
        <f t="shared" si="188"/>
        <v>Very High</v>
      </c>
      <c r="AM900" t="str">
        <f t="shared" si="189"/>
        <v>Medium</v>
      </c>
      <c r="AN900" t="str">
        <f t="shared" si="190"/>
        <v>Low</v>
      </c>
      <c r="AO900" t="str">
        <f t="shared" si="191"/>
        <v>Better</v>
      </c>
      <c r="AP900" t="str">
        <f t="shared" si="192"/>
        <v>35-44</v>
      </c>
      <c r="AQ900" t="str">
        <f t="shared" si="193"/>
        <v>High</v>
      </c>
      <c r="AR900" t="str">
        <f t="shared" si="194"/>
        <v>6-10 Years</v>
      </c>
    </row>
    <row r="901" spans="1:44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46</v>
      </c>
      <c r="L901">
        <v>85</v>
      </c>
      <c r="M901">
        <v>2</v>
      </c>
      <c r="N901">
        <v>5</v>
      </c>
      <c r="O901" t="s">
        <v>56</v>
      </c>
      <c r="P901">
        <v>3</v>
      </c>
      <c r="Q901" t="s">
        <v>48</v>
      </c>
      <c r="R901">
        <v>18711</v>
      </c>
      <c r="S901">
        <v>2</v>
      </c>
      <c r="T901" t="s">
        <v>43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  <c r="AF901">
        <f t="shared" si="182"/>
        <v>0</v>
      </c>
      <c r="AG901">
        <f t="shared" si="183"/>
        <v>0</v>
      </c>
      <c r="AH901" t="str">
        <f t="shared" si="184"/>
        <v>College</v>
      </c>
      <c r="AI901" t="str">
        <f t="shared" si="185"/>
        <v>Low</v>
      </c>
      <c r="AJ901" t="str">
        <f t="shared" si="186"/>
        <v>Medium</v>
      </c>
      <c r="AK901" t="str">
        <f t="shared" si="187"/>
        <v>Executive</v>
      </c>
      <c r="AL901" t="str">
        <f t="shared" si="188"/>
        <v>High</v>
      </c>
      <c r="AM901" t="str">
        <f t="shared" si="189"/>
        <v>High</v>
      </c>
      <c r="AN901" t="str">
        <f t="shared" si="190"/>
        <v>Low</v>
      </c>
      <c r="AO901" t="str">
        <f t="shared" si="191"/>
        <v>Best</v>
      </c>
      <c r="AP901" t="str">
        <f t="shared" si="192"/>
        <v>45-54</v>
      </c>
      <c r="AQ901" t="str">
        <f t="shared" si="193"/>
        <v>High</v>
      </c>
      <c r="AR901" t="str">
        <f t="shared" si="194"/>
        <v>0-2 Years</v>
      </c>
    </row>
    <row r="902" spans="1:44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t="s">
        <v>46</v>
      </c>
      <c r="L902">
        <v>46</v>
      </c>
      <c r="M902">
        <v>3</v>
      </c>
      <c r="N902">
        <v>1</v>
      </c>
      <c r="O902" t="s">
        <v>47</v>
      </c>
      <c r="P902">
        <v>2</v>
      </c>
      <c r="Q902" t="s">
        <v>48</v>
      </c>
      <c r="R902">
        <v>3692</v>
      </c>
      <c r="S902">
        <v>1</v>
      </c>
      <c r="T902" t="s">
        <v>43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  <c r="AF902">
        <f t="shared" si="182"/>
        <v>0</v>
      </c>
      <c r="AG902">
        <f t="shared" si="183"/>
        <v>0</v>
      </c>
      <c r="AH902" t="str">
        <f t="shared" si="184"/>
        <v>Bachelor</v>
      </c>
      <c r="AI902" t="str">
        <f t="shared" si="185"/>
        <v>High</v>
      </c>
      <c r="AJ902" t="str">
        <f t="shared" si="186"/>
        <v>High</v>
      </c>
      <c r="AK902" t="str">
        <f t="shared" si="187"/>
        <v>Entry</v>
      </c>
      <c r="AL902" t="str">
        <f t="shared" si="188"/>
        <v>Medium</v>
      </c>
      <c r="AM902" t="str">
        <f t="shared" si="189"/>
        <v>High</v>
      </c>
      <c r="AN902" t="str">
        <f t="shared" si="190"/>
        <v>No Options</v>
      </c>
      <c r="AO902" t="str">
        <f t="shared" si="191"/>
        <v>Good</v>
      </c>
      <c r="AP902" t="str">
        <f t="shared" si="192"/>
        <v>35-44</v>
      </c>
      <c r="AQ902" t="str">
        <f t="shared" si="193"/>
        <v>Lower-Mid</v>
      </c>
      <c r="AR902" t="str">
        <f t="shared" si="194"/>
        <v>11-20 Years</v>
      </c>
    </row>
    <row r="903" spans="1:44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t="s">
        <v>46</v>
      </c>
      <c r="L903">
        <v>76</v>
      </c>
      <c r="M903">
        <v>4</v>
      </c>
      <c r="N903">
        <v>1</v>
      </c>
      <c r="O903" t="s">
        <v>50</v>
      </c>
      <c r="P903">
        <v>2</v>
      </c>
      <c r="Q903" t="s">
        <v>41</v>
      </c>
      <c r="R903">
        <v>2559</v>
      </c>
      <c r="S903">
        <v>5</v>
      </c>
      <c r="T903" t="s">
        <v>43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  <c r="AF903">
        <f t="shared" si="182"/>
        <v>0</v>
      </c>
      <c r="AG903">
        <f t="shared" si="183"/>
        <v>0</v>
      </c>
      <c r="AH903" t="str">
        <f t="shared" si="184"/>
        <v>College</v>
      </c>
      <c r="AI903" t="str">
        <f t="shared" si="185"/>
        <v>Very High</v>
      </c>
      <c r="AJ903" t="str">
        <f t="shared" si="186"/>
        <v>Very High</v>
      </c>
      <c r="AK903" t="str">
        <f t="shared" si="187"/>
        <v>Entry</v>
      </c>
      <c r="AL903" t="str">
        <f t="shared" si="188"/>
        <v>Medium</v>
      </c>
      <c r="AM903" t="str">
        <f t="shared" si="189"/>
        <v>High</v>
      </c>
      <c r="AN903" t="str">
        <f t="shared" si="190"/>
        <v>No Options</v>
      </c>
      <c r="AO903" t="str">
        <f t="shared" si="191"/>
        <v>Good</v>
      </c>
      <c r="AP903" t="str">
        <f t="shared" si="192"/>
        <v>45-54</v>
      </c>
      <c r="AQ903" t="str">
        <f t="shared" si="193"/>
        <v>Low</v>
      </c>
      <c r="AR903" t="str">
        <f t="shared" si="194"/>
        <v>0-2 Years</v>
      </c>
    </row>
    <row r="904" spans="1:44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46</v>
      </c>
      <c r="L904">
        <v>76</v>
      </c>
      <c r="M904">
        <v>3</v>
      </c>
      <c r="N904">
        <v>1</v>
      </c>
      <c r="O904" t="s">
        <v>47</v>
      </c>
      <c r="P904">
        <v>3</v>
      </c>
      <c r="Q904" t="s">
        <v>52</v>
      </c>
      <c r="R904">
        <v>2517</v>
      </c>
      <c r="S904">
        <v>1</v>
      </c>
      <c r="T904" t="s">
        <v>43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  <c r="AF904">
        <f t="shared" si="182"/>
        <v>0</v>
      </c>
      <c r="AG904">
        <f t="shared" si="183"/>
        <v>0</v>
      </c>
      <c r="AH904" t="str">
        <f t="shared" si="184"/>
        <v>College</v>
      </c>
      <c r="AI904" t="str">
        <f t="shared" si="185"/>
        <v>Low</v>
      </c>
      <c r="AJ904" t="str">
        <f t="shared" si="186"/>
        <v>High</v>
      </c>
      <c r="AK904" t="str">
        <f t="shared" si="187"/>
        <v>Entry</v>
      </c>
      <c r="AL904" t="str">
        <f t="shared" si="188"/>
        <v>High</v>
      </c>
      <c r="AM904" t="str">
        <f t="shared" si="189"/>
        <v>Medium</v>
      </c>
      <c r="AN904" t="str">
        <f t="shared" si="190"/>
        <v>High</v>
      </c>
      <c r="AO904" t="str">
        <f t="shared" si="191"/>
        <v>Better</v>
      </c>
      <c r="AP904" t="str">
        <f t="shared" si="192"/>
        <v>25-34</v>
      </c>
      <c r="AQ904" t="str">
        <f t="shared" si="193"/>
        <v>Low</v>
      </c>
      <c r="AR904" t="str">
        <f t="shared" si="194"/>
        <v>3-5 Years</v>
      </c>
    </row>
    <row r="905" spans="1:44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46</v>
      </c>
      <c r="L905">
        <v>82</v>
      </c>
      <c r="M905">
        <v>3</v>
      </c>
      <c r="N905">
        <v>2</v>
      </c>
      <c r="O905" t="s">
        <v>54</v>
      </c>
      <c r="P905">
        <v>4</v>
      </c>
      <c r="Q905" t="s">
        <v>52</v>
      </c>
      <c r="R905">
        <v>6623</v>
      </c>
      <c r="S905">
        <v>1</v>
      </c>
      <c r="T905" t="s">
        <v>35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  <c r="AF905">
        <f t="shared" si="182"/>
        <v>0</v>
      </c>
      <c r="AG905">
        <f t="shared" si="183"/>
        <v>1</v>
      </c>
      <c r="AH905" t="str">
        <f t="shared" si="184"/>
        <v>Bachelor</v>
      </c>
      <c r="AI905" t="str">
        <f t="shared" si="185"/>
        <v>High</v>
      </c>
      <c r="AJ905" t="str">
        <f t="shared" si="186"/>
        <v>High</v>
      </c>
      <c r="AK905" t="str">
        <f t="shared" si="187"/>
        <v>Junior</v>
      </c>
      <c r="AL905" t="str">
        <f t="shared" si="188"/>
        <v>Very High</v>
      </c>
      <c r="AM905" t="str">
        <f t="shared" si="189"/>
        <v>Medium</v>
      </c>
      <c r="AN905" t="str">
        <f t="shared" si="190"/>
        <v>Medium</v>
      </c>
      <c r="AO905" t="str">
        <f t="shared" si="191"/>
        <v>Better</v>
      </c>
      <c r="AP905" t="str">
        <f t="shared" si="192"/>
        <v>25-34</v>
      </c>
      <c r="AQ905" t="str">
        <f t="shared" si="193"/>
        <v>Lower-Mid</v>
      </c>
      <c r="AR905" t="str">
        <f t="shared" si="194"/>
        <v>6-10 Years</v>
      </c>
    </row>
    <row r="906" spans="1:44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46</v>
      </c>
      <c r="L906">
        <v>76</v>
      </c>
      <c r="M906">
        <v>2</v>
      </c>
      <c r="N906">
        <v>5</v>
      </c>
      <c r="O906" t="s">
        <v>58</v>
      </c>
      <c r="P906">
        <v>4</v>
      </c>
      <c r="Q906" t="s">
        <v>41</v>
      </c>
      <c r="R906">
        <v>18265</v>
      </c>
      <c r="S906">
        <v>6</v>
      </c>
      <c r="T906" t="s">
        <v>43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  <c r="AF906">
        <f t="shared" si="182"/>
        <v>0</v>
      </c>
      <c r="AG906">
        <f t="shared" si="183"/>
        <v>0</v>
      </c>
      <c r="AH906" t="str">
        <f t="shared" si="184"/>
        <v>Bachelor</v>
      </c>
      <c r="AI906" t="str">
        <f t="shared" si="185"/>
        <v>Very High</v>
      </c>
      <c r="AJ906" t="str">
        <f t="shared" si="186"/>
        <v>Medium</v>
      </c>
      <c r="AK906" t="str">
        <f t="shared" si="187"/>
        <v>Executive</v>
      </c>
      <c r="AL906" t="str">
        <f t="shared" si="188"/>
        <v>Very High</v>
      </c>
      <c r="AM906" t="str">
        <f t="shared" si="189"/>
        <v>High</v>
      </c>
      <c r="AN906" t="str">
        <f t="shared" si="190"/>
        <v>No Options</v>
      </c>
      <c r="AO906" t="str">
        <f t="shared" si="191"/>
        <v>Best</v>
      </c>
      <c r="AP906" t="str">
        <f t="shared" si="192"/>
        <v>45-54</v>
      </c>
      <c r="AQ906" t="str">
        <f t="shared" si="193"/>
        <v>High</v>
      </c>
      <c r="AR906" t="str">
        <f t="shared" si="194"/>
        <v>0-2 Years</v>
      </c>
    </row>
    <row r="907" spans="1:44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87</v>
      </c>
      <c r="M907">
        <v>2</v>
      </c>
      <c r="N907">
        <v>4</v>
      </c>
      <c r="O907" t="s">
        <v>58</v>
      </c>
      <c r="P907">
        <v>4</v>
      </c>
      <c r="Q907" t="s">
        <v>52</v>
      </c>
      <c r="R907">
        <v>16124</v>
      </c>
      <c r="S907">
        <v>3</v>
      </c>
      <c r="T907" t="s">
        <v>43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  <c r="AF907">
        <f t="shared" si="182"/>
        <v>0</v>
      </c>
      <c r="AG907">
        <f t="shared" si="183"/>
        <v>0</v>
      </c>
      <c r="AH907" t="str">
        <f t="shared" si="184"/>
        <v>Bachelor</v>
      </c>
      <c r="AI907" t="str">
        <f t="shared" si="185"/>
        <v>Very High</v>
      </c>
      <c r="AJ907" t="str">
        <f t="shared" si="186"/>
        <v>Medium</v>
      </c>
      <c r="AK907" t="str">
        <f t="shared" si="187"/>
        <v>Senior</v>
      </c>
      <c r="AL907" t="str">
        <f t="shared" si="188"/>
        <v>Very High</v>
      </c>
      <c r="AM907" t="str">
        <f t="shared" si="189"/>
        <v>Medium</v>
      </c>
      <c r="AN907" t="str">
        <f t="shared" si="190"/>
        <v>Medium</v>
      </c>
      <c r="AO907" t="str">
        <f t="shared" si="191"/>
        <v>Good</v>
      </c>
      <c r="AP907" t="str">
        <f t="shared" si="192"/>
        <v>25-34</v>
      </c>
      <c r="AQ907" t="str">
        <f t="shared" si="193"/>
        <v>High</v>
      </c>
      <c r="AR907" t="str">
        <f t="shared" si="194"/>
        <v>6-10 Years</v>
      </c>
    </row>
    <row r="908" spans="1:44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t="s">
        <v>39</v>
      </c>
      <c r="L908">
        <v>89</v>
      </c>
      <c r="M908">
        <v>4</v>
      </c>
      <c r="N908">
        <v>1</v>
      </c>
      <c r="O908" t="s">
        <v>47</v>
      </c>
      <c r="P908">
        <v>3</v>
      </c>
      <c r="Q908" t="s">
        <v>48</v>
      </c>
      <c r="R908">
        <v>2585</v>
      </c>
      <c r="S908">
        <v>0</v>
      </c>
      <c r="T908" t="s">
        <v>43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  <c r="AF908">
        <f t="shared" si="182"/>
        <v>0</v>
      </c>
      <c r="AG908">
        <f t="shared" si="183"/>
        <v>0</v>
      </c>
      <c r="AH908" t="str">
        <f t="shared" si="184"/>
        <v>Bachelor</v>
      </c>
      <c r="AI908" t="str">
        <f t="shared" si="185"/>
        <v>High</v>
      </c>
      <c r="AJ908" t="str">
        <f t="shared" si="186"/>
        <v>Very High</v>
      </c>
      <c r="AK908" t="str">
        <f t="shared" si="187"/>
        <v>Entry</v>
      </c>
      <c r="AL908" t="str">
        <f t="shared" si="188"/>
        <v>High</v>
      </c>
      <c r="AM908" t="str">
        <f t="shared" si="189"/>
        <v>Very High</v>
      </c>
      <c r="AN908" t="str">
        <f t="shared" si="190"/>
        <v>No Options</v>
      </c>
      <c r="AO908" t="str">
        <f t="shared" si="191"/>
        <v>Good</v>
      </c>
      <c r="AP908" t="str">
        <f t="shared" si="192"/>
        <v>25-34</v>
      </c>
      <c r="AQ908" t="str">
        <f t="shared" si="193"/>
        <v>Low</v>
      </c>
      <c r="AR908" t="str">
        <f t="shared" si="194"/>
        <v>0-2 Years</v>
      </c>
    </row>
    <row r="909" spans="1:44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t="s">
        <v>46</v>
      </c>
      <c r="L909">
        <v>88</v>
      </c>
      <c r="M909">
        <v>3</v>
      </c>
      <c r="N909">
        <v>5</v>
      </c>
      <c r="O909" t="s">
        <v>56</v>
      </c>
      <c r="P909">
        <v>2</v>
      </c>
      <c r="Q909" t="s">
        <v>48</v>
      </c>
      <c r="R909">
        <v>18213</v>
      </c>
      <c r="S909">
        <v>7</v>
      </c>
      <c r="T909" t="s">
        <v>43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  <c r="AF909">
        <f t="shared" si="182"/>
        <v>0</v>
      </c>
      <c r="AG909">
        <f t="shared" si="183"/>
        <v>0</v>
      </c>
      <c r="AH909" t="str">
        <f t="shared" si="184"/>
        <v>Bachelor</v>
      </c>
      <c r="AI909" t="str">
        <f t="shared" si="185"/>
        <v>Medium</v>
      </c>
      <c r="AJ909" t="str">
        <f t="shared" si="186"/>
        <v>High</v>
      </c>
      <c r="AK909" t="str">
        <f t="shared" si="187"/>
        <v>Executive</v>
      </c>
      <c r="AL909" t="str">
        <f t="shared" si="188"/>
        <v>Medium</v>
      </c>
      <c r="AM909" t="str">
        <f t="shared" si="189"/>
        <v>High</v>
      </c>
      <c r="AN909" t="str">
        <f t="shared" si="190"/>
        <v>Low</v>
      </c>
      <c r="AO909" t="str">
        <f t="shared" si="191"/>
        <v>Better</v>
      </c>
      <c r="AP909" t="str">
        <f t="shared" si="192"/>
        <v>35-44</v>
      </c>
      <c r="AQ909" t="str">
        <f t="shared" si="193"/>
        <v>High</v>
      </c>
      <c r="AR909" t="str">
        <f t="shared" si="194"/>
        <v>20+ Years</v>
      </c>
    </row>
    <row r="910" spans="1:44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t="s">
        <v>46</v>
      </c>
      <c r="L910">
        <v>82</v>
      </c>
      <c r="M910">
        <v>4</v>
      </c>
      <c r="N910">
        <v>3</v>
      </c>
      <c r="O910" t="s">
        <v>40</v>
      </c>
      <c r="P910">
        <v>3</v>
      </c>
      <c r="Q910" t="s">
        <v>52</v>
      </c>
      <c r="R910">
        <v>8380</v>
      </c>
      <c r="S910">
        <v>0</v>
      </c>
      <c r="T910" t="s">
        <v>35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  <c r="AF910">
        <f t="shared" si="182"/>
        <v>0</v>
      </c>
      <c r="AG910">
        <f t="shared" si="183"/>
        <v>1</v>
      </c>
      <c r="AH910" t="str">
        <f t="shared" si="184"/>
        <v>Doctor</v>
      </c>
      <c r="AI910" t="str">
        <f t="shared" si="185"/>
        <v>Very High</v>
      </c>
      <c r="AJ910" t="str">
        <f t="shared" si="186"/>
        <v>Very High</v>
      </c>
      <c r="AK910" t="str">
        <f t="shared" si="187"/>
        <v>Mid-Level</v>
      </c>
      <c r="AL910" t="str">
        <f t="shared" si="188"/>
        <v>High</v>
      </c>
      <c r="AM910" t="str">
        <f t="shared" si="189"/>
        <v>Very High</v>
      </c>
      <c r="AN910" t="str">
        <f t="shared" si="190"/>
        <v>Medium</v>
      </c>
      <c r="AO910" t="str">
        <f t="shared" si="191"/>
        <v>Better</v>
      </c>
      <c r="AP910" t="str">
        <f t="shared" si="192"/>
        <v>25-34</v>
      </c>
      <c r="AQ910" t="str">
        <f t="shared" si="193"/>
        <v>Upper-Mid</v>
      </c>
      <c r="AR910" t="str">
        <f t="shared" si="194"/>
        <v>6-10 Years</v>
      </c>
    </row>
    <row r="911" spans="1:44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57</v>
      </c>
      <c r="M911">
        <v>4</v>
      </c>
      <c r="N911">
        <v>1</v>
      </c>
      <c r="O911" t="s">
        <v>47</v>
      </c>
      <c r="P911">
        <v>4</v>
      </c>
      <c r="Q911" t="s">
        <v>41</v>
      </c>
      <c r="R911">
        <v>2994</v>
      </c>
      <c r="S911">
        <v>1</v>
      </c>
      <c r="T911" t="s">
        <v>35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  <c r="AF911">
        <f t="shared" si="182"/>
        <v>0</v>
      </c>
      <c r="AG911">
        <f t="shared" si="183"/>
        <v>1</v>
      </c>
      <c r="AH911" t="str">
        <f t="shared" si="184"/>
        <v>Bachelor</v>
      </c>
      <c r="AI911" t="str">
        <f t="shared" si="185"/>
        <v>Medium</v>
      </c>
      <c r="AJ911" t="str">
        <f t="shared" si="186"/>
        <v>Very High</v>
      </c>
      <c r="AK911" t="str">
        <f t="shared" si="187"/>
        <v>Entry</v>
      </c>
      <c r="AL911" t="str">
        <f t="shared" si="188"/>
        <v>Very High</v>
      </c>
      <c r="AM911" t="str">
        <f t="shared" si="189"/>
        <v>Very High</v>
      </c>
      <c r="AN911" t="str">
        <f t="shared" si="190"/>
        <v>No Options</v>
      </c>
      <c r="AO911" t="str">
        <f t="shared" si="191"/>
        <v>Better</v>
      </c>
      <c r="AP911" t="str">
        <f t="shared" si="192"/>
        <v>Under 25</v>
      </c>
      <c r="AQ911" t="str">
        <f t="shared" si="193"/>
        <v>Low</v>
      </c>
      <c r="AR911" t="str">
        <f t="shared" si="194"/>
        <v>0-2 Years</v>
      </c>
    </row>
    <row r="912" spans="1:44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46</v>
      </c>
      <c r="L912">
        <v>47</v>
      </c>
      <c r="M912">
        <v>3</v>
      </c>
      <c r="N912">
        <v>1</v>
      </c>
      <c r="O912" t="s">
        <v>47</v>
      </c>
      <c r="P912">
        <v>3</v>
      </c>
      <c r="Q912" t="s">
        <v>48</v>
      </c>
      <c r="R912">
        <v>1223</v>
      </c>
      <c r="S912">
        <v>1</v>
      </c>
      <c r="T912" t="s">
        <v>43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  <c r="AF912">
        <f t="shared" si="182"/>
        <v>0</v>
      </c>
      <c r="AG912">
        <f t="shared" si="183"/>
        <v>0</v>
      </c>
      <c r="AH912" t="str">
        <f t="shared" si="184"/>
        <v>College</v>
      </c>
      <c r="AI912" t="str">
        <f t="shared" si="185"/>
        <v>Very High</v>
      </c>
      <c r="AJ912" t="str">
        <f t="shared" si="186"/>
        <v>High</v>
      </c>
      <c r="AK912" t="str">
        <f t="shared" si="187"/>
        <v>Entry</v>
      </c>
      <c r="AL912" t="str">
        <f t="shared" si="188"/>
        <v>High</v>
      </c>
      <c r="AM912" t="str">
        <f t="shared" si="189"/>
        <v>Very High</v>
      </c>
      <c r="AN912" t="str">
        <f t="shared" si="190"/>
        <v>Low</v>
      </c>
      <c r="AO912" t="str">
        <f t="shared" si="191"/>
        <v>Better</v>
      </c>
      <c r="AP912" t="str">
        <f t="shared" si="192"/>
        <v>Under 25</v>
      </c>
      <c r="AQ912" t="str">
        <f t="shared" si="193"/>
        <v>Low</v>
      </c>
      <c r="AR912" t="str">
        <f t="shared" si="194"/>
        <v>0-2 Years</v>
      </c>
    </row>
    <row r="913" spans="1:44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46</v>
      </c>
      <c r="L913">
        <v>73</v>
      </c>
      <c r="M913">
        <v>1</v>
      </c>
      <c r="N913">
        <v>1</v>
      </c>
      <c r="O913" t="s">
        <v>57</v>
      </c>
      <c r="P913">
        <v>4</v>
      </c>
      <c r="Q913" t="s">
        <v>41</v>
      </c>
      <c r="R913">
        <v>1118</v>
      </c>
      <c r="S913">
        <v>1</v>
      </c>
      <c r="T913" t="s">
        <v>35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  <c r="AF913">
        <f t="shared" si="182"/>
        <v>1</v>
      </c>
      <c r="AG913">
        <f t="shared" si="183"/>
        <v>1</v>
      </c>
      <c r="AH913" t="str">
        <f t="shared" si="184"/>
        <v>Below College</v>
      </c>
      <c r="AI913" t="str">
        <f t="shared" si="185"/>
        <v>High</v>
      </c>
      <c r="AJ913" t="str">
        <f t="shared" si="186"/>
        <v>Low</v>
      </c>
      <c r="AK913" t="str">
        <f t="shared" si="187"/>
        <v>Entry</v>
      </c>
      <c r="AL913" t="str">
        <f t="shared" si="188"/>
        <v>Very High</v>
      </c>
      <c r="AM913" t="str">
        <f t="shared" si="189"/>
        <v>Very High</v>
      </c>
      <c r="AN913" t="str">
        <f t="shared" si="190"/>
        <v>No Options</v>
      </c>
      <c r="AO913" t="str">
        <f t="shared" si="191"/>
        <v>Better</v>
      </c>
      <c r="AP913" t="str">
        <f t="shared" si="192"/>
        <v>25-34</v>
      </c>
      <c r="AQ913" t="str">
        <f t="shared" si="193"/>
        <v>Low</v>
      </c>
      <c r="AR913" t="str">
        <f t="shared" si="194"/>
        <v>0-2 Years</v>
      </c>
    </row>
    <row r="914" spans="1:44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46</v>
      </c>
      <c r="L914">
        <v>53</v>
      </c>
      <c r="M914">
        <v>3</v>
      </c>
      <c r="N914">
        <v>1</v>
      </c>
      <c r="O914" t="s">
        <v>47</v>
      </c>
      <c r="P914">
        <v>4</v>
      </c>
      <c r="Q914" t="s">
        <v>41</v>
      </c>
      <c r="R914">
        <v>2875</v>
      </c>
      <c r="S914">
        <v>1</v>
      </c>
      <c r="T914" t="s">
        <v>35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  <c r="AF914">
        <f t="shared" si="182"/>
        <v>0</v>
      </c>
      <c r="AG914">
        <f t="shared" si="183"/>
        <v>1</v>
      </c>
      <c r="AH914" t="str">
        <f t="shared" si="184"/>
        <v>College</v>
      </c>
      <c r="AI914" t="str">
        <f t="shared" si="185"/>
        <v>High</v>
      </c>
      <c r="AJ914" t="str">
        <f t="shared" si="186"/>
        <v>High</v>
      </c>
      <c r="AK914" t="str">
        <f t="shared" si="187"/>
        <v>Entry</v>
      </c>
      <c r="AL914" t="str">
        <f t="shared" si="188"/>
        <v>Very High</v>
      </c>
      <c r="AM914" t="str">
        <f t="shared" si="189"/>
        <v>Medium</v>
      </c>
      <c r="AN914" t="str">
        <f t="shared" si="190"/>
        <v>No Options</v>
      </c>
      <c r="AO914" t="str">
        <f t="shared" si="191"/>
        <v>Good</v>
      </c>
      <c r="AP914" t="str">
        <f t="shared" si="192"/>
        <v>25-34</v>
      </c>
      <c r="AQ914" t="str">
        <f t="shared" si="193"/>
        <v>Low</v>
      </c>
      <c r="AR914" t="str">
        <f t="shared" si="194"/>
        <v>6-10 Years</v>
      </c>
    </row>
    <row r="915" spans="1:44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t="s">
        <v>39</v>
      </c>
      <c r="L915">
        <v>94</v>
      </c>
      <c r="M915">
        <v>1</v>
      </c>
      <c r="N915">
        <v>5</v>
      </c>
      <c r="O915" t="s">
        <v>56</v>
      </c>
      <c r="P915">
        <v>2</v>
      </c>
      <c r="Q915" t="s">
        <v>41</v>
      </c>
      <c r="R915">
        <v>18824</v>
      </c>
      <c r="S915">
        <v>2</v>
      </c>
      <c r="T915" t="s">
        <v>35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  <c r="AF915">
        <f t="shared" si="182"/>
        <v>1</v>
      </c>
      <c r="AG915">
        <f t="shared" si="183"/>
        <v>1</v>
      </c>
      <c r="AH915" t="str">
        <f t="shared" si="184"/>
        <v>Bachelor</v>
      </c>
      <c r="AI915" t="str">
        <f t="shared" si="185"/>
        <v>Low</v>
      </c>
      <c r="AJ915" t="str">
        <f t="shared" si="186"/>
        <v>Low</v>
      </c>
      <c r="AK915" t="str">
        <f t="shared" si="187"/>
        <v>Executive</v>
      </c>
      <c r="AL915" t="str">
        <f t="shared" si="188"/>
        <v>Medium</v>
      </c>
      <c r="AM915" t="str">
        <f t="shared" si="189"/>
        <v>Low</v>
      </c>
      <c r="AN915" t="str">
        <f t="shared" si="190"/>
        <v>No Options</v>
      </c>
      <c r="AO915" t="str">
        <f t="shared" si="191"/>
        <v>Better</v>
      </c>
      <c r="AP915" t="str">
        <f t="shared" si="192"/>
        <v>45-54</v>
      </c>
      <c r="AQ915" t="str">
        <f t="shared" si="193"/>
        <v>High</v>
      </c>
      <c r="AR915" t="str">
        <f t="shared" si="194"/>
        <v>20+ Years</v>
      </c>
    </row>
    <row r="916" spans="1:44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46</v>
      </c>
      <c r="L916">
        <v>37</v>
      </c>
      <c r="M916">
        <v>2</v>
      </c>
      <c r="N916">
        <v>4</v>
      </c>
      <c r="O916" t="s">
        <v>54</v>
      </c>
      <c r="P916">
        <v>2</v>
      </c>
      <c r="Q916" t="s">
        <v>52</v>
      </c>
      <c r="R916">
        <v>13577</v>
      </c>
      <c r="S916">
        <v>1</v>
      </c>
      <c r="T916" t="s">
        <v>35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  <c r="AF916">
        <f t="shared" si="182"/>
        <v>0</v>
      </c>
      <c r="AG916">
        <f t="shared" si="183"/>
        <v>1</v>
      </c>
      <c r="AH916" t="str">
        <f t="shared" si="184"/>
        <v>Below College</v>
      </c>
      <c r="AI916" t="str">
        <f t="shared" si="185"/>
        <v>Very High</v>
      </c>
      <c r="AJ916" t="str">
        <f t="shared" si="186"/>
        <v>Medium</v>
      </c>
      <c r="AK916" t="str">
        <f t="shared" si="187"/>
        <v>Senior</v>
      </c>
      <c r="AL916" t="str">
        <f t="shared" si="188"/>
        <v>Medium</v>
      </c>
      <c r="AM916" t="str">
        <f t="shared" si="189"/>
        <v>Very High</v>
      </c>
      <c r="AN916" t="str">
        <f t="shared" si="190"/>
        <v>Low</v>
      </c>
      <c r="AO916" t="str">
        <f t="shared" si="191"/>
        <v>Better</v>
      </c>
      <c r="AP916" t="str">
        <f t="shared" si="192"/>
        <v>55+</v>
      </c>
      <c r="AQ916" t="str">
        <f t="shared" si="193"/>
        <v>High</v>
      </c>
      <c r="AR916" t="str">
        <f t="shared" si="194"/>
        <v>20+ Years</v>
      </c>
    </row>
    <row r="917" spans="1:44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45</v>
      </c>
      <c r="M917">
        <v>2</v>
      </c>
      <c r="N917">
        <v>1</v>
      </c>
      <c r="O917" t="s">
        <v>50</v>
      </c>
      <c r="P917">
        <v>3</v>
      </c>
      <c r="Q917" t="s">
        <v>41</v>
      </c>
      <c r="R917">
        <v>2625</v>
      </c>
      <c r="S917">
        <v>1</v>
      </c>
      <c r="T917" t="s">
        <v>43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  <c r="AF917">
        <f t="shared" si="182"/>
        <v>1</v>
      </c>
      <c r="AG917">
        <f t="shared" si="183"/>
        <v>0</v>
      </c>
      <c r="AH917" t="str">
        <f t="shared" si="184"/>
        <v>College</v>
      </c>
      <c r="AI917" t="str">
        <f t="shared" si="185"/>
        <v>Low</v>
      </c>
      <c r="AJ917" t="str">
        <f t="shared" si="186"/>
        <v>Medium</v>
      </c>
      <c r="AK917" t="str">
        <f t="shared" si="187"/>
        <v>Entry</v>
      </c>
      <c r="AL917" t="str">
        <f t="shared" si="188"/>
        <v>High</v>
      </c>
      <c r="AM917" t="str">
        <f t="shared" si="189"/>
        <v>High</v>
      </c>
      <c r="AN917" t="str">
        <f t="shared" si="190"/>
        <v>No Options</v>
      </c>
      <c r="AO917" t="str">
        <f t="shared" si="191"/>
        <v>Bad</v>
      </c>
      <c r="AP917" t="str">
        <f t="shared" si="192"/>
        <v>Under 25</v>
      </c>
      <c r="AQ917" t="str">
        <f t="shared" si="193"/>
        <v>Low</v>
      </c>
      <c r="AR917" t="str">
        <f t="shared" si="194"/>
        <v>0-2 Years</v>
      </c>
    </row>
    <row r="918" spans="1:44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t="s">
        <v>39</v>
      </c>
      <c r="L918">
        <v>33</v>
      </c>
      <c r="M918">
        <v>2</v>
      </c>
      <c r="N918">
        <v>5</v>
      </c>
      <c r="O918" t="s">
        <v>56</v>
      </c>
      <c r="P918">
        <v>2</v>
      </c>
      <c r="Q918" t="s">
        <v>48</v>
      </c>
      <c r="R918">
        <v>18789</v>
      </c>
      <c r="S918">
        <v>2</v>
      </c>
      <c r="T918" t="s">
        <v>43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  <c r="AF918">
        <f t="shared" si="182"/>
        <v>0</v>
      </c>
      <c r="AG918">
        <f t="shared" si="183"/>
        <v>0</v>
      </c>
      <c r="AH918" t="str">
        <f t="shared" si="184"/>
        <v>College</v>
      </c>
      <c r="AI918" t="str">
        <f t="shared" si="185"/>
        <v>Very High</v>
      </c>
      <c r="AJ918" t="str">
        <f t="shared" si="186"/>
        <v>Medium</v>
      </c>
      <c r="AK918" t="str">
        <f t="shared" si="187"/>
        <v>Executive</v>
      </c>
      <c r="AL918" t="str">
        <f t="shared" si="188"/>
        <v>Medium</v>
      </c>
      <c r="AM918" t="str">
        <f t="shared" si="189"/>
        <v>High</v>
      </c>
      <c r="AN918" t="str">
        <f t="shared" si="190"/>
        <v>Low</v>
      </c>
      <c r="AO918" t="str">
        <f t="shared" si="191"/>
        <v>Better</v>
      </c>
      <c r="AP918" t="str">
        <f t="shared" si="192"/>
        <v>45-54</v>
      </c>
      <c r="AQ918" t="str">
        <f t="shared" si="193"/>
        <v>High</v>
      </c>
      <c r="AR918" t="str">
        <f t="shared" si="194"/>
        <v>11-20 Years</v>
      </c>
    </row>
    <row r="919" spans="1:44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t="s">
        <v>39</v>
      </c>
      <c r="L919">
        <v>86</v>
      </c>
      <c r="M919">
        <v>3</v>
      </c>
      <c r="N919">
        <v>2</v>
      </c>
      <c r="O919" t="s">
        <v>40</v>
      </c>
      <c r="P919">
        <v>1</v>
      </c>
      <c r="Q919" t="s">
        <v>41</v>
      </c>
      <c r="R919">
        <v>4538</v>
      </c>
      <c r="S919">
        <v>0</v>
      </c>
      <c r="T919" t="s">
        <v>35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  <c r="AF919">
        <f t="shared" si="182"/>
        <v>0</v>
      </c>
      <c r="AG919">
        <f t="shared" si="183"/>
        <v>1</v>
      </c>
      <c r="AH919" t="str">
        <f t="shared" si="184"/>
        <v>Bachelor</v>
      </c>
      <c r="AI919" t="str">
        <f t="shared" si="185"/>
        <v>High</v>
      </c>
      <c r="AJ919" t="str">
        <f t="shared" si="186"/>
        <v>High</v>
      </c>
      <c r="AK919" t="str">
        <f t="shared" si="187"/>
        <v>Junior</v>
      </c>
      <c r="AL919" t="str">
        <f t="shared" si="188"/>
        <v>Low</v>
      </c>
      <c r="AM919" t="str">
        <f t="shared" si="189"/>
        <v>Very High</v>
      </c>
      <c r="AN919" t="str">
        <f t="shared" si="190"/>
        <v>No Options</v>
      </c>
      <c r="AO919" t="str">
        <f t="shared" si="191"/>
        <v>Better</v>
      </c>
      <c r="AP919" t="str">
        <f t="shared" si="192"/>
        <v>25-34</v>
      </c>
      <c r="AQ919" t="str">
        <f t="shared" si="193"/>
        <v>Lower-Mid</v>
      </c>
      <c r="AR919" t="str">
        <f t="shared" si="194"/>
        <v>3-5 Years</v>
      </c>
    </row>
    <row r="920" spans="1:44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46</v>
      </c>
      <c r="L920">
        <v>83</v>
      </c>
      <c r="M920">
        <v>3</v>
      </c>
      <c r="N920">
        <v>5</v>
      </c>
      <c r="O920" t="s">
        <v>56</v>
      </c>
      <c r="P920">
        <v>2</v>
      </c>
      <c r="Q920" t="s">
        <v>52</v>
      </c>
      <c r="R920">
        <v>19847</v>
      </c>
      <c r="S920">
        <v>4</v>
      </c>
      <c r="T920" t="s">
        <v>35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  <c r="AF920">
        <f t="shared" si="182"/>
        <v>0</v>
      </c>
      <c r="AG920">
        <f t="shared" si="183"/>
        <v>1</v>
      </c>
      <c r="AH920" t="str">
        <f t="shared" si="184"/>
        <v>Bachelor</v>
      </c>
      <c r="AI920" t="str">
        <f t="shared" si="185"/>
        <v>Very High</v>
      </c>
      <c r="AJ920" t="str">
        <f t="shared" si="186"/>
        <v>High</v>
      </c>
      <c r="AK920" t="str">
        <f t="shared" si="187"/>
        <v>Executive</v>
      </c>
      <c r="AL920" t="str">
        <f t="shared" si="188"/>
        <v>Medium</v>
      </c>
      <c r="AM920" t="str">
        <f t="shared" si="189"/>
        <v>Low</v>
      </c>
      <c r="AN920" t="str">
        <f t="shared" si="190"/>
        <v>Low</v>
      </c>
      <c r="AO920" t="str">
        <f t="shared" si="191"/>
        <v>Good</v>
      </c>
      <c r="AP920" t="str">
        <f t="shared" si="192"/>
        <v>45-54</v>
      </c>
      <c r="AQ920" t="str">
        <f t="shared" si="193"/>
        <v>High</v>
      </c>
      <c r="AR920" t="str">
        <f t="shared" si="194"/>
        <v>20+ Years</v>
      </c>
    </row>
    <row r="921" spans="1:44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46</v>
      </c>
      <c r="L921">
        <v>67</v>
      </c>
      <c r="M921">
        <v>3</v>
      </c>
      <c r="N921">
        <v>3</v>
      </c>
      <c r="O921" t="s">
        <v>53</v>
      </c>
      <c r="P921">
        <v>4</v>
      </c>
      <c r="Q921" t="s">
        <v>41</v>
      </c>
      <c r="R921">
        <v>10512</v>
      </c>
      <c r="S921">
        <v>6</v>
      </c>
      <c r="T921" t="s">
        <v>43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  <c r="AF921">
        <f t="shared" si="182"/>
        <v>0</v>
      </c>
      <c r="AG921">
        <f t="shared" si="183"/>
        <v>0</v>
      </c>
      <c r="AH921" t="str">
        <f t="shared" si="184"/>
        <v>Master</v>
      </c>
      <c r="AI921" t="str">
        <f t="shared" si="185"/>
        <v>Very High</v>
      </c>
      <c r="AJ921" t="str">
        <f t="shared" si="186"/>
        <v>High</v>
      </c>
      <c r="AK921" t="str">
        <f t="shared" si="187"/>
        <v>Mid-Level</v>
      </c>
      <c r="AL921" t="str">
        <f t="shared" si="188"/>
        <v>Very High</v>
      </c>
      <c r="AM921" t="str">
        <f t="shared" si="189"/>
        <v>Very High</v>
      </c>
      <c r="AN921" t="str">
        <f t="shared" si="190"/>
        <v>No Options</v>
      </c>
      <c r="AO921" t="str">
        <f t="shared" si="191"/>
        <v>Good</v>
      </c>
      <c r="AP921" t="str">
        <f t="shared" si="192"/>
        <v>55+</v>
      </c>
      <c r="AQ921" t="str">
        <f t="shared" si="193"/>
        <v>Upper-Mid</v>
      </c>
      <c r="AR921" t="str">
        <f t="shared" si="194"/>
        <v>6-10 Years</v>
      </c>
    </row>
    <row r="922" spans="1:44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39</v>
      </c>
      <c r="L922">
        <v>46</v>
      </c>
      <c r="M922">
        <v>3</v>
      </c>
      <c r="N922">
        <v>2</v>
      </c>
      <c r="O922" t="s">
        <v>50</v>
      </c>
      <c r="P922">
        <v>2</v>
      </c>
      <c r="Q922" t="s">
        <v>52</v>
      </c>
      <c r="R922">
        <v>4444</v>
      </c>
      <c r="S922">
        <v>4</v>
      </c>
      <c r="T922" t="s">
        <v>43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  <c r="AF922">
        <f t="shared" si="182"/>
        <v>0</v>
      </c>
      <c r="AG922">
        <f t="shared" si="183"/>
        <v>0</v>
      </c>
      <c r="AH922" t="str">
        <f t="shared" si="184"/>
        <v>Bachelor</v>
      </c>
      <c r="AI922" t="str">
        <f t="shared" si="185"/>
        <v>High</v>
      </c>
      <c r="AJ922" t="str">
        <f t="shared" si="186"/>
        <v>High</v>
      </c>
      <c r="AK922" t="str">
        <f t="shared" si="187"/>
        <v>Junior</v>
      </c>
      <c r="AL922" t="str">
        <f t="shared" si="188"/>
        <v>Medium</v>
      </c>
      <c r="AM922" t="str">
        <f t="shared" si="189"/>
        <v>High</v>
      </c>
      <c r="AN922" t="str">
        <f t="shared" si="190"/>
        <v>Medium</v>
      </c>
      <c r="AO922" t="str">
        <f t="shared" si="191"/>
        <v>Best</v>
      </c>
      <c r="AP922" t="str">
        <f t="shared" si="192"/>
        <v>25-34</v>
      </c>
      <c r="AQ922" t="str">
        <f t="shared" si="193"/>
        <v>Lower-Mid</v>
      </c>
      <c r="AR922" t="str">
        <f t="shared" si="194"/>
        <v>11-20 Years</v>
      </c>
    </row>
    <row r="923" spans="1:44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46</v>
      </c>
      <c r="L923">
        <v>44</v>
      </c>
      <c r="M923">
        <v>3</v>
      </c>
      <c r="N923">
        <v>1</v>
      </c>
      <c r="O923" t="s">
        <v>50</v>
      </c>
      <c r="P923">
        <v>3</v>
      </c>
      <c r="Q923" t="s">
        <v>41</v>
      </c>
      <c r="R923">
        <v>2154</v>
      </c>
      <c r="S923">
        <v>0</v>
      </c>
      <c r="T923" t="s">
        <v>35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  <c r="AF923">
        <f t="shared" si="182"/>
        <v>0</v>
      </c>
      <c r="AG923">
        <f t="shared" si="183"/>
        <v>1</v>
      </c>
      <c r="AH923" t="str">
        <f t="shared" si="184"/>
        <v>Master</v>
      </c>
      <c r="AI923" t="str">
        <f t="shared" si="185"/>
        <v>Very High</v>
      </c>
      <c r="AJ923" t="str">
        <f t="shared" si="186"/>
        <v>High</v>
      </c>
      <c r="AK923" t="str">
        <f t="shared" si="187"/>
        <v>Entry</v>
      </c>
      <c r="AL923" t="str">
        <f t="shared" si="188"/>
        <v>High</v>
      </c>
      <c r="AM923" t="str">
        <f t="shared" si="189"/>
        <v>High</v>
      </c>
      <c r="AN923" t="str">
        <f t="shared" si="190"/>
        <v>No Options</v>
      </c>
      <c r="AO923" t="str">
        <f t="shared" si="191"/>
        <v>Good</v>
      </c>
      <c r="AP923" t="str">
        <f t="shared" si="192"/>
        <v>25-34</v>
      </c>
      <c r="AQ923" t="str">
        <f t="shared" si="193"/>
        <v>Low</v>
      </c>
      <c r="AR923" t="str">
        <f t="shared" si="194"/>
        <v>3-5 Years</v>
      </c>
    </row>
    <row r="924" spans="1:44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46</v>
      </c>
      <c r="L924">
        <v>92</v>
      </c>
      <c r="M924">
        <v>4</v>
      </c>
      <c r="N924">
        <v>5</v>
      </c>
      <c r="O924" t="s">
        <v>56</v>
      </c>
      <c r="P924">
        <v>1</v>
      </c>
      <c r="Q924" t="s">
        <v>52</v>
      </c>
      <c r="R924">
        <v>19190</v>
      </c>
      <c r="S924">
        <v>1</v>
      </c>
      <c r="T924" t="s">
        <v>43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  <c r="AF924">
        <f t="shared" si="182"/>
        <v>0</v>
      </c>
      <c r="AG924">
        <f t="shared" si="183"/>
        <v>0</v>
      </c>
      <c r="AH924" t="str">
        <f t="shared" si="184"/>
        <v>College</v>
      </c>
      <c r="AI924" t="str">
        <f t="shared" si="185"/>
        <v>High</v>
      </c>
      <c r="AJ924" t="str">
        <f t="shared" si="186"/>
        <v>Very High</v>
      </c>
      <c r="AK924" t="str">
        <f t="shared" si="187"/>
        <v>Executive</v>
      </c>
      <c r="AL924" t="str">
        <f t="shared" si="188"/>
        <v>Low</v>
      </c>
      <c r="AM924" t="str">
        <f t="shared" si="189"/>
        <v>Very High</v>
      </c>
      <c r="AN924" t="str">
        <f t="shared" si="190"/>
        <v>Medium</v>
      </c>
      <c r="AO924" t="str">
        <f t="shared" si="191"/>
        <v>Good</v>
      </c>
      <c r="AP924" t="str">
        <f t="shared" si="192"/>
        <v>35-44</v>
      </c>
      <c r="AQ924" t="str">
        <f t="shared" si="193"/>
        <v>High</v>
      </c>
      <c r="AR924" t="str">
        <f t="shared" si="194"/>
        <v>20+ Years</v>
      </c>
    </row>
    <row r="925" spans="1:44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46</v>
      </c>
      <c r="L925">
        <v>56</v>
      </c>
      <c r="M925">
        <v>2</v>
      </c>
      <c r="N925">
        <v>2</v>
      </c>
      <c r="O925" t="s">
        <v>61</v>
      </c>
      <c r="P925">
        <v>2</v>
      </c>
      <c r="Q925" t="s">
        <v>48</v>
      </c>
      <c r="R925">
        <v>4490</v>
      </c>
      <c r="S925">
        <v>4</v>
      </c>
      <c r="T925" t="s">
        <v>43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  <c r="AF925">
        <f t="shared" si="182"/>
        <v>0</v>
      </c>
      <c r="AG925">
        <f t="shared" si="183"/>
        <v>0</v>
      </c>
      <c r="AH925" t="str">
        <f t="shared" si="184"/>
        <v>Bachelor</v>
      </c>
      <c r="AI925" t="str">
        <f t="shared" si="185"/>
        <v>High</v>
      </c>
      <c r="AJ925" t="str">
        <f t="shared" si="186"/>
        <v>Medium</v>
      </c>
      <c r="AK925" t="str">
        <f t="shared" si="187"/>
        <v>Junior</v>
      </c>
      <c r="AL925" t="str">
        <f t="shared" si="188"/>
        <v>Medium</v>
      </c>
      <c r="AM925" t="str">
        <f t="shared" si="189"/>
        <v>Very High</v>
      </c>
      <c r="AN925" t="str">
        <f t="shared" si="190"/>
        <v>Medium</v>
      </c>
      <c r="AO925" t="str">
        <f t="shared" si="191"/>
        <v>Best</v>
      </c>
      <c r="AP925" t="str">
        <f t="shared" si="192"/>
        <v>25-34</v>
      </c>
      <c r="AQ925" t="str">
        <f t="shared" si="193"/>
        <v>Lower-Mid</v>
      </c>
      <c r="AR925" t="str">
        <f t="shared" si="194"/>
        <v>6-10 Years</v>
      </c>
    </row>
    <row r="926" spans="1:44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46</v>
      </c>
      <c r="L926">
        <v>66</v>
      </c>
      <c r="M926">
        <v>3</v>
      </c>
      <c r="N926">
        <v>1</v>
      </c>
      <c r="O926" t="s">
        <v>47</v>
      </c>
      <c r="P926">
        <v>3</v>
      </c>
      <c r="Q926" t="s">
        <v>48</v>
      </c>
      <c r="R926">
        <v>3506</v>
      </c>
      <c r="S926">
        <v>0</v>
      </c>
      <c r="T926" t="s">
        <v>35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  <c r="AF926">
        <f t="shared" si="182"/>
        <v>0</v>
      </c>
      <c r="AG926">
        <f t="shared" si="183"/>
        <v>1</v>
      </c>
      <c r="AH926" t="str">
        <f t="shared" si="184"/>
        <v>Below College</v>
      </c>
      <c r="AI926" t="str">
        <f t="shared" si="185"/>
        <v>High</v>
      </c>
      <c r="AJ926" t="str">
        <f t="shared" si="186"/>
        <v>High</v>
      </c>
      <c r="AK926" t="str">
        <f t="shared" si="187"/>
        <v>Entry</v>
      </c>
      <c r="AL926" t="str">
        <f t="shared" si="188"/>
        <v>High</v>
      </c>
      <c r="AM926" t="str">
        <f t="shared" si="189"/>
        <v>Very High</v>
      </c>
      <c r="AN926" t="str">
        <f t="shared" si="190"/>
        <v>No Options</v>
      </c>
      <c r="AO926" t="str">
        <f t="shared" si="191"/>
        <v>Better</v>
      </c>
      <c r="AP926" t="str">
        <f t="shared" si="192"/>
        <v>35-44</v>
      </c>
      <c r="AQ926" t="str">
        <f t="shared" si="193"/>
        <v>Lower-Mid</v>
      </c>
      <c r="AR926" t="str">
        <f t="shared" si="194"/>
        <v>3-5 Years</v>
      </c>
    </row>
    <row r="927" spans="1:44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39</v>
      </c>
      <c r="L927">
        <v>78</v>
      </c>
      <c r="M927">
        <v>4</v>
      </c>
      <c r="N927">
        <v>2</v>
      </c>
      <c r="O927" t="s">
        <v>47</v>
      </c>
      <c r="P927">
        <v>2</v>
      </c>
      <c r="Q927" t="s">
        <v>48</v>
      </c>
      <c r="R927">
        <v>2372</v>
      </c>
      <c r="S927">
        <v>6</v>
      </c>
      <c r="T927" t="s">
        <v>35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  <c r="AF927">
        <f t="shared" si="182"/>
        <v>0</v>
      </c>
      <c r="AG927">
        <f t="shared" si="183"/>
        <v>1</v>
      </c>
      <c r="AH927" t="str">
        <f t="shared" si="184"/>
        <v>Master</v>
      </c>
      <c r="AI927" t="str">
        <f t="shared" si="185"/>
        <v>Medium</v>
      </c>
      <c r="AJ927" t="str">
        <f t="shared" si="186"/>
        <v>Very High</v>
      </c>
      <c r="AK927" t="str">
        <f t="shared" si="187"/>
        <v>Junior</v>
      </c>
      <c r="AL927" t="str">
        <f t="shared" si="188"/>
        <v>Medium</v>
      </c>
      <c r="AM927" t="str">
        <f t="shared" si="189"/>
        <v>Very High</v>
      </c>
      <c r="AN927" t="str">
        <f t="shared" si="190"/>
        <v>No Options</v>
      </c>
      <c r="AO927" t="str">
        <f t="shared" si="191"/>
        <v>Better</v>
      </c>
      <c r="AP927" t="str">
        <f t="shared" si="192"/>
        <v>35-44</v>
      </c>
      <c r="AQ927" t="str">
        <f t="shared" si="193"/>
        <v>Low</v>
      </c>
      <c r="AR927" t="str">
        <f t="shared" si="194"/>
        <v>0-2 Years</v>
      </c>
    </row>
    <row r="928" spans="1:44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t="s">
        <v>39</v>
      </c>
      <c r="L928">
        <v>56</v>
      </c>
      <c r="M928">
        <v>2</v>
      </c>
      <c r="N928">
        <v>3</v>
      </c>
      <c r="O928" t="s">
        <v>40</v>
      </c>
      <c r="P928">
        <v>4</v>
      </c>
      <c r="Q928" t="s">
        <v>41</v>
      </c>
      <c r="R928">
        <v>10231</v>
      </c>
      <c r="S928">
        <v>3</v>
      </c>
      <c r="T928" t="s">
        <v>43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  <c r="AF928">
        <f t="shared" si="182"/>
        <v>0</v>
      </c>
      <c r="AG928">
        <f t="shared" si="183"/>
        <v>0</v>
      </c>
      <c r="AH928" t="str">
        <f t="shared" si="184"/>
        <v>Master</v>
      </c>
      <c r="AI928" t="str">
        <f t="shared" si="185"/>
        <v>Very High</v>
      </c>
      <c r="AJ928" t="str">
        <f t="shared" si="186"/>
        <v>Medium</v>
      </c>
      <c r="AK928" t="str">
        <f t="shared" si="187"/>
        <v>Mid-Level</v>
      </c>
      <c r="AL928" t="str">
        <f t="shared" si="188"/>
        <v>Very High</v>
      </c>
      <c r="AM928" t="str">
        <f t="shared" si="189"/>
        <v>Very High</v>
      </c>
      <c r="AN928" t="str">
        <f t="shared" si="190"/>
        <v>No Options</v>
      </c>
      <c r="AO928" t="str">
        <f t="shared" si="191"/>
        <v>Best</v>
      </c>
      <c r="AP928" t="str">
        <f t="shared" si="192"/>
        <v>35-44</v>
      </c>
      <c r="AQ928" t="str">
        <f t="shared" si="193"/>
        <v>Upper-Mid</v>
      </c>
      <c r="AR928" t="str">
        <f t="shared" si="194"/>
        <v>20+ Years</v>
      </c>
    </row>
    <row r="929" spans="1:44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53</v>
      </c>
      <c r="M929">
        <v>3</v>
      </c>
      <c r="N929">
        <v>2</v>
      </c>
      <c r="O929" t="s">
        <v>53</v>
      </c>
      <c r="P929">
        <v>2</v>
      </c>
      <c r="Q929" t="s">
        <v>41</v>
      </c>
      <c r="R929">
        <v>5410</v>
      </c>
      <c r="S929">
        <v>9</v>
      </c>
      <c r="T929" t="s">
        <v>35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  <c r="AF929">
        <f t="shared" si="182"/>
        <v>0</v>
      </c>
      <c r="AG929">
        <f t="shared" si="183"/>
        <v>1</v>
      </c>
      <c r="AH929" t="str">
        <f t="shared" si="184"/>
        <v>Master</v>
      </c>
      <c r="AI929" t="str">
        <f t="shared" si="185"/>
        <v>High</v>
      </c>
      <c r="AJ929" t="str">
        <f t="shared" si="186"/>
        <v>High</v>
      </c>
      <c r="AK929" t="str">
        <f t="shared" si="187"/>
        <v>Junior</v>
      </c>
      <c r="AL929" t="str">
        <f t="shared" si="188"/>
        <v>Medium</v>
      </c>
      <c r="AM929" t="str">
        <f t="shared" si="189"/>
        <v>Very High</v>
      </c>
      <c r="AN929" t="str">
        <f t="shared" si="190"/>
        <v>No Options</v>
      </c>
      <c r="AO929" t="str">
        <f t="shared" si="191"/>
        <v>Better</v>
      </c>
      <c r="AP929" t="str">
        <f t="shared" si="192"/>
        <v>35-44</v>
      </c>
      <c r="AQ929" t="str">
        <f t="shared" si="193"/>
        <v>Lower-Mid</v>
      </c>
      <c r="AR929" t="str">
        <f t="shared" si="194"/>
        <v>11-20 Years</v>
      </c>
    </row>
    <row r="930" spans="1:44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39</v>
      </c>
      <c r="L930">
        <v>73</v>
      </c>
      <c r="M930">
        <v>3</v>
      </c>
      <c r="N930">
        <v>3</v>
      </c>
      <c r="O930" t="s">
        <v>54</v>
      </c>
      <c r="P930">
        <v>4</v>
      </c>
      <c r="Q930" t="s">
        <v>48</v>
      </c>
      <c r="R930">
        <v>7978</v>
      </c>
      <c r="S930">
        <v>1</v>
      </c>
      <c r="T930" t="s">
        <v>43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  <c r="AF930">
        <f t="shared" si="182"/>
        <v>1</v>
      </c>
      <c r="AG930">
        <f t="shared" si="183"/>
        <v>0</v>
      </c>
      <c r="AH930" t="str">
        <f t="shared" si="184"/>
        <v>Bachelor</v>
      </c>
      <c r="AI930" t="str">
        <f t="shared" si="185"/>
        <v>Low</v>
      </c>
      <c r="AJ930" t="str">
        <f t="shared" si="186"/>
        <v>High</v>
      </c>
      <c r="AK930" t="str">
        <f t="shared" si="187"/>
        <v>Mid-Level</v>
      </c>
      <c r="AL930" t="str">
        <f t="shared" si="188"/>
        <v>Very High</v>
      </c>
      <c r="AM930" t="str">
        <f t="shared" si="189"/>
        <v>Very High</v>
      </c>
      <c r="AN930" t="str">
        <f t="shared" si="190"/>
        <v>Low</v>
      </c>
      <c r="AO930" t="str">
        <f t="shared" si="191"/>
        <v>Better</v>
      </c>
      <c r="AP930" t="str">
        <f t="shared" si="192"/>
        <v>35-44</v>
      </c>
      <c r="AQ930" t="str">
        <f t="shared" si="193"/>
        <v>Upper-Mid</v>
      </c>
      <c r="AR930" t="str">
        <f t="shared" si="194"/>
        <v>6-10 Years</v>
      </c>
    </row>
    <row r="931" spans="1:44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46</v>
      </c>
      <c r="L931">
        <v>52</v>
      </c>
      <c r="M931">
        <v>2</v>
      </c>
      <c r="N931">
        <v>1</v>
      </c>
      <c r="O931" t="s">
        <v>50</v>
      </c>
      <c r="P931">
        <v>4</v>
      </c>
      <c r="Q931" t="s">
        <v>48</v>
      </c>
      <c r="R931">
        <v>3867</v>
      </c>
      <c r="S931">
        <v>1</v>
      </c>
      <c r="T931" t="s">
        <v>35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  <c r="AF931">
        <f t="shared" si="182"/>
        <v>0</v>
      </c>
      <c r="AG931">
        <f t="shared" si="183"/>
        <v>1</v>
      </c>
      <c r="AH931" t="str">
        <f t="shared" si="184"/>
        <v>Bachelor</v>
      </c>
      <c r="AI931" t="str">
        <f t="shared" si="185"/>
        <v>Very High</v>
      </c>
      <c r="AJ931" t="str">
        <f t="shared" si="186"/>
        <v>Medium</v>
      </c>
      <c r="AK931" t="str">
        <f t="shared" si="187"/>
        <v>Entry</v>
      </c>
      <c r="AL931" t="str">
        <f t="shared" si="188"/>
        <v>Very High</v>
      </c>
      <c r="AM931" t="str">
        <f t="shared" si="189"/>
        <v>Medium</v>
      </c>
      <c r="AN931" t="str">
        <f t="shared" si="190"/>
        <v>Low</v>
      </c>
      <c r="AO931" t="str">
        <f t="shared" si="191"/>
        <v>Better</v>
      </c>
      <c r="AP931" t="str">
        <f t="shared" si="192"/>
        <v>25-34</v>
      </c>
      <c r="AQ931" t="str">
        <f t="shared" si="193"/>
        <v>Lower-Mid</v>
      </c>
      <c r="AR931" t="str">
        <f t="shared" si="194"/>
        <v>0-2 Years</v>
      </c>
    </row>
    <row r="932" spans="1:44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39</v>
      </c>
      <c r="L932">
        <v>40</v>
      </c>
      <c r="M932">
        <v>2</v>
      </c>
      <c r="N932">
        <v>1</v>
      </c>
      <c r="O932" t="s">
        <v>50</v>
      </c>
      <c r="P932">
        <v>3</v>
      </c>
      <c r="Q932" t="s">
        <v>41</v>
      </c>
      <c r="R932">
        <v>2838</v>
      </c>
      <c r="S932">
        <v>0</v>
      </c>
      <c r="T932" t="s">
        <v>43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  <c r="AF932">
        <f t="shared" si="182"/>
        <v>0</v>
      </c>
      <c r="AG932">
        <f t="shared" si="183"/>
        <v>0</v>
      </c>
      <c r="AH932" t="str">
        <f t="shared" si="184"/>
        <v>College</v>
      </c>
      <c r="AI932" t="str">
        <f t="shared" si="185"/>
        <v>Medium</v>
      </c>
      <c r="AJ932" t="str">
        <f t="shared" si="186"/>
        <v>Medium</v>
      </c>
      <c r="AK932" t="str">
        <f t="shared" si="187"/>
        <v>Entry</v>
      </c>
      <c r="AL932" t="str">
        <f t="shared" si="188"/>
        <v>High</v>
      </c>
      <c r="AM932" t="str">
        <f t="shared" si="189"/>
        <v>Medium</v>
      </c>
      <c r="AN932" t="str">
        <f t="shared" si="190"/>
        <v>No Options</v>
      </c>
      <c r="AO932" t="str">
        <f t="shared" si="191"/>
        <v>Good</v>
      </c>
      <c r="AP932" t="str">
        <f t="shared" si="192"/>
        <v>45-54</v>
      </c>
      <c r="AQ932" t="str">
        <f t="shared" si="193"/>
        <v>Low</v>
      </c>
      <c r="AR932" t="str">
        <f t="shared" si="194"/>
        <v>6-10 Years</v>
      </c>
    </row>
    <row r="933" spans="1:44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39</v>
      </c>
      <c r="L933">
        <v>72</v>
      </c>
      <c r="M933">
        <v>3</v>
      </c>
      <c r="N933">
        <v>2</v>
      </c>
      <c r="O933" t="s">
        <v>53</v>
      </c>
      <c r="P933">
        <v>3</v>
      </c>
      <c r="Q933" t="s">
        <v>41</v>
      </c>
      <c r="R933">
        <v>4695</v>
      </c>
      <c r="S933">
        <v>7</v>
      </c>
      <c r="T933" t="s">
        <v>35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  <c r="AF933">
        <f t="shared" si="182"/>
        <v>0</v>
      </c>
      <c r="AG933">
        <f t="shared" si="183"/>
        <v>1</v>
      </c>
      <c r="AH933" t="str">
        <f t="shared" si="184"/>
        <v>College</v>
      </c>
      <c r="AI933" t="str">
        <f t="shared" si="185"/>
        <v>High</v>
      </c>
      <c r="AJ933" t="str">
        <f t="shared" si="186"/>
        <v>High</v>
      </c>
      <c r="AK933" t="str">
        <f t="shared" si="187"/>
        <v>Junior</v>
      </c>
      <c r="AL933" t="str">
        <f t="shared" si="188"/>
        <v>High</v>
      </c>
      <c r="AM933" t="str">
        <f t="shared" si="189"/>
        <v>High</v>
      </c>
      <c r="AN933" t="str">
        <f t="shared" si="190"/>
        <v>No Options</v>
      </c>
      <c r="AO933" t="str">
        <f t="shared" si="191"/>
        <v>Better</v>
      </c>
      <c r="AP933" t="str">
        <f t="shared" si="192"/>
        <v>25-34</v>
      </c>
      <c r="AQ933" t="str">
        <f t="shared" si="193"/>
        <v>Lower-Mid</v>
      </c>
      <c r="AR933" t="str">
        <f t="shared" si="194"/>
        <v>6-10 Years</v>
      </c>
    </row>
    <row r="934" spans="1:44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t="s">
        <v>39</v>
      </c>
      <c r="L934">
        <v>39</v>
      </c>
      <c r="M934">
        <v>3</v>
      </c>
      <c r="N934">
        <v>1</v>
      </c>
      <c r="O934" t="s">
        <v>50</v>
      </c>
      <c r="P934">
        <v>3</v>
      </c>
      <c r="Q934" t="s">
        <v>52</v>
      </c>
      <c r="R934">
        <v>3339</v>
      </c>
      <c r="S934">
        <v>3</v>
      </c>
      <c r="T934" t="s">
        <v>35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  <c r="AF934">
        <f t="shared" si="182"/>
        <v>1</v>
      </c>
      <c r="AG934">
        <f t="shared" si="183"/>
        <v>1</v>
      </c>
      <c r="AH934" t="str">
        <f t="shared" si="184"/>
        <v>Bachelor</v>
      </c>
      <c r="AI934" t="str">
        <f t="shared" si="185"/>
        <v>Medium</v>
      </c>
      <c r="AJ934" t="str">
        <f t="shared" si="186"/>
        <v>High</v>
      </c>
      <c r="AK934" t="str">
        <f t="shared" si="187"/>
        <v>Entry</v>
      </c>
      <c r="AL934" t="str">
        <f t="shared" si="188"/>
        <v>High</v>
      </c>
      <c r="AM934" t="str">
        <f t="shared" si="189"/>
        <v>Low</v>
      </c>
      <c r="AN934" t="str">
        <f t="shared" si="190"/>
        <v>Medium</v>
      </c>
      <c r="AO934" t="str">
        <f t="shared" si="191"/>
        <v>Better</v>
      </c>
      <c r="AP934" t="str">
        <f t="shared" si="192"/>
        <v>25-34</v>
      </c>
      <c r="AQ934" t="str">
        <f t="shared" si="193"/>
        <v>Lower-Mid</v>
      </c>
      <c r="AR934" t="str">
        <f t="shared" si="194"/>
        <v>6-10 Years</v>
      </c>
    </row>
    <row r="935" spans="1:44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t="s">
        <v>46</v>
      </c>
      <c r="L935">
        <v>84</v>
      </c>
      <c r="M935">
        <v>3</v>
      </c>
      <c r="N935">
        <v>1</v>
      </c>
      <c r="O935" t="s">
        <v>47</v>
      </c>
      <c r="P935">
        <v>1</v>
      </c>
      <c r="Q935" t="s">
        <v>41</v>
      </c>
      <c r="R935">
        <v>2080</v>
      </c>
      <c r="S935">
        <v>2</v>
      </c>
      <c r="T935" t="s">
        <v>43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  <c r="AF935">
        <f t="shared" si="182"/>
        <v>0</v>
      </c>
      <c r="AG935">
        <f t="shared" si="183"/>
        <v>0</v>
      </c>
      <c r="AH935" t="str">
        <f t="shared" si="184"/>
        <v>Bachelor</v>
      </c>
      <c r="AI935" t="str">
        <f t="shared" si="185"/>
        <v>Very High</v>
      </c>
      <c r="AJ935" t="str">
        <f t="shared" si="186"/>
        <v>High</v>
      </c>
      <c r="AK935" t="str">
        <f t="shared" si="187"/>
        <v>Entry</v>
      </c>
      <c r="AL935" t="str">
        <f t="shared" si="188"/>
        <v>Low</v>
      </c>
      <c r="AM935" t="str">
        <f t="shared" si="189"/>
        <v>Medium</v>
      </c>
      <c r="AN935" t="str">
        <f t="shared" si="190"/>
        <v>No Options</v>
      </c>
      <c r="AO935" t="str">
        <f t="shared" si="191"/>
        <v>Good</v>
      </c>
      <c r="AP935" t="str">
        <f t="shared" si="192"/>
        <v>25-34</v>
      </c>
      <c r="AQ935" t="str">
        <f t="shared" si="193"/>
        <v>Low</v>
      </c>
      <c r="AR935" t="str">
        <f t="shared" si="194"/>
        <v>3-5 Years</v>
      </c>
    </row>
    <row r="936" spans="1:44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39</v>
      </c>
      <c r="L936">
        <v>40</v>
      </c>
      <c r="M936">
        <v>3</v>
      </c>
      <c r="N936">
        <v>1</v>
      </c>
      <c r="O936" t="s">
        <v>47</v>
      </c>
      <c r="P936">
        <v>2</v>
      </c>
      <c r="Q936" t="s">
        <v>41</v>
      </c>
      <c r="R936">
        <v>2096</v>
      </c>
      <c r="S936">
        <v>1</v>
      </c>
      <c r="T936" t="s">
        <v>43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  <c r="AF936">
        <f t="shared" si="182"/>
        <v>0</v>
      </c>
      <c r="AG936">
        <f t="shared" si="183"/>
        <v>0</v>
      </c>
      <c r="AH936" t="str">
        <f t="shared" si="184"/>
        <v>Bachelor</v>
      </c>
      <c r="AI936" t="str">
        <f t="shared" si="185"/>
        <v>Very High</v>
      </c>
      <c r="AJ936" t="str">
        <f t="shared" si="186"/>
        <v>High</v>
      </c>
      <c r="AK936" t="str">
        <f t="shared" si="187"/>
        <v>Entry</v>
      </c>
      <c r="AL936" t="str">
        <f t="shared" si="188"/>
        <v>Medium</v>
      </c>
      <c r="AM936" t="str">
        <f t="shared" si="189"/>
        <v>Very High</v>
      </c>
      <c r="AN936" t="str">
        <f t="shared" si="190"/>
        <v>No Options</v>
      </c>
      <c r="AO936" t="str">
        <f t="shared" si="191"/>
        <v>Good</v>
      </c>
      <c r="AP936" t="str">
        <f t="shared" si="192"/>
        <v>25-34</v>
      </c>
      <c r="AQ936" t="str">
        <f t="shared" si="193"/>
        <v>Low</v>
      </c>
      <c r="AR936" t="str">
        <f t="shared" si="194"/>
        <v>0-2 Years</v>
      </c>
    </row>
    <row r="937" spans="1:44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46</v>
      </c>
      <c r="L937">
        <v>56</v>
      </c>
      <c r="M937">
        <v>4</v>
      </c>
      <c r="N937">
        <v>2</v>
      </c>
      <c r="O937" t="s">
        <v>40</v>
      </c>
      <c r="P937">
        <v>4</v>
      </c>
      <c r="Q937" t="s">
        <v>48</v>
      </c>
      <c r="R937">
        <v>6209</v>
      </c>
      <c r="S937">
        <v>1</v>
      </c>
      <c r="T937" t="s">
        <v>43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  <c r="AF937">
        <f t="shared" si="182"/>
        <v>0</v>
      </c>
      <c r="AG937">
        <f t="shared" si="183"/>
        <v>0</v>
      </c>
      <c r="AH937" t="str">
        <f t="shared" si="184"/>
        <v>Bachelor</v>
      </c>
      <c r="AI937" t="str">
        <f t="shared" si="185"/>
        <v>High</v>
      </c>
      <c r="AJ937" t="str">
        <f t="shared" si="186"/>
        <v>Very High</v>
      </c>
      <c r="AK937" t="str">
        <f t="shared" si="187"/>
        <v>Junior</v>
      </c>
      <c r="AL937" t="str">
        <f t="shared" si="188"/>
        <v>Very High</v>
      </c>
      <c r="AM937" t="str">
        <f t="shared" si="189"/>
        <v>High</v>
      </c>
      <c r="AN937" t="str">
        <f t="shared" si="190"/>
        <v>Medium</v>
      </c>
      <c r="AO937" t="str">
        <f t="shared" si="191"/>
        <v>Best</v>
      </c>
      <c r="AP937" t="str">
        <f t="shared" si="192"/>
        <v>25-34</v>
      </c>
      <c r="AQ937" t="str">
        <f t="shared" si="193"/>
        <v>Lower-Mid</v>
      </c>
      <c r="AR937" t="str">
        <f t="shared" si="194"/>
        <v>6-10 Years</v>
      </c>
    </row>
    <row r="938" spans="1:44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39</v>
      </c>
      <c r="L938">
        <v>83</v>
      </c>
      <c r="M938">
        <v>3</v>
      </c>
      <c r="N938">
        <v>5</v>
      </c>
      <c r="O938" t="s">
        <v>56</v>
      </c>
      <c r="P938">
        <v>2</v>
      </c>
      <c r="Q938" t="s">
        <v>41</v>
      </c>
      <c r="R938">
        <v>18061</v>
      </c>
      <c r="S938">
        <v>3</v>
      </c>
      <c r="T938" t="s">
        <v>43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  <c r="AF938">
        <f t="shared" si="182"/>
        <v>0</v>
      </c>
      <c r="AG938">
        <f t="shared" si="183"/>
        <v>0</v>
      </c>
      <c r="AH938" t="str">
        <f t="shared" si="184"/>
        <v>Bachelor</v>
      </c>
      <c r="AI938" t="str">
        <f t="shared" si="185"/>
        <v>Medium</v>
      </c>
      <c r="AJ938" t="str">
        <f t="shared" si="186"/>
        <v>High</v>
      </c>
      <c r="AK938" t="str">
        <f t="shared" si="187"/>
        <v>Executive</v>
      </c>
      <c r="AL938" t="str">
        <f t="shared" si="188"/>
        <v>Medium</v>
      </c>
      <c r="AM938" t="str">
        <f t="shared" si="189"/>
        <v>High</v>
      </c>
      <c r="AN938" t="str">
        <f t="shared" si="190"/>
        <v>No Options</v>
      </c>
      <c r="AO938" t="str">
        <f t="shared" si="191"/>
        <v>Better</v>
      </c>
      <c r="AP938" t="str">
        <f t="shared" si="192"/>
        <v>45-54</v>
      </c>
      <c r="AQ938" t="str">
        <f t="shared" si="193"/>
        <v>High</v>
      </c>
      <c r="AR938" t="str">
        <f t="shared" si="194"/>
        <v>0-2 Years</v>
      </c>
    </row>
    <row r="939" spans="1:44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39</v>
      </c>
      <c r="L939">
        <v>94</v>
      </c>
      <c r="M939">
        <v>2</v>
      </c>
      <c r="N939">
        <v>4</v>
      </c>
      <c r="O939" t="s">
        <v>56</v>
      </c>
      <c r="P939">
        <v>2</v>
      </c>
      <c r="Q939" t="s">
        <v>52</v>
      </c>
      <c r="R939">
        <v>17123</v>
      </c>
      <c r="S939">
        <v>6</v>
      </c>
      <c r="T939" t="s">
        <v>35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  <c r="AF939">
        <f t="shared" si="182"/>
        <v>0</v>
      </c>
      <c r="AG939">
        <f t="shared" si="183"/>
        <v>1</v>
      </c>
      <c r="AH939" t="str">
        <f t="shared" si="184"/>
        <v>Master</v>
      </c>
      <c r="AI939" t="str">
        <f t="shared" si="185"/>
        <v>High</v>
      </c>
      <c r="AJ939" t="str">
        <f t="shared" si="186"/>
        <v>Medium</v>
      </c>
      <c r="AK939" t="str">
        <f t="shared" si="187"/>
        <v>Senior</v>
      </c>
      <c r="AL939" t="str">
        <f t="shared" si="188"/>
        <v>Medium</v>
      </c>
      <c r="AM939" t="str">
        <f t="shared" si="189"/>
        <v>Very High</v>
      </c>
      <c r="AN939" t="str">
        <f t="shared" si="190"/>
        <v>Medium</v>
      </c>
      <c r="AO939" t="str">
        <f t="shared" si="191"/>
        <v>Better</v>
      </c>
      <c r="AP939" t="str">
        <f t="shared" si="192"/>
        <v>35-44</v>
      </c>
      <c r="AQ939" t="str">
        <f t="shared" si="193"/>
        <v>High</v>
      </c>
      <c r="AR939" t="str">
        <f t="shared" si="194"/>
        <v>11-20 Years</v>
      </c>
    </row>
    <row r="940" spans="1:44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46</v>
      </c>
      <c r="L940">
        <v>88</v>
      </c>
      <c r="M940">
        <v>3</v>
      </c>
      <c r="N940">
        <v>1</v>
      </c>
      <c r="O940" t="s">
        <v>47</v>
      </c>
      <c r="P940">
        <v>3</v>
      </c>
      <c r="Q940" t="s">
        <v>52</v>
      </c>
      <c r="R940">
        <v>2372</v>
      </c>
      <c r="S940">
        <v>1</v>
      </c>
      <c r="T940" t="s">
        <v>43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  <c r="AF940">
        <f t="shared" si="182"/>
        <v>0</v>
      </c>
      <c r="AG940">
        <f t="shared" si="183"/>
        <v>0</v>
      </c>
      <c r="AH940" t="str">
        <f t="shared" si="184"/>
        <v>Master</v>
      </c>
      <c r="AI940" t="str">
        <f t="shared" si="185"/>
        <v>Low</v>
      </c>
      <c r="AJ940" t="str">
        <f t="shared" si="186"/>
        <v>High</v>
      </c>
      <c r="AK940" t="str">
        <f t="shared" si="187"/>
        <v>Entry</v>
      </c>
      <c r="AL940" t="str">
        <f t="shared" si="188"/>
        <v>High</v>
      </c>
      <c r="AM940" t="str">
        <f t="shared" si="189"/>
        <v>Very High</v>
      </c>
      <c r="AN940" t="str">
        <f t="shared" si="190"/>
        <v>Medium</v>
      </c>
      <c r="AO940" t="str">
        <f t="shared" si="191"/>
        <v>Better</v>
      </c>
      <c r="AP940" t="str">
        <f t="shared" si="192"/>
        <v>55+</v>
      </c>
      <c r="AQ940" t="str">
        <f t="shared" si="193"/>
        <v>Low</v>
      </c>
      <c r="AR940" t="str">
        <f t="shared" si="194"/>
        <v>0-2 Years</v>
      </c>
    </row>
    <row r="941" spans="1:44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46</v>
      </c>
      <c r="L941">
        <v>79</v>
      </c>
      <c r="M941">
        <v>3</v>
      </c>
      <c r="N941">
        <v>2</v>
      </c>
      <c r="O941" t="s">
        <v>50</v>
      </c>
      <c r="P941">
        <v>3</v>
      </c>
      <c r="Q941" t="s">
        <v>48</v>
      </c>
      <c r="R941">
        <v>4883</v>
      </c>
      <c r="S941">
        <v>1</v>
      </c>
      <c r="T941" t="s">
        <v>43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  <c r="AF941">
        <f t="shared" si="182"/>
        <v>1</v>
      </c>
      <c r="AG941">
        <f t="shared" si="183"/>
        <v>0</v>
      </c>
      <c r="AH941" t="str">
        <f t="shared" si="184"/>
        <v>College</v>
      </c>
      <c r="AI941" t="str">
        <f t="shared" si="185"/>
        <v>Very High</v>
      </c>
      <c r="AJ941" t="str">
        <f t="shared" si="186"/>
        <v>High</v>
      </c>
      <c r="AK941" t="str">
        <f t="shared" si="187"/>
        <v>Junior</v>
      </c>
      <c r="AL941" t="str">
        <f t="shared" si="188"/>
        <v>High</v>
      </c>
      <c r="AM941" t="str">
        <f t="shared" si="189"/>
        <v>Low</v>
      </c>
      <c r="AN941" t="str">
        <f t="shared" si="190"/>
        <v>Low</v>
      </c>
      <c r="AO941" t="str">
        <f t="shared" si="191"/>
        <v>Better</v>
      </c>
      <c r="AP941" t="str">
        <f t="shared" si="192"/>
        <v>25-34</v>
      </c>
      <c r="AQ941" t="str">
        <f t="shared" si="193"/>
        <v>Lower-Mid</v>
      </c>
      <c r="AR941" t="str">
        <f t="shared" si="194"/>
        <v>6-10 Years</v>
      </c>
    </row>
    <row r="942" spans="1:44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46</v>
      </c>
      <c r="L942">
        <v>93</v>
      </c>
      <c r="M942">
        <v>3</v>
      </c>
      <c r="N942">
        <v>1</v>
      </c>
      <c r="O942" t="s">
        <v>47</v>
      </c>
      <c r="P942">
        <v>1</v>
      </c>
      <c r="Q942" t="s">
        <v>41</v>
      </c>
      <c r="R942">
        <v>3904</v>
      </c>
      <c r="S942">
        <v>0</v>
      </c>
      <c r="T942" t="s">
        <v>43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  <c r="AF942">
        <f t="shared" si="182"/>
        <v>1</v>
      </c>
      <c r="AG942">
        <f t="shared" si="183"/>
        <v>0</v>
      </c>
      <c r="AH942" t="str">
        <f t="shared" si="184"/>
        <v>Bachelor</v>
      </c>
      <c r="AI942" t="str">
        <f t="shared" si="185"/>
        <v>High</v>
      </c>
      <c r="AJ942" t="str">
        <f t="shared" si="186"/>
        <v>High</v>
      </c>
      <c r="AK942" t="str">
        <f t="shared" si="187"/>
        <v>Entry</v>
      </c>
      <c r="AL942" t="str">
        <f t="shared" si="188"/>
        <v>Low</v>
      </c>
      <c r="AM942" t="str">
        <f t="shared" si="189"/>
        <v>Low</v>
      </c>
      <c r="AN942" t="str">
        <f t="shared" si="190"/>
        <v>No Options</v>
      </c>
      <c r="AO942" t="str">
        <f t="shared" si="191"/>
        <v>Better</v>
      </c>
      <c r="AP942" t="str">
        <f t="shared" si="192"/>
        <v>35-44</v>
      </c>
      <c r="AQ942" t="str">
        <f t="shared" si="193"/>
        <v>Lower-Mid</v>
      </c>
      <c r="AR942" t="str">
        <f t="shared" si="194"/>
        <v>3-5 Years</v>
      </c>
    </row>
    <row r="943" spans="1:44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t="s">
        <v>39</v>
      </c>
      <c r="L943">
        <v>48</v>
      </c>
      <c r="M943">
        <v>2</v>
      </c>
      <c r="N943">
        <v>2</v>
      </c>
      <c r="O943" t="s">
        <v>50</v>
      </c>
      <c r="P943">
        <v>4</v>
      </c>
      <c r="Q943" t="s">
        <v>48</v>
      </c>
      <c r="R943">
        <v>4627</v>
      </c>
      <c r="S943">
        <v>0</v>
      </c>
      <c r="T943" t="s">
        <v>43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  <c r="AF943">
        <f t="shared" si="182"/>
        <v>0</v>
      </c>
      <c r="AG943">
        <f t="shared" si="183"/>
        <v>0</v>
      </c>
      <c r="AH943" t="str">
        <f t="shared" si="184"/>
        <v>Bachelor</v>
      </c>
      <c r="AI943" t="str">
        <f t="shared" si="185"/>
        <v>Low</v>
      </c>
      <c r="AJ943" t="str">
        <f t="shared" si="186"/>
        <v>Medium</v>
      </c>
      <c r="AK943" t="str">
        <f t="shared" si="187"/>
        <v>Junior</v>
      </c>
      <c r="AL943" t="str">
        <f t="shared" si="188"/>
        <v>Very High</v>
      </c>
      <c r="AM943" t="str">
        <f t="shared" si="189"/>
        <v>Low</v>
      </c>
      <c r="AN943" t="str">
        <f t="shared" si="190"/>
        <v>Low</v>
      </c>
      <c r="AO943" t="str">
        <f t="shared" si="191"/>
        <v>Better</v>
      </c>
      <c r="AP943" t="str">
        <f t="shared" si="192"/>
        <v>25-34</v>
      </c>
      <c r="AQ943" t="str">
        <f t="shared" si="193"/>
        <v>Lower-Mid</v>
      </c>
      <c r="AR943" t="str">
        <f t="shared" si="194"/>
        <v>6-10 Years</v>
      </c>
    </row>
    <row r="944" spans="1:44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t="s">
        <v>39</v>
      </c>
      <c r="L944">
        <v>63</v>
      </c>
      <c r="M944">
        <v>3</v>
      </c>
      <c r="N944">
        <v>3</v>
      </c>
      <c r="O944" t="s">
        <v>54</v>
      </c>
      <c r="P944">
        <v>3</v>
      </c>
      <c r="Q944" t="s">
        <v>48</v>
      </c>
      <c r="R944">
        <v>7094</v>
      </c>
      <c r="S944">
        <v>3</v>
      </c>
      <c r="T944" t="s">
        <v>43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  <c r="AF944">
        <f t="shared" si="182"/>
        <v>0</v>
      </c>
      <c r="AG944">
        <f t="shared" si="183"/>
        <v>0</v>
      </c>
      <c r="AH944" t="str">
        <f t="shared" si="184"/>
        <v>Master</v>
      </c>
      <c r="AI944" t="str">
        <f t="shared" si="185"/>
        <v>Very High</v>
      </c>
      <c r="AJ944" t="str">
        <f t="shared" si="186"/>
        <v>High</v>
      </c>
      <c r="AK944" t="str">
        <f t="shared" si="187"/>
        <v>Mid-Level</v>
      </c>
      <c r="AL944" t="str">
        <f t="shared" si="188"/>
        <v>High</v>
      </c>
      <c r="AM944" t="str">
        <f t="shared" si="189"/>
        <v>Low</v>
      </c>
      <c r="AN944" t="str">
        <f t="shared" si="190"/>
        <v>No Options</v>
      </c>
      <c r="AO944" t="str">
        <f t="shared" si="191"/>
        <v>Better</v>
      </c>
      <c r="AP944" t="str">
        <f t="shared" si="192"/>
        <v>35-44</v>
      </c>
      <c r="AQ944" t="str">
        <f t="shared" si="193"/>
        <v>Upper-Mid</v>
      </c>
      <c r="AR944" t="str">
        <f t="shared" si="194"/>
        <v>6-10 Years</v>
      </c>
    </row>
    <row r="945" spans="1:44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44</v>
      </c>
      <c r="M945">
        <v>3</v>
      </c>
      <c r="N945">
        <v>1</v>
      </c>
      <c r="O945" t="s">
        <v>61</v>
      </c>
      <c r="P945">
        <v>1</v>
      </c>
      <c r="Q945" t="s">
        <v>41</v>
      </c>
      <c r="R945">
        <v>3423</v>
      </c>
      <c r="S945">
        <v>6</v>
      </c>
      <c r="T945" t="s">
        <v>43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  <c r="AF945">
        <f t="shared" si="182"/>
        <v>0</v>
      </c>
      <c r="AG945">
        <f t="shared" si="183"/>
        <v>0</v>
      </c>
      <c r="AH945" t="str">
        <f t="shared" si="184"/>
        <v>College</v>
      </c>
      <c r="AI945" t="str">
        <f t="shared" si="185"/>
        <v>Very High</v>
      </c>
      <c r="AJ945" t="str">
        <f t="shared" si="186"/>
        <v>High</v>
      </c>
      <c r="AK945" t="str">
        <f t="shared" si="187"/>
        <v>Entry</v>
      </c>
      <c r="AL945" t="str">
        <f t="shared" si="188"/>
        <v>Low</v>
      </c>
      <c r="AM945" t="str">
        <f t="shared" si="189"/>
        <v>High</v>
      </c>
      <c r="AN945" t="str">
        <f t="shared" si="190"/>
        <v>No Options</v>
      </c>
      <c r="AO945" t="str">
        <f t="shared" si="191"/>
        <v>Best</v>
      </c>
      <c r="AP945" t="str">
        <f t="shared" si="192"/>
        <v>45-54</v>
      </c>
      <c r="AQ945" t="str">
        <f t="shared" si="193"/>
        <v>Lower-Mid</v>
      </c>
      <c r="AR945" t="str">
        <f t="shared" si="194"/>
        <v>6-10 Years</v>
      </c>
    </row>
    <row r="946" spans="1:44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55</v>
      </c>
      <c r="M946">
        <v>1</v>
      </c>
      <c r="N946">
        <v>2</v>
      </c>
      <c r="O946" t="s">
        <v>50</v>
      </c>
      <c r="P946">
        <v>4</v>
      </c>
      <c r="Q946" t="s">
        <v>48</v>
      </c>
      <c r="R946">
        <v>6674</v>
      </c>
      <c r="S946">
        <v>0</v>
      </c>
      <c r="T946" t="s">
        <v>43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  <c r="AF946">
        <f t="shared" si="182"/>
        <v>0</v>
      </c>
      <c r="AG946">
        <f t="shared" si="183"/>
        <v>0</v>
      </c>
      <c r="AH946" t="str">
        <f t="shared" si="184"/>
        <v>Bachelor</v>
      </c>
      <c r="AI946" t="str">
        <f t="shared" si="185"/>
        <v>High</v>
      </c>
      <c r="AJ946" t="str">
        <f t="shared" si="186"/>
        <v>Low</v>
      </c>
      <c r="AK946" t="str">
        <f t="shared" si="187"/>
        <v>Junior</v>
      </c>
      <c r="AL946" t="str">
        <f t="shared" si="188"/>
        <v>Very High</v>
      </c>
      <c r="AM946" t="str">
        <f t="shared" si="189"/>
        <v>Low</v>
      </c>
      <c r="AN946" t="str">
        <f t="shared" si="190"/>
        <v>High</v>
      </c>
      <c r="AO946" t="str">
        <f t="shared" si="191"/>
        <v>Better</v>
      </c>
      <c r="AP946" t="str">
        <f t="shared" si="192"/>
        <v>25-34</v>
      </c>
      <c r="AQ946" t="str">
        <f t="shared" si="193"/>
        <v>Lower-Mid</v>
      </c>
      <c r="AR946" t="str">
        <f t="shared" si="194"/>
        <v>6-10 Years</v>
      </c>
    </row>
    <row r="947" spans="1:44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43</v>
      </c>
      <c r="M947">
        <v>3</v>
      </c>
      <c r="N947">
        <v>4</v>
      </c>
      <c r="O947" t="s">
        <v>58</v>
      </c>
      <c r="P947">
        <v>1</v>
      </c>
      <c r="Q947" t="s">
        <v>48</v>
      </c>
      <c r="R947">
        <v>16880</v>
      </c>
      <c r="S947">
        <v>4</v>
      </c>
      <c r="T947" t="s">
        <v>35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  <c r="AF947">
        <f t="shared" si="182"/>
        <v>0</v>
      </c>
      <c r="AG947">
        <f t="shared" si="183"/>
        <v>1</v>
      </c>
      <c r="AH947" t="str">
        <f t="shared" si="184"/>
        <v>Bachelor</v>
      </c>
      <c r="AI947" t="str">
        <f t="shared" si="185"/>
        <v>Very High</v>
      </c>
      <c r="AJ947" t="str">
        <f t="shared" si="186"/>
        <v>High</v>
      </c>
      <c r="AK947" t="str">
        <f t="shared" si="187"/>
        <v>Senior</v>
      </c>
      <c r="AL947" t="str">
        <f t="shared" si="188"/>
        <v>Low</v>
      </c>
      <c r="AM947" t="str">
        <f t="shared" si="189"/>
        <v>Medium</v>
      </c>
      <c r="AN947" t="str">
        <f t="shared" si="190"/>
        <v>No Options</v>
      </c>
      <c r="AO947" t="str">
        <f t="shared" si="191"/>
        <v>Better</v>
      </c>
      <c r="AP947" t="str">
        <f t="shared" si="192"/>
        <v>45-54</v>
      </c>
      <c r="AQ947" t="str">
        <f t="shared" si="193"/>
        <v>High</v>
      </c>
      <c r="AR947" t="str">
        <f t="shared" si="194"/>
        <v>3-5 Years</v>
      </c>
    </row>
    <row r="948" spans="1:44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t="s">
        <v>46</v>
      </c>
      <c r="L948">
        <v>57</v>
      </c>
      <c r="M948">
        <v>2</v>
      </c>
      <c r="N948">
        <v>3</v>
      </c>
      <c r="O948" t="s">
        <v>40</v>
      </c>
      <c r="P948">
        <v>2</v>
      </c>
      <c r="Q948" t="s">
        <v>41</v>
      </c>
      <c r="R948">
        <v>9094</v>
      </c>
      <c r="S948">
        <v>2</v>
      </c>
      <c r="T948" t="s">
        <v>35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  <c r="AF948">
        <f t="shared" si="182"/>
        <v>1</v>
      </c>
      <c r="AG948">
        <f t="shared" si="183"/>
        <v>1</v>
      </c>
      <c r="AH948" t="str">
        <f t="shared" si="184"/>
        <v>Master</v>
      </c>
      <c r="AI948" t="str">
        <f t="shared" si="185"/>
        <v>Very High</v>
      </c>
      <c r="AJ948" t="str">
        <f t="shared" si="186"/>
        <v>Medium</v>
      </c>
      <c r="AK948" t="str">
        <f t="shared" si="187"/>
        <v>Mid-Level</v>
      </c>
      <c r="AL948" t="str">
        <f t="shared" si="188"/>
        <v>Medium</v>
      </c>
      <c r="AM948" t="str">
        <f t="shared" si="189"/>
        <v>High</v>
      </c>
      <c r="AN948" t="str">
        <f t="shared" si="190"/>
        <v>No Options</v>
      </c>
      <c r="AO948" t="str">
        <f t="shared" si="191"/>
        <v>Better</v>
      </c>
      <c r="AP948" t="str">
        <f t="shared" si="192"/>
        <v>35-44</v>
      </c>
      <c r="AQ948" t="str">
        <f t="shared" si="193"/>
        <v>Upper-Mid</v>
      </c>
      <c r="AR948" t="str">
        <f t="shared" si="194"/>
        <v>3-5 Years</v>
      </c>
    </row>
    <row r="949" spans="1:44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46</v>
      </c>
      <c r="L949">
        <v>64</v>
      </c>
      <c r="M949">
        <v>3</v>
      </c>
      <c r="N949">
        <v>3</v>
      </c>
      <c r="O949" t="s">
        <v>40</v>
      </c>
      <c r="P949">
        <v>2</v>
      </c>
      <c r="Q949" t="s">
        <v>41</v>
      </c>
      <c r="R949">
        <v>8446</v>
      </c>
      <c r="S949">
        <v>9</v>
      </c>
      <c r="T949" t="s">
        <v>35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  <c r="AF949">
        <f t="shared" si="182"/>
        <v>1</v>
      </c>
      <c r="AG949">
        <f t="shared" si="183"/>
        <v>1</v>
      </c>
      <c r="AH949" t="str">
        <f t="shared" si="184"/>
        <v>Bachelor</v>
      </c>
      <c r="AI949" t="str">
        <f t="shared" si="185"/>
        <v>Medium</v>
      </c>
      <c r="AJ949" t="str">
        <f t="shared" si="186"/>
        <v>High</v>
      </c>
      <c r="AK949" t="str">
        <f t="shared" si="187"/>
        <v>Mid-Level</v>
      </c>
      <c r="AL949" t="str">
        <f t="shared" si="188"/>
        <v>Medium</v>
      </c>
      <c r="AM949" t="str">
        <f t="shared" si="189"/>
        <v>High</v>
      </c>
      <c r="AN949" t="str">
        <f t="shared" si="190"/>
        <v>No Options</v>
      </c>
      <c r="AO949" t="str">
        <f t="shared" si="191"/>
        <v>Good</v>
      </c>
      <c r="AP949" t="str">
        <f t="shared" si="192"/>
        <v>45-54</v>
      </c>
      <c r="AQ949" t="str">
        <f t="shared" si="193"/>
        <v>Upper-Mid</v>
      </c>
      <c r="AR949" t="str">
        <f t="shared" si="194"/>
        <v>6-10 Years</v>
      </c>
    </row>
    <row r="950" spans="1:44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39</v>
      </c>
      <c r="L950">
        <v>95</v>
      </c>
      <c r="M950">
        <v>3</v>
      </c>
      <c r="N950">
        <v>3</v>
      </c>
      <c r="O950" t="s">
        <v>56</v>
      </c>
      <c r="P950">
        <v>1</v>
      </c>
      <c r="Q950" t="s">
        <v>48</v>
      </c>
      <c r="R950">
        <v>11916</v>
      </c>
      <c r="S950">
        <v>1</v>
      </c>
      <c r="T950" t="s">
        <v>35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  <c r="AF950">
        <f t="shared" si="182"/>
        <v>0</v>
      </c>
      <c r="AG950">
        <f t="shared" si="183"/>
        <v>1</v>
      </c>
      <c r="AH950" t="str">
        <f t="shared" si="184"/>
        <v>Master</v>
      </c>
      <c r="AI950" t="str">
        <f t="shared" si="185"/>
        <v>Medium</v>
      </c>
      <c r="AJ950" t="str">
        <f t="shared" si="186"/>
        <v>High</v>
      </c>
      <c r="AK950" t="str">
        <f t="shared" si="187"/>
        <v>Mid-Level</v>
      </c>
      <c r="AL950" t="str">
        <f t="shared" si="188"/>
        <v>Low</v>
      </c>
      <c r="AM950" t="str">
        <f t="shared" si="189"/>
        <v>Very High</v>
      </c>
      <c r="AN950" t="str">
        <f t="shared" si="190"/>
        <v>Medium</v>
      </c>
      <c r="AO950" t="str">
        <f t="shared" si="191"/>
        <v>Better</v>
      </c>
      <c r="AP950" t="str">
        <f t="shared" si="192"/>
        <v>25-34</v>
      </c>
      <c r="AQ950" t="str">
        <f t="shared" si="193"/>
        <v>Upper-Mid</v>
      </c>
      <c r="AR950" t="str">
        <f t="shared" si="194"/>
        <v>6-10 Years</v>
      </c>
    </row>
    <row r="951" spans="1:44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46</v>
      </c>
      <c r="L951">
        <v>32</v>
      </c>
      <c r="M951">
        <v>3</v>
      </c>
      <c r="N951">
        <v>2</v>
      </c>
      <c r="O951" t="s">
        <v>53</v>
      </c>
      <c r="P951">
        <v>3</v>
      </c>
      <c r="Q951" t="s">
        <v>41</v>
      </c>
      <c r="R951">
        <v>4534</v>
      </c>
      <c r="S951">
        <v>0</v>
      </c>
      <c r="T951" t="s">
        <v>43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  <c r="AF951">
        <f t="shared" si="182"/>
        <v>0</v>
      </c>
      <c r="AG951">
        <f t="shared" si="183"/>
        <v>0</v>
      </c>
      <c r="AH951" t="str">
        <f t="shared" si="184"/>
        <v>College</v>
      </c>
      <c r="AI951" t="str">
        <f t="shared" si="185"/>
        <v>Low</v>
      </c>
      <c r="AJ951" t="str">
        <f t="shared" si="186"/>
        <v>High</v>
      </c>
      <c r="AK951" t="str">
        <f t="shared" si="187"/>
        <v>Junior</v>
      </c>
      <c r="AL951" t="str">
        <f t="shared" si="188"/>
        <v>High</v>
      </c>
      <c r="AM951" t="str">
        <f t="shared" si="189"/>
        <v>Low</v>
      </c>
      <c r="AN951" t="str">
        <f t="shared" si="190"/>
        <v>No Options</v>
      </c>
      <c r="AO951" t="str">
        <f t="shared" si="191"/>
        <v>Better</v>
      </c>
      <c r="AP951" t="str">
        <f t="shared" si="192"/>
        <v>35-44</v>
      </c>
      <c r="AQ951" t="str">
        <f t="shared" si="193"/>
        <v>Lower-Mid</v>
      </c>
      <c r="AR951" t="str">
        <f t="shared" si="194"/>
        <v>6-10 Years</v>
      </c>
    </row>
    <row r="952" spans="1:44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57</v>
      </c>
      <c r="M952">
        <v>3</v>
      </c>
      <c r="N952">
        <v>3</v>
      </c>
      <c r="O952" t="s">
        <v>40</v>
      </c>
      <c r="P952">
        <v>3</v>
      </c>
      <c r="Q952" t="s">
        <v>52</v>
      </c>
      <c r="R952">
        <v>9852</v>
      </c>
      <c r="S952">
        <v>1</v>
      </c>
      <c r="T952" t="s">
        <v>35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  <c r="AF952">
        <f t="shared" si="182"/>
        <v>0</v>
      </c>
      <c r="AG952">
        <f t="shared" si="183"/>
        <v>1</v>
      </c>
      <c r="AH952" t="str">
        <f t="shared" si="184"/>
        <v>Master</v>
      </c>
      <c r="AI952" t="str">
        <f t="shared" si="185"/>
        <v>Very High</v>
      </c>
      <c r="AJ952" t="str">
        <f t="shared" si="186"/>
        <v>High</v>
      </c>
      <c r="AK952" t="str">
        <f t="shared" si="187"/>
        <v>Mid-Level</v>
      </c>
      <c r="AL952" t="str">
        <f t="shared" si="188"/>
        <v>High</v>
      </c>
      <c r="AM952" t="str">
        <f t="shared" si="189"/>
        <v>Low</v>
      </c>
      <c r="AN952" t="str">
        <f t="shared" si="190"/>
        <v>Low</v>
      </c>
      <c r="AO952" t="str">
        <f t="shared" si="191"/>
        <v>Good</v>
      </c>
      <c r="AP952" t="str">
        <f t="shared" si="192"/>
        <v>25-34</v>
      </c>
      <c r="AQ952" t="str">
        <f t="shared" si="193"/>
        <v>Upper-Mid</v>
      </c>
      <c r="AR952" t="str">
        <f t="shared" si="194"/>
        <v>6-10 Years</v>
      </c>
    </row>
    <row r="953" spans="1:44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46</v>
      </c>
      <c r="L953">
        <v>40</v>
      </c>
      <c r="M953">
        <v>1</v>
      </c>
      <c r="N953">
        <v>2</v>
      </c>
      <c r="O953" t="s">
        <v>40</v>
      </c>
      <c r="P953">
        <v>2</v>
      </c>
      <c r="Q953" t="s">
        <v>41</v>
      </c>
      <c r="R953">
        <v>6151</v>
      </c>
      <c r="S953">
        <v>1</v>
      </c>
      <c r="T953" t="s">
        <v>43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  <c r="AF953">
        <f t="shared" si="182"/>
        <v>0</v>
      </c>
      <c r="AG953">
        <f t="shared" si="183"/>
        <v>0</v>
      </c>
      <c r="AH953" t="str">
        <f t="shared" si="184"/>
        <v>College</v>
      </c>
      <c r="AI953" t="str">
        <f t="shared" si="185"/>
        <v>High</v>
      </c>
      <c r="AJ953" t="str">
        <f t="shared" si="186"/>
        <v>Low</v>
      </c>
      <c r="AK953" t="str">
        <f t="shared" si="187"/>
        <v>Junior</v>
      </c>
      <c r="AL953" t="str">
        <f t="shared" si="188"/>
        <v>Medium</v>
      </c>
      <c r="AM953" t="str">
        <f t="shared" si="189"/>
        <v>Low</v>
      </c>
      <c r="AN953" t="str">
        <f t="shared" si="190"/>
        <v>No Options</v>
      </c>
      <c r="AO953" t="str">
        <f t="shared" si="191"/>
        <v>Better</v>
      </c>
      <c r="AP953" t="str">
        <f t="shared" si="192"/>
        <v>35-44</v>
      </c>
      <c r="AQ953" t="str">
        <f t="shared" si="193"/>
        <v>Lower-Mid</v>
      </c>
      <c r="AR953" t="str">
        <f t="shared" si="194"/>
        <v>11-20 Years</v>
      </c>
    </row>
    <row r="954" spans="1:44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54</v>
      </c>
      <c r="M954">
        <v>3</v>
      </c>
      <c r="N954">
        <v>1</v>
      </c>
      <c r="O954" t="s">
        <v>57</v>
      </c>
      <c r="P954">
        <v>2</v>
      </c>
      <c r="Q954" t="s">
        <v>41</v>
      </c>
      <c r="R954">
        <v>2302</v>
      </c>
      <c r="S954">
        <v>1</v>
      </c>
      <c r="T954" t="s">
        <v>35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  <c r="AF954">
        <f t="shared" si="182"/>
        <v>1</v>
      </c>
      <c r="AG954">
        <f t="shared" si="183"/>
        <v>1</v>
      </c>
      <c r="AH954" t="str">
        <f t="shared" si="184"/>
        <v>Bachelor</v>
      </c>
      <c r="AI954" t="str">
        <f t="shared" si="185"/>
        <v>Very High</v>
      </c>
      <c r="AJ954" t="str">
        <f t="shared" si="186"/>
        <v>High</v>
      </c>
      <c r="AK954" t="str">
        <f t="shared" si="187"/>
        <v>Entry</v>
      </c>
      <c r="AL954" t="str">
        <f t="shared" si="188"/>
        <v>Medium</v>
      </c>
      <c r="AM954" t="str">
        <f t="shared" si="189"/>
        <v>Low</v>
      </c>
      <c r="AN954" t="str">
        <f t="shared" si="190"/>
        <v>No Options</v>
      </c>
      <c r="AO954" t="str">
        <f t="shared" si="191"/>
        <v>Best</v>
      </c>
      <c r="AP954" t="str">
        <f t="shared" si="192"/>
        <v>25-34</v>
      </c>
      <c r="AQ954" t="str">
        <f t="shared" si="193"/>
        <v>Low</v>
      </c>
      <c r="AR954" t="str">
        <f t="shared" si="194"/>
        <v>3-5 Years</v>
      </c>
    </row>
    <row r="955" spans="1:44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46</v>
      </c>
      <c r="L955">
        <v>89</v>
      </c>
      <c r="M955">
        <v>3</v>
      </c>
      <c r="N955">
        <v>1</v>
      </c>
      <c r="O955" t="s">
        <v>50</v>
      </c>
      <c r="P955">
        <v>1</v>
      </c>
      <c r="Q955" t="s">
        <v>48</v>
      </c>
      <c r="R955">
        <v>2362</v>
      </c>
      <c r="S955">
        <v>4</v>
      </c>
      <c r="T955" t="s">
        <v>43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  <c r="AF955">
        <f t="shared" si="182"/>
        <v>1</v>
      </c>
      <c r="AG955">
        <f t="shared" si="183"/>
        <v>0</v>
      </c>
      <c r="AH955" t="str">
        <f t="shared" si="184"/>
        <v>Bachelor</v>
      </c>
      <c r="AI955" t="str">
        <f t="shared" si="185"/>
        <v>Low</v>
      </c>
      <c r="AJ955" t="str">
        <f t="shared" si="186"/>
        <v>High</v>
      </c>
      <c r="AK955" t="str">
        <f t="shared" si="187"/>
        <v>Entry</v>
      </c>
      <c r="AL955" t="str">
        <f t="shared" si="188"/>
        <v>Low</v>
      </c>
      <c r="AM955" t="str">
        <f t="shared" si="189"/>
        <v>High</v>
      </c>
      <c r="AN955" t="str">
        <f t="shared" si="190"/>
        <v>No Options</v>
      </c>
      <c r="AO955" t="str">
        <f t="shared" si="191"/>
        <v>Best</v>
      </c>
      <c r="AP955" t="str">
        <f t="shared" si="192"/>
        <v>35-44</v>
      </c>
      <c r="AQ955" t="str">
        <f t="shared" si="193"/>
        <v>Low</v>
      </c>
      <c r="AR955" t="str">
        <f t="shared" si="194"/>
        <v>3-5 Years</v>
      </c>
    </row>
    <row r="956" spans="1:44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46</v>
      </c>
      <c r="L956">
        <v>37</v>
      </c>
      <c r="M956">
        <v>3</v>
      </c>
      <c r="N956">
        <v>4</v>
      </c>
      <c r="O956" t="s">
        <v>56</v>
      </c>
      <c r="P956">
        <v>3</v>
      </c>
      <c r="Q956" t="s">
        <v>48</v>
      </c>
      <c r="R956">
        <v>17861</v>
      </c>
      <c r="S956">
        <v>0</v>
      </c>
      <c r="T956" t="s">
        <v>35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  <c r="AF956">
        <f t="shared" si="182"/>
        <v>0</v>
      </c>
      <c r="AG956">
        <f t="shared" si="183"/>
        <v>1</v>
      </c>
      <c r="AH956" t="str">
        <f t="shared" si="184"/>
        <v>Below College</v>
      </c>
      <c r="AI956" t="str">
        <f t="shared" si="185"/>
        <v>High</v>
      </c>
      <c r="AJ956" t="str">
        <f t="shared" si="186"/>
        <v>High</v>
      </c>
      <c r="AK956" t="str">
        <f t="shared" si="187"/>
        <v>Senior</v>
      </c>
      <c r="AL956" t="str">
        <f t="shared" si="188"/>
        <v>High</v>
      </c>
      <c r="AM956" t="str">
        <f t="shared" si="189"/>
        <v>Very High</v>
      </c>
      <c r="AN956" t="str">
        <f t="shared" si="190"/>
        <v>No Options</v>
      </c>
      <c r="AO956" t="str">
        <f t="shared" si="191"/>
        <v>Good</v>
      </c>
      <c r="AP956" t="str">
        <f t="shared" si="192"/>
        <v>35-44</v>
      </c>
      <c r="AQ956" t="str">
        <f t="shared" si="193"/>
        <v>High</v>
      </c>
      <c r="AR956" t="str">
        <f t="shared" si="194"/>
        <v>11-20 Years</v>
      </c>
    </row>
    <row r="957" spans="1:44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39</v>
      </c>
      <c r="L957">
        <v>58</v>
      </c>
      <c r="M957">
        <v>1</v>
      </c>
      <c r="N957">
        <v>5</v>
      </c>
      <c r="O957" t="s">
        <v>56</v>
      </c>
      <c r="P957">
        <v>3</v>
      </c>
      <c r="Q957" t="s">
        <v>48</v>
      </c>
      <c r="R957">
        <v>19187</v>
      </c>
      <c r="S957">
        <v>4</v>
      </c>
      <c r="T957" t="s">
        <v>43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  <c r="AF957">
        <f t="shared" si="182"/>
        <v>0</v>
      </c>
      <c r="AG957">
        <f t="shared" si="183"/>
        <v>0</v>
      </c>
      <c r="AH957" t="str">
        <f t="shared" si="184"/>
        <v>College</v>
      </c>
      <c r="AI957" t="str">
        <f t="shared" si="185"/>
        <v>Very High</v>
      </c>
      <c r="AJ957" t="str">
        <f t="shared" si="186"/>
        <v>Low</v>
      </c>
      <c r="AK957" t="str">
        <f t="shared" si="187"/>
        <v>Executive</v>
      </c>
      <c r="AL957" t="str">
        <f t="shared" si="188"/>
        <v>High</v>
      </c>
      <c r="AM957" t="str">
        <f t="shared" si="189"/>
        <v>Very High</v>
      </c>
      <c r="AN957" t="str">
        <f t="shared" si="190"/>
        <v>Low</v>
      </c>
      <c r="AO957" t="str">
        <f t="shared" si="191"/>
        <v>Better</v>
      </c>
      <c r="AP957" t="str">
        <f t="shared" si="192"/>
        <v>55+</v>
      </c>
      <c r="AQ957" t="str">
        <f t="shared" si="193"/>
        <v>High</v>
      </c>
      <c r="AR957" t="str">
        <f t="shared" si="194"/>
        <v>11-20 Years</v>
      </c>
    </row>
    <row r="958" spans="1:44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46</v>
      </c>
      <c r="L958">
        <v>99</v>
      </c>
      <c r="M958">
        <v>3</v>
      </c>
      <c r="N958">
        <v>5</v>
      </c>
      <c r="O958" t="s">
        <v>56</v>
      </c>
      <c r="P958">
        <v>2</v>
      </c>
      <c r="Q958" t="s">
        <v>41</v>
      </c>
      <c r="R958">
        <v>19717</v>
      </c>
      <c r="S958">
        <v>6</v>
      </c>
      <c r="T958" t="s">
        <v>43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  <c r="AF958">
        <f t="shared" si="182"/>
        <v>0</v>
      </c>
      <c r="AG958">
        <f t="shared" si="183"/>
        <v>0</v>
      </c>
      <c r="AH958" t="str">
        <f t="shared" si="184"/>
        <v>Master</v>
      </c>
      <c r="AI958" t="str">
        <f t="shared" si="185"/>
        <v>Very High</v>
      </c>
      <c r="AJ958" t="str">
        <f t="shared" si="186"/>
        <v>High</v>
      </c>
      <c r="AK958" t="str">
        <f t="shared" si="187"/>
        <v>Executive</v>
      </c>
      <c r="AL958" t="str">
        <f t="shared" si="188"/>
        <v>Medium</v>
      </c>
      <c r="AM958" t="str">
        <f t="shared" si="189"/>
        <v>Low</v>
      </c>
      <c r="AN958" t="str">
        <f t="shared" si="190"/>
        <v>No Options</v>
      </c>
      <c r="AO958" t="str">
        <f t="shared" si="191"/>
        <v>Better</v>
      </c>
      <c r="AP958" t="str">
        <f t="shared" si="192"/>
        <v>55+</v>
      </c>
      <c r="AQ958" t="str">
        <f t="shared" si="193"/>
        <v>High</v>
      </c>
      <c r="AR958" t="str">
        <f t="shared" si="194"/>
        <v>6-10 Years</v>
      </c>
    </row>
    <row r="959" spans="1:44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46</v>
      </c>
      <c r="L959">
        <v>74</v>
      </c>
      <c r="M959">
        <v>3</v>
      </c>
      <c r="N959">
        <v>1</v>
      </c>
      <c r="O959" t="s">
        <v>47</v>
      </c>
      <c r="P959">
        <v>3</v>
      </c>
      <c r="Q959" t="s">
        <v>52</v>
      </c>
      <c r="R959">
        <v>3544</v>
      </c>
      <c r="S959">
        <v>9</v>
      </c>
      <c r="T959" t="s">
        <v>43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  <c r="AF959">
        <f t="shared" si="182"/>
        <v>0</v>
      </c>
      <c r="AG959">
        <f t="shared" si="183"/>
        <v>0</v>
      </c>
      <c r="AH959" t="str">
        <f t="shared" si="184"/>
        <v>College</v>
      </c>
      <c r="AI959" t="str">
        <f t="shared" si="185"/>
        <v>High</v>
      </c>
      <c r="AJ959" t="str">
        <f t="shared" si="186"/>
        <v>High</v>
      </c>
      <c r="AK959" t="str">
        <f t="shared" si="187"/>
        <v>Entry</v>
      </c>
      <c r="AL959" t="str">
        <f t="shared" si="188"/>
        <v>High</v>
      </c>
      <c r="AM959" t="str">
        <f t="shared" si="189"/>
        <v>Medium</v>
      </c>
      <c r="AN959" t="str">
        <f t="shared" si="190"/>
        <v>Low</v>
      </c>
      <c r="AO959" t="str">
        <f t="shared" si="191"/>
        <v>Better</v>
      </c>
      <c r="AP959" t="str">
        <f t="shared" si="192"/>
        <v>35-44</v>
      </c>
      <c r="AQ959" t="str">
        <f t="shared" si="193"/>
        <v>Lower-Mid</v>
      </c>
      <c r="AR959" t="str">
        <f t="shared" si="194"/>
        <v>3-5 Years</v>
      </c>
    </row>
    <row r="960" spans="1:44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46</v>
      </c>
      <c r="L960">
        <v>86</v>
      </c>
      <c r="M960">
        <v>3</v>
      </c>
      <c r="N960">
        <v>3</v>
      </c>
      <c r="O960" t="s">
        <v>54</v>
      </c>
      <c r="P960">
        <v>4</v>
      </c>
      <c r="Q960" t="s">
        <v>52</v>
      </c>
      <c r="R960">
        <v>8500</v>
      </c>
      <c r="S960">
        <v>0</v>
      </c>
      <c r="T960" t="s">
        <v>43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  <c r="AF960">
        <f t="shared" si="182"/>
        <v>0</v>
      </c>
      <c r="AG960">
        <f t="shared" si="183"/>
        <v>0</v>
      </c>
      <c r="AH960" t="str">
        <f t="shared" si="184"/>
        <v>Bachelor</v>
      </c>
      <c r="AI960" t="str">
        <f t="shared" si="185"/>
        <v>Very High</v>
      </c>
      <c r="AJ960" t="str">
        <f t="shared" si="186"/>
        <v>High</v>
      </c>
      <c r="AK960" t="str">
        <f t="shared" si="187"/>
        <v>Mid-Level</v>
      </c>
      <c r="AL960" t="str">
        <f t="shared" si="188"/>
        <v>Very High</v>
      </c>
      <c r="AM960" t="str">
        <f t="shared" si="189"/>
        <v>Very High</v>
      </c>
      <c r="AN960" t="str">
        <f t="shared" si="190"/>
        <v>Low</v>
      </c>
      <c r="AO960" t="str">
        <f t="shared" si="191"/>
        <v>Good</v>
      </c>
      <c r="AP960" t="str">
        <f t="shared" si="192"/>
        <v>25-34</v>
      </c>
      <c r="AQ960" t="str">
        <f t="shared" si="193"/>
        <v>Upper-Mid</v>
      </c>
      <c r="AR960" t="str">
        <f t="shared" si="194"/>
        <v>6-10 Years</v>
      </c>
    </row>
    <row r="961" spans="1:44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46</v>
      </c>
      <c r="L961">
        <v>98</v>
      </c>
      <c r="M961">
        <v>3</v>
      </c>
      <c r="N961">
        <v>2</v>
      </c>
      <c r="O961" t="s">
        <v>47</v>
      </c>
      <c r="P961">
        <v>4</v>
      </c>
      <c r="Q961" t="s">
        <v>41</v>
      </c>
      <c r="R961">
        <v>4661</v>
      </c>
      <c r="S961">
        <v>1</v>
      </c>
      <c r="T961" t="s">
        <v>43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  <c r="AF961">
        <f t="shared" si="182"/>
        <v>0</v>
      </c>
      <c r="AG961">
        <f t="shared" si="183"/>
        <v>0</v>
      </c>
      <c r="AH961" t="str">
        <f t="shared" si="184"/>
        <v>Bachelor</v>
      </c>
      <c r="AI961" t="str">
        <f t="shared" si="185"/>
        <v>High</v>
      </c>
      <c r="AJ961" t="str">
        <f t="shared" si="186"/>
        <v>High</v>
      </c>
      <c r="AK961" t="str">
        <f t="shared" si="187"/>
        <v>Junior</v>
      </c>
      <c r="AL961" t="str">
        <f t="shared" si="188"/>
        <v>Very High</v>
      </c>
      <c r="AM961" t="str">
        <f t="shared" si="189"/>
        <v>High</v>
      </c>
      <c r="AN961" t="str">
        <f t="shared" si="190"/>
        <v>No Options</v>
      </c>
      <c r="AO961" t="str">
        <f t="shared" si="191"/>
        <v>Better</v>
      </c>
      <c r="AP961" t="str">
        <f t="shared" si="192"/>
        <v>35-44</v>
      </c>
      <c r="AQ961" t="str">
        <f t="shared" si="193"/>
        <v>Lower-Mid</v>
      </c>
      <c r="AR961" t="str">
        <f t="shared" si="194"/>
        <v>6-10 Years</v>
      </c>
    </row>
    <row r="962" spans="1:44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t="s">
        <v>39</v>
      </c>
      <c r="L962">
        <v>66</v>
      </c>
      <c r="M962">
        <v>3</v>
      </c>
      <c r="N962">
        <v>2</v>
      </c>
      <c r="O962" t="s">
        <v>40</v>
      </c>
      <c r="P962">
        <v>1</v>
      </c>
      <c r="Q962" t="s">
        <v>52</v>
      </c>
      <c r="R962">
        <v>4103</v>
      </c>
      <c r="S962">
        <v>0</v>
      </c>
      <c r="T962" t="s">
        <v>43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  <c r="AF962">
        <f t="shared" si="182"/>
        <v>0</v>
      </c>
      <c r="AG962">
        <f t="shared" si="183"/>
        <v>0</v>
      </c>
      <c r="AH962" t="str">
        <f t="shared" si="184"/>
        <v>Bachelor</v>
      </c>
      <c r="AI962" t="str">
        <f t="shared" si="185"/>
        <v>High</v>
      </c>
      <c r="AJ962" t="str">
        <f t="shared" si="186"/>
        <v>High</v>
      </c>
      <c r="AK962" t="str">
        <f t="shared" si="187"/>
        <v>Junior</v>
      </c>
      <c r="AL962" t="str">
        <f t="shared" si="188"/>
        <v>Low</v>
      </c>
      <c r="AM962" t="str">
        <f t="shared" si="189"/>
        <v>Very High</v>
      </c>
      <c r="AN962" t="str">
        <f t="shared" si="190"/>
        <v>Low</v>
      </c>
      <c r="AO962" t="str">
        <f t="shared" si="191"/>
        <v>Better</v>
      </c>
      <c r="AP962" t="str">
        <f t="shared" si="192"/>
        <v>35-44</v>
      </c>
      <c r="AQ962" t="str">
        <f t="shared" si="193"/>
        <v>Lower-Mid</v>
      </c>
      <c r="AR962" t="str">
        <f t="shared" si="194"/>
        <v>6-10 Years</v>
      </c>
    </row>
    <row r="963" spans="1:44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46</v>
      </c>
      <c r="L963">
        <v>87</v>
      </c>
      <c r="M963">
        <v>3</v>
      </c>
      <c r="N963">
        <v>2</v>
      </c>
      <c r="O963" t="s">
        <v>47</v>
      </c>
      <c r="P963">
        <v>3</v>
      </c>
      <c r="Q963" t="s">
        <v>41</v>
      </c>
      <c r="R963">
        <v>4249</v>
      </c>
      <c r="S963">
        <v>1</v>
      </c>
      <c r="T963" t="s">
        <v>35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  <c r="AF963">
        <f t="shared" ref="AF963:AF1026" si="195">IF(B963="Yes",1,0)</f>
        <v>0</v>
      </c>
      <c r="AG963">
        <f t="shared" ref="AG963:AG1026" si="196">IF(T963="Yes",1,0)</f>
        <v>1</v>
      </c>
      <c r="AH963" t="str">
        <f t="shared" ref="AH963:AH1026" si="197">CHOOSE(G963,"Below College","College","Bachelor","Master","Doctor")</f>
        <v>Master</v>
      </c>
      <c r="AI963" t="str">
        <f t="shared" ref="AI963:AI1026" si="198">CHOOSE(J963,"Low","Medium","High","Very High")</f>
        <v>High</v>
      </c>
      <c r="AJ963" t="str">
        <f t="shared" ref="AJ963:AJ1026" si="199">CHOOSE(M963,"Low","Medium","High","Very High")</f>
        <v>High</v>
      </c>
      <c r="AK963" t="str">
        <f t="shared" ref="AK963:AK1026" si="200">CHOOSE(N963,"Entry","Junior","Mid-Level","Senior","Executive")</f>
        <v>Junior</v>
      </c>
      <c r="AL963" t="str">
        <f t="shared" ref="AL963:AL1026" si="201">CHOOSE(P963,"Low","Medium","High","Very High")</f>
        <v>High</v>
      </c>
      <c r="AM963" t="str">
        <f t="shared" ref="AM963:AM1026" si="202">CHOOSE(W963,"Low","Medium","High","Very High")</f>
        <v>Medium</v>
      </c>
      <c r="AN963" t="str">
        <f t="shared" ref="AN963:AN1026" si="203">CHOOSE(X963+1,"No Options","Low","Medium","High")</f>
        <v>No Options</v>
      </c>
      <c r="AO963" t="str">
        <f t="shared" ref="AO963:AO1026" si="204">CHOOSE(AA963,"Bad","Good","Better","Best")</f>
        <v>Better</v>
      </c>
      <c r="AP963" t="str">
        <f t="shared" ref="AP963:AP1026" si="205">IF(A963&lt;=24,"Under 25",IF(A963&lt;=34,"25-34",IF(A963&lt;=44,"35-44",IF(A963&lt;=54,"45-54","55+"))))</f>
        <v>35-44</v>
      </c>
      <c r="AQ963" t="str">
        <f t="shared" ref="AQ963:AQ1026" si="206">IF(R963&lt;3000,"Low",IF(R963&lt;7000,"Lower-Mid",IF(R963&lt;13000,"Upper-Mid","High")))</f>
        <v>Lower-Mid</v>
      </c>
      <c r="AR963" t="str">
        <f t="shared" ref="AR963:AR1026" si="207">IF(AB963&lt;=2,"0-2 Years",IF(AB963&lt;=5,"3-5 Years",IF(AB963&lt;=10,"6-10 Years",IF(AB963&lt;=20,"11-20 Years","20+ Years"))))</f>
        <v>6-10 Years</v>
      </c>
    </row>
    <row r="964" spans="1:44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46</v>
      </c>
      <c r="L964">
        <v>84</v>
      </c>
      <c r="M964">
        <v>3</v>
      </c>
      <c r="N964">
        <v>4</v>
      </c>
      <c r="O964" t="s">
        <v>56</v>
      </c>
      <c r="P964">
        <v>2</v>
      </c>
      <c r="Q964" t="s">
        <v>52</v>
      </c>
      <c r="R964">
        <v>14026</v>
      </c>
      <c r="S964">
        <v>1</v>
      </c>
      <c r="T964" t="s">
        <v>35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  <c r="AF964">
        <f t="shared" si="195"/>
        <v>0</v>
      </c>
      <c r="AG964">
        <f t="shared" si="196"/>
        <v>1</v>
      </c>
      <c r="AH964" t="str">
        <f t="shared" si="197"/>
        <v>Bachelor</v>
      </c>
      <c r="AI964" t="str">
        <f t="shared" si="198"/>
        <v>High</v>
      </c>
      <c r="AJ964" t="str">
        <f t="shared" si="199"/>
        <v>High</v>
      </c>
      <c r="AK964" t="str">
        <f t="shared" si="200"/>
        <v>Senior</v>
      </c>
      <c r="AL964" t="str">
        <f t="shared" si="201"/>
        <v>Medium</v>
      </c>
      <c r="AM964" t="str">
        <f t="shared" si="202"/>
        <v>Medium</v>
      </c>
      <c r="AN964" t="str">
        <f t="shared" si="203"/>
        <v>Low</v>
      </c>
      <c r="AO964" t="str">
        <f t="shared" si="204"/>
        <v>Better</v>
      </c>
      <c r="AP964" t="str">
        <f t="shared" si="205"/>
        <v>45-54</v>
      </c>
      <c r="AQ964" t="str">
        <f t="shared" si="206"/>
        <v>High</v>
      </c>
      <c r="AR964" t="str">
        <f t="shared" si="207"/>
        <v>20+ Years</v>
      </c>
    </row>
    <row r="965" spans="1:44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31</v>
      </c>
      <c r="M965">
        <v>3</v>
      </c>
      <c r="N965">
        <v>2</v>
      </c>
      <c r="O965" t="s">
        <v>40</v>
      </c>
      <c r="P965">
        <v>1</v>
      </c>
      <c r="Q965" t="s">
        <v>52</v>
      </c>
      <c r="R965">
        <v>6893</v>
      </c>
      <c r="S965">
        <v>3</v>
      </c>
      <c r="T965" t="s">
        <v>43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  <c r="AF965">
        <f t="shared" si="195"/>
        <v>0</v>
      </c>
      <c r="AG965">
        <f t="shared" si="196"/>
        <v>0</v>
      </c>
      <c r="AH965" t="str">
        <f t="shared" si="197"/>
        <v>College</v>
      </c>
      <c r="AI965" t="str">
        <f t="shared" si="198"/>
        <v>Medium</v>
      </c>
      <c r="AJ965" t="str">
        <f t="shared" si="199"/>
        <v>High</v>
      </c>
      <c r="AK965" t="str">
        <f t="shared" si="200"/>
        <v>Junior</v>
      </c>
      <c r="AL965" t="str">
        <f t="shared" si="201"/>
        <v>Low</v>
      </c>
      <c r="AM965" t="str">
        <f t="shared" si="202"/>
        <v>Very High</v>
      </c>
      <c r="AN965" t="str">
        <f t="shared" si="203"/>
        <v>Low</v>
      </c>
      <c r="AO965" t="str">
        <f t="shared" si="204"/>
        <v>Better</v>
      </c>
      <c r="AP965" t="str">
        <f t="shared" si="205"/>
        <v>35-44</v>
      </c>
      <c r="AQ965" t="str">
        <f t="shared" si="206"/>
        <v>Lower-Mid</v>
      </c>
      <c r="AR965" t="str">
        <f t="shared" si="207"/>
        <v>6-10 Years</v>
      </c>
    </row>
    <row r="966" spans="1:44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39</v>
      </c>
      <c r="L966">
        <v>66</v>
      </c>
      <c r="M966">
        <v>3</v>
      </c>
      <c r="N966">
        <v>2</v>
      </c>
      <c r="O966" t="s">
        <v>40</v>
      </c>
      <c r="P966">
        <v>1</v>
      </c>
      <c r="Q966" t="s">
        <v>41</v>
      </c>
      <c r="R966">
        <v>6125</v>
      </c>
      <c r="S966">
        <v>1</v>
      </c>
      <c r="T966" t="s">
        <v>43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  <c r="AF966">
        <f t="shared" si="195"/>
        <v>0</v>
      </c>
      <c r="AG966">
        <f t="shared" si="196"/>
        <v>0</v>
      </c>
      <c r="AH966" t="str">
        <f t="shared" si="197"/>
        <v>College</v>
      </c>
      <c r="AI966" t="str">
        <f t="shared" si="198"/>
        <v>High</v>
      </c>
      <c r="AJ966" t="str">
        <f t="shared" si="199"/>
        <v>High</v>
      </c>
      <c r="AK966" t="str">
        <f t="shared" si="200"/>
        <v>Junior</v>
      </c>
      <c r="AL966" t="str">
        <f t="shared" si="201"/>
        <v>Low</v>
      </c>
      <c r="AM966" t="str">
        <f t="shared" si="202"/>
        <v>Very High</v>
      </c>
      <c r="AN966" t="str">
        <f t="shared" si="203"/>
        <v>No Options</v>
      </c>
      <c r="AO966" t="str">
        <f t="shared" si="204"/>
        <v>Best</v>
      </c>
      <c r="AP966" t="str">
        <f t="shared" si="205"/>
        <v>25-34</v>
      </c>
      <c r="AQ966" t="str">
        <f t="shared" si="206"/>
        <v>Lower-Mid</v>
      </c>
      <c r="AR966" t="str">
        <f t="shared" si="207"/>
        <v>6-10 Years</v>
      </c>
    </row>
    <row r="967" spans="1:44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46</v>
      </c>
      <c r="L967">
        <v>67</v>
      </c>
      <c r="M967">
        <v>3</v>
      </c>
      <c r="N967">
        <v>1</v>
      </c>
      <c r="O967" t="s">
        <v>50</v>
      </c>
      <c r="P967">
        <v>4</v>
      </c>
      <c r="Q967" t="s">
        <v>48</v>
      </c>
      <c r="R967">
        <v>3669</v>
      </c>
      <c r="S967">
        <v>3</v>
      </c>
      <c r="T967" t="s">
        <v>43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  <c r="AF967">
        <f t="shared" si="195"/>
        <v>0</v>
      </c>
      <c r="AG967">
        <f t="shared" si="196"/>
        <v>0</v>
      </c>
      <c r="AH967" t="str">
        <f t="shared" si="197"/>
        <v>Below College</v>
      </c>
      <c r="AI967" t="str">
        <f t="shared" si="198"/>
        <v>Very High</v>
      </c>
      <c r="AJ967" t="str">
        <f t="shared" si="199"/>
        <v>High</v>
      </c>
      <c r="AK967" t="str">
        <f t="shared" si="200"/>
        <v>Entry</v>
      </c>
      <c r="AL967" t="str">
        <f t="shared" si="201"/>
        <v>Very High</v>
      </c>
      <c r="AM967" t="str">
        <f t="shared" si="202"/>
        <v>High</v>
      </c>
      <c r="AN967" t="str">
        <f t="shared" si="203"/>
        <v>High</v>
      </c>
      <c r="AO967" t="str">
        <f t="shared" si="204"/>
        <v>Good</v>
      </c>
      <c r="AP967" t="str">
        <f t="shared" si="205"/>
        <v>25-34</v>
      </c>
      <c r="AQ967" t="str">
        <f t="shared" si="206"/>
        <v>Lower-Mid</v>
      </c>
      <c r="AR967" t="str">
        <f t="shared" si="207"/>
        <v>3-5 Years</v>
      </c>
    </row>
    <row r="968" spans="1:44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39</v>
      </c>
      <c r="L968">
        <v>53</v>
      </c>
      <c r="M968">
        <v>2</v>
      </c>
      <c r="N968">
        <v>3</v>
      </c>
      <c r="O968" t="s">
        <v>53</v>
      </c>
      <c r="P968">
        <v>1</v>
      </c>
      <c r="Q968" t="s">
        <v>48</v>
      </c>
      <c r="R968">
        <v>10008</v>
      </c>
      <c r="S968">
        <v>7</v>
      </c>
      <c r="T968" t="s">
        <v>35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  <c r="AF968">
        <f t="shared" si="195"/>
        <v>1</v>
      </c>
      <c r="AG968">
        <f t="shared" si="196"/>
        <v>1</v>
      </c>
      <c r="AH968" t="str">
        <f t="shared" si="197"/>
        <v>Master</v>
      </c>
      <c r="AI968" t="str">
        <f t="shared" si="198"/>
        <v>High</v>
      </c>
      <c r="AJ968" t="str">
        <f t="shared" si="199"/>
        <v>Medium</v>
      </c>
      <c r="AK968" t="str">
        <f t="shared" si="200"/>
        <v>Mid-Level</v>
      </c>
      <c r="AL968" t="str">
        <f t="shared" si="201"/>
        <v>Low</v>
      </c>
      <c r="AM968" t="str">
        <f t="shared" si="202"/>
        <v>Very High</v>
      </c>
      <c r="AN968" t="str">
        <f t="shared" si="203"/>
        <v>No Options</v>
      </c>
      <c r="AO968" t="str">
        <f t="shared" si="204"/>
        <v>Good</v>
      </c>
      <c r="AP968" t="str">
        <f t="shared" si="205"/>
        <v>55+</v>
      </c>
      <c r="AQ968" t="str">
        <f t="shared" si="206"/>
        <v>Upper-Mid</v>
      </c>
      <c r="AR968" t="str">
        <f t="shared" si="207"/>
        <v>6-10 Years</v>
      </c>
    </row>
    <row r="969" spans="1:44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46</v>
      </c>
      <c r="L969">
        <v>88</v>
      </c>
      <c r="M969">
        <v>3</v>
      </c>
      <c r="N969">
        <v>1</v>
      </c>
      <c r="O969" t="s">
        <v>50</v>
      </c>
      <c r="P969">
        <v>2</v>
      </c>
      <c r="Q969" t="s">
        <v>48</v>
      </c>
      <c r="R969">
        <v>2387</v>
      </c>
      <c r="S969">
        <v>3</v>
      </c>
      <c r="T969" t="s">
        <v>43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  <c r="AF969">
        <f t="shared" si="195"/>
        <v>0</v>
      </c>
      <c r="AG969">
        <f t="shared" si="196"/>
        <v>0</v>
      </c>
      <c r="AH969" t="str">
        <f t="shared" si="197"/>
        <v>Master</v>
      </c>
      <c r="AI969" t="str">
        <f t="shared" si="198"/>
        <v>Medium</v>
      </c>
      <c r="AJ969" t="str">
        <f t="shared" si="199"/>
        <v>High</v>
      </c>
      <c r="AK969" t="str">
        <f t="shared" si="200"/>
        <v>Entry</v>
      </c>
      <c r="AL969" t="str">
        <f t="shared" si="201"/>
        <v>Medium</v>
      </c>
      <c r="AM969" t="str">
        <f t="shared" si="202"/>
        <v>High</v>
      </c>
      <c r="AN969" t="str">
        <f t="shared" si="203"/>
        <v>Low</v>
      </c>
      <c r="AO969" t="str">
        <f t="shared" si="204"/>
        <v>Better</v>
      </c>
      <c r="AP969" t="str">
        <f t="shared" si="205"/>
        <v>35-44</v>
      </c>
      <c r="AQ969" t="str">
        <f t="shared" si="206"/>
        <v>Low</v>
      </c>
      <c r="AR969" t="str">
        <f t="shared" si="207"/>
        <v>3-5 Years</v>
      </c>
    </row>
    <row r="970" spans="1:44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t="s">
        <v>39</v>
      </c>
      <c r="L970">
        <v>83</v>
      </c>
      <c r="M970">
        <v>4</v>
      </c>
      <c r="N970">
        <v>2</v>
      </c>
      <c r="O970" t="s">
        <v>40</v>
      </c>
      <c r="P970">
        <v>1</v>
      </c>
      <c r="Q970" t="s">
        <v>48</v>
      </c>
      <c r="R970">
        <v>4639</v>
      </c>
      <c r="S970">
        <v>2</v>
      </c>
      <c r="T970" t="s">
        <v>43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  <c r="AF970">
        <f t="shared" si="195"/>
        <v>0</v>
      </c>
      <c r="AG970">
        <f t="shared" si="196"/>
        <v>0</v>
      </c>
      <c r="AH970" t="str">
        <f t="shared" si="197"/>
        <v>Bachelor</v>
      </c>
      <c r="AI970" t="str">
        <f t="shared" si="198"/>
        <v>Low</v>
      </c>
      <c r="AJ970" t="str">
        <f t="shared" si="199"/>
        <v>Very High</v>
      </c>
      <c r="AK970" t="str">
        <f t="shared" si="200"/>
        <v>Junior</v>
      </c>
      <c r="AL970" t="str">
        <f t="shared" si="201"/>
        <v>Low</v>
      </c>
      <c r="AM970" t="str">
        <f t="shared" si="202"/>
        <v>Very High</v>
      </c>
      <c r="AN970" t="str">
        <f t="shared" si="203"/>
        <v>Low</v>
      </c>
      <c r="AO970" t="str">
        <f t="shared" si="204"/>
        <v>Good</v>
      </c>
      <c r="AP970" t="str">
        <f t="shared" si="205"/>
        <v>35-44</v>
      </c>
      <c r="AQ970" t="str">
        <f t="shared" si="206"/>
        <v>Lower-Mid</v>
      </c>
      <c r="AR970" t="str">
        <f t="shared" si="207"/>
        <v>11-20 Years</v>
      </c>
    </row>
    <row r="971" spans="1:44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46</v>
      </c>
      <c r="L971">
        <v>54</v>
      </c>
      <c r="M971">
        <v>3</v>
      </c>
      <c r="N971">
        <v>3</v>
      </c>
      <c r="O971" t="s">
        <v>53</v>
      </c>
      <c r="P971">
        <v>4</v>
      </c>
      <c r="Q971" t="s">
        <v>41</v>
      </c>
      <c r="R971">
        <v>7898</v>
      </c>
      <c r="S971">
        <v>1</v>
      </c>
      <c r="T971" t="s">
        <v>43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  <c r="AF971">
        <f t="shared" si="195"/>
        <v>0</v>
      </c>
      <c r="AG971">
        <f t="shared" si="196"/>
        <v>0</v>
      </c>
      <c r="AH971" t="str">
        <f t="shared" si="197"/>
        <v>Bachelor</v>
      </c>
      <c r="AI971" t="str">
        <f t="shared" si="198"/>
        <v>Very High</v>
      </c>
      <c r="AJ971" t="str">
        <f t="shared" si="199"/>
        <v>High</v>
      </c>
      <c r="AK971" t="str">
        <f t="shared" si="200"/>
        <v>Mid-Level</v>
      </c>
      <c r="AL971" t="str">
        <f t="shared" si="201"/>
        <v>Very High</v>
      </c>
      <c r="AM971" t="str">
        <f t="shared" si="202"/>
        <v>High</v>
      </c>
      <c r="AN971" t="str">
        <f t="shared" si="203"/>
        <v>No Options</v>
      </c>
      <c r="AO971" t="str">
        <f t="shared" si="204"/>
        <v>Better</v>
      </c>
      <c r="AP971" t="str">
        <f t="shared" si="205"/>
        <v>45-54</v>
      </c>
      <c r="AQ971" t="str">
        <f t="shared" si="206"/>
        <v>Upper-Mid</v>
      </c>
      <c r="AR971" t="str">
        <f t="shared" si="207"/>
        <v>6-10 Years</v>
      </c>
    </row>
    <row r="972" spans="1:44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39</v>
      </c>
      <c r="L972">
        <v>98</v>
      </c>
      <c r="M972">
        <v>4</v>
      </c>
      <c r="N972">
        <v>1</v>
      </c>
      <c r="O972" t="s">
        <v>57</v>
      </c>
      <c r="P972">
        <v>4</v>
      </c>
      <c r="Q972" t="s">
        <v>48</v>
      </c>
      <c r="R972">
        <v>2534</v>
      </c>
      <c r="S972">
        <v>8</v>
      </c>
      <c r="T972" t="s">
        <v>43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  <c r="AF972">
        <f t="shared" si="195"/>
        <v>0</v>
      </c>
      <c r="AG972">
        <f t="shared" si="196"/>
        <v>0</v>
      </c>
      <c r="AH972" t="str">
        <f t="shared" si="197"/>
        <v>Bachelor</v>
      </c>
      <c r="AI972" t="str">
        <f t="shared" si="198"/>
        <v>High</v>
      </c>
      <c r="AJ972" t="str">
        <f t="shared" si="199"/>
        <v>Very High</v>
      </c>
      <c r="AK972" t="str">
        <f t="shared" si="200"/>
        <v>Entry</v>
      </c>
      <c r="AL972" t="str">
        <f t="shared" si="201"/>
        <v>Very High</v>
      </c>
      <c r="AM972" t="str">
        <f t="shared" si="202"/>
        <v>Medium</v>
      </c>
      <c r="AN972" t="str">
        <f t="shared" si="203"/>
        <v>Low</v>
      </c>
      <c r="AO972" t="str">
        <f t="shared" si="204"/>
        <v>Better</v>
      </c>
      <c r="AP972" t="str">
        <f t="shared" si="205"/>
        <v>25-34</v>
      </c>
      <c r="AQ972" t="str">
        <f t="shared" si="206"/>
        <v>Low</v>
      </c>
      <c r="AR972" t="str">
        <f t="shared" si="207"/>
        <v>0-2 Years</v>
      </c>
    </row>
    <row r="973" spans="1:44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t="s">
        <v>39</v>
      </c>
      <c r="L973">
        <v>82</v>
      </c>
      <c r="M973">
        <v>2</v>
      </c>
      <c r="N973">
        <v>4</v>
      </c>
      <c r="O973" t="s">
        <v>53</v>
      </c>
      <c r="P973">
        <v>2</v>
      </c>
      <c r="Q973" t="s">
        <v>41</v>
      </c>
      <c r="R973">
        <v>13142</v>
      </c>
      <c r="S973">
        <v>3</v>
      </c>
      <c r="T973" t="s">
        <v>43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  <c r="AF973">
        <f t="shared" si="195"/>
        <v>0</v>
      </c>
      <c r="AG973">
        <f t="shared" si="196"/>
        <v>0</v>
      </c>
      <c r="AH973" t="str">
        <f t="shared" si="197"/>
        <v>College</v>
      </c>
      <c r="AI973" t="str">
        <f t="shared" si="198"/>
        <v>Very High</v>
      </c>
      <c r="AJ973" t="str">
        <f t="shared" si="199"/>
        <v>Medium</v>
      </c>
      <c r="AK973" t="str">
        <f t="shared" si="200"/>
        <v>Senior</v>
      </c>
      <c r="AL973" t="str">
        <f t="shared" si="201"/>
        <v>Medium</v>
      </c>
      <c r="AM973" t="str">
        <f t="shared" si="202"/>
        <v>Medium</v>
      </c>
      <c r="AN973" t="str">
        <f t="shared" si="203"/>
        <v>No Options</v>
      </c>
      <c r="AO973" t="str">
        <f t="shared" si="204"/>
        <v>Good</v>
      </c>
      <c r="AP973" t="str">
        <f t="shared" si="205"/>
        <v>45-54</v>
      </c>
      <c r="AQ973" t="str">
        <f t="shared" si="206"/>
        <v>High</v>
      </c>
      <c r="AR973" t="str">
        <f t="shared" si="207"/>
        <v>3-5 Years</v>
      </c>
    </row>
    <row r="974" spans="1:44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97</v>
      </c>
      <c r="M974">
        <v>3</v>
      </c>
      <c r="N974">
        <v>1</v>
      </c>
      <c r="O974" t="s">
        <v>50</v>
      </c>
      <c r="P974">
        <v>4</v>
      </c>
      <c r="Q974" t="s">
        <v>41</v>
      </c>
      <c r="R974">
        <v>1611</v>
      </c>
      <c r="S974">
        <v>1</v>
      </c>
      <c r="T974" t="s">
        <v>43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  <c r="AF974">
        <f t="shared" si="195"/>
        <v>0</v>
      </c>
      <c r="AG974">
        <f t="shared" si="196"/>
        <v>0</v>
      </c>
      <c r="AH974" t="str">
        <f t="shared" si="197"/>
        <v>Bachelor</v>
      </c>
      <c r="AI974" t="str">
        <f t="shared" si="198"/>
        <v>Very High</v>
      </c>
      <c r="AJ974" t="str">
        <f t="shared" si="199"/>
        <v>High</v>
      </c>
      <c r="AK974" t="str">
        <f t="shared" si="200"/>
        <v>Entry</v>
      </c>
      <c r="AL974" t="str">
        <f t="shared" si="201"/>
        <v>Very High</v>
      </c>
      <c r="AM974" t="str">
        <f t="shared" si="202"/>
        <v>High</v>
      </c>
      <c r="AN974" t="str">
        <f t="shared" si="203"/>
        <v>No Options</v>
      </c>
      <c r="AO974" t="str">
        <f t="shared" si="204"/>
        <v>Best</v>
      </c>
      <c r="AP974" t="str">
        <f t="shared" si="205"/>
        <v>Under 25</v>
      </c>
      <c r="AQ974" t="str">
        <f t="shared" si="206"/>
        <v>Low</v>
      </c>
      <c r="AR974" t="str">
        <f t="shared" si="207"/>
        <v>0-2 Years</v>
      </c>
    </row>
    <row r="975" spans="1:44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39</v>
      </c>
      <c r="L975">
        <v>60</v>
      </c>
      <c r="M975">
        <v>2</v>
      </c>
      <c r="N975">
        <v>2</v>
      </c>
      <c r="O975" t="s">
        <v>50</v>
      </c>
      <c r="P975">
        <v>4</v>
      </c>
      <c r="Q975" t="s">
        <v>48</v>
      </c>
      <c r="R975">
        <v>5363</v>
      </c>
      <c r="S975">
        <v>0</v>
      </c>
      <c r="T975" t="s">
        <v>43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  <c r="AF975">
        <f t="shared" si="195"/>
        <v>0</v>
      </c>
      <c r="AG975">
        <f t="shared" si="196"/>
        <v>0</v>
      </c>
      <c r="AH975" t="str">
        <f t="shared" si="197"/>
        <v>Bachelor</v>
      </c>
      <c r="AI975" t="str">
        <f t="shared" si="198"/>
        <v>Very High</v>
      </c>
      <c r="AJ975" t="str">
        <f t="shared" si="199"/>
        <v>Medium</v>
      </c>
      <c r="AK975" t="str">
        <f t="shared" si="200"/>
        <v>Junior</v>
      </c>
      <c r="AL975" t="str">
        <f t="shared" si="201"/>
        <v>Very High</v>
      </c>
      <c r="AM975" t="str">
        <f t="shared" si="202"/>
        <v>Medium</v>
      </c>
      <c r="AN975" t="str">
        <f t="shared" si="203"/>
        <v>Low</v>
      </c>
      <c r="AO975" t="str">
        <f t="shared" si="204"/>
        <v>Better</v>
      </c>
      <c r="AP975" t="str">
        <f t="shared" si="205"/>
        <v>35-44</v>
      </c>
      <c r="AQ975" t="str">
        <f t="shared" si="206"/>
        <v>Lower-Mid</v>
      </c>
      <c r="AR975" t="str">
        <f t="shared" si="207"/>
        <v>6-10 Years</v>
      </c>
    </row>
    <row r="976" spans="1:44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46</v>
      </c>
      <c r="L976">
        <v>43</v>
      </c>
      <c r="M976">
        <v>1</v>
      </c>
      <c r="N976">
        <v>2</v>
      </c>
      <c r="O976" t="s">
        <v>40</v>
      </c>
      <c r="P976">
        <v>4</v>
      </c>
      <c r="Q976" t="s">
        <v>41</v>
      </c>
      <c r="R976">
        <v>5071</v>
      </c>
      <c r="S976">
        <v>3</v>
      </c>
      <c r="T976" t="s">
        <v>43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  <c r="AF976">
        <f t="shared" si="195"/>
        <v>0</v>
      </c>
      <c r="AG976">
        <f t="shared" si="196"/>
        <v>0</v>
      </c>
      <c r="AH976" t="str">
        <f t="shared" si="197"/>
        <v>Below College</v>
      </c>
      <c r="AI976" t="str">
        <f t="shared" si="198"/>
        <v>Very High</v>
      </c>
      <c r="AJ976" t="str">
        <f t="shared" si="199"/>
        <v>Low</v>
      </c>
      <c r="AK976" t="str">
        <f t="shared" si="200"/>
        <v>Junior</v>
      </c>
      <c r="AL976" t="str">
        <f t="shared" si="201"/>
        <v>Very High</v>
      </c>
      <c r="AM976" t="str">
        <f t="shared" si="202"/>
        <v>Medium</v>
      </c>
      <c r="AN976" t="str">
        <f t="shared" si="203"/>
        <v>No Options</v>
      </c>
      <c r="AO976" t="str">
        <f t="shared" si="204"/>
        <v>Better</v>
      </c>
      <c r="AP976" t="str">
        <f t="shared" si="205"/>
        <v>25-34</v>
      </c>
      <c r="AQ976" t="str">
        <f t="shared" si="206"/>
        <v>Lower-Mid</v>
      </c>
      <c r="AR976" t="str">
        <f t="shared" si="207"/>
        <v>6-10 Years</v>
      </c>
    </row>
    <row r="977" spans="1:44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t="s">
        <v>46</v>
      </c>
      <c r="L977">
        <v>85</v>
      </c>
      <c r="M977">
        <v>4</v>
      </c>
      <c r="N977">
        <v>4</v>
      </c>
      <c r="O977" t="s">
        <v>40</v>
      </c>
      <c r="P977">
        <v>3</v>
      </c>
      <c r="Q977" t="s">
        <v>41</v>
      </c>
      <c r="R977">
        <v>13695</v>
      </c>
      <c r="S977">
        <v>6</v>
      </c>
      <c r="T977" t="s">
        <v>35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  <c r="AF977">
        <f t="shared" si="195"/>
        <v>1</v>
      </c>
      <c r="AG977">
        <f t="shared" si="196"/>
        <v>1</v>
      </c>
      <c r="AH977" t="str">
        <f t="shared" si="197"/>
        <v>Master</v>
      </c>
      <c r="AI977" t="str">
        <f t="shared" si="198"/>
        <v>Low</v>
      </c>
      <c r="AJ977" t="str">
        <f t="shared" si="199"/>
        <v>Very High</v>
      </c>
      <c r="AK977" t="str">
        <f t="shared" si="200"/>
        <v>Senior</v>
      </c>
      <c r="AL977" t="str">
        <f t="shared" si="201"/>
        <v>High</v>
      </c>
      <c r="AM977" t="str">
        <f t="shared" si="202"/>
        <v>High</v>
      </c>
      <c r="AN977" t="str">
        <f t="shared" si="203"/>
        <v>No Options</v>
      </c>
      <c r="AO977" t="str">
        <f t="shared" si="204"/>
        <v>Good</v>
      </c>
      <c r="AP977" t="str">
        <f t="shared" si="205"/>
        <v>55+</v>
      </c>
      <c r="AQ977" t="str">
        <f t="shared" si="206"/>
        <v>High</v>
      </c>
      <c r="AR977" t="str">
        <f t="shared" si="207"/>
        <v>11-20 Years</v>
      </c>
    </row>
    <row r="978" spans="1:44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46</v>
      </c>
      <c r="L978">
        <v>68</v>
      </c>
      <c r="M978">
        <v>3</v>
      </c>
      <c r="N978">
        <v>4</v>
      </c>
      <c r="O978" t="s">
        <v>53</v>
      </c>
      <c r="P978">
        <v>2</v>
      </c>
      <c r="Q978" t="s">
        <v>48</v>
      </c>
      <c r="R978">
        <v>13402</v>
      </c>
      <c r="S978">
        <v>4</v>
      </c>
      <c r="T978" t="s">
        <v>35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  <c r="AF978">
        <f t="shared" si="195"/>
        <v>0</v>
      </c>
      <c r="AG978">
        <f t="shared" si="196"/>
        <v>1</v>
      </c>
      <c r="AH978" t="str">
        <f t="shared" si="197"/>
        <v>Bachelor</v>
      </c>
      <c r="AI978" t="str">
        <f t="shared" si="198"/>
        <v>Very High</v>
      </c>
      <c r="AJ978" t="str">
        <f t="shared" si="199"/>
        <v>High</v>
      </c>
      <c r="AK978" t="str">
        <f t="shared" si="200"/>
        <v>Senior</v>
      </c>
      <c r="AL978" t="str">
        <f t="shared" si="201"/>
        <v>Medium</v>
      </c>
      <c r="AM978" t="str">
        <f t="shared" si="202"/>
        <v>Low</v>
      </c>
      <c r="AN978" t="str">
        <f t="shared" si="203"/>
        <v>Low</v>
      </c>
      <c r="AO978" t="str">
        <f t="shared" si="204"/>
        <v>Better</v>
      </c>
      <c r="AP978" t="str">
        <f t="shared" si="205"/>
        <v>55+</v>
      </c>
      <c r="AQ978" t="str">
        <f t="shared" si="206"/>
        <v>High</v>
      </c>
      <c r="AR978" t="str">
        <f t="shared" si="207"/>
        <v>11-20 Years</v>
      </c>
    </row>
    <row r="979" spans="1:44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t="s">
        <v>39</v>
      </c>
      <c r="L979">
        <v>92</v>
      </c>
      <c r="M979">
        <v>2</v>
      </c>
      <c r="N979">
        <v>1</v>
      </c>
      <c r="O979" t="s">
        <v>47</v>
      </c>
      <c r="P979">
        <v>3</v>
      </c>
      <c r="Q979" t="s">
        <v>52</v>
      </c>
      <c r="R979">
        <v>2029</v>
      </c>
      <c r="S979">
        <v>1</v>
      </c>
      <c r="T979" t="s">
        <v>43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  <c r="AF979">
        <f t="shared" si="195"/>
        <v>0</v>
      </c>
      <c r="AG979">
        <f t="shared" si="196"/>
        <v>0</v>
      </c>
      <c r="AH979" t="str">
        <f t="shared" si="197"/>
        <v>Below College</v>
      </c>
      <c r="AI979" t="str">
        <f t="shared" si="198"/>
        <v>Low</v>
      </c>
      <c r="AJ979" t="str">
        <f t="shared" si="199"/>
        <v>Medium</v>
      </c>
      <c r="AK979" t="str">
        <f t="shared" si="200"/>
        <v>Entry</v>
      </c>
      <c r="AL979" t="str">
        <f t="shared" si="201"/>
        <v>High</v>
      </c>
      <c r="AM979" t="str">
        <f t="shared" si="202"/>
        <v>High</v>
      </c>
      <c r="AN979" t="str">
        <f t="shared" si="203"/>
        <v>High</v>
      </c>
      <c r="AO979" t="str">
        <f t="shared" si="204"/>
        <v>Better</v>
      </c>
      <c r="AP979" t="str">
        <f t="shared" si="205"/>
        <v>25-34</v>
      </c>
      <c r="AQ979" t="str">
        <f t="shared" si="206"/>
        <v>Low</v>
      </c>
      <c r="AR979" t="str">
        <f t="shared" si="207"/>
        <v>3-5 Years</v>
      </c>
    </row>
    <row r="980" spans="1:44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39</v>
      </c>
      <c r="L980">
        <v>89</v>
      </c>
      <c r="M980">
        <v>4</v>
      </c>
      <c r="N980">
        <v>2</v>
      </c>
      <c r="O980" t="s">
        <v>54</v>
      </c>
      <c r="P980">
        <v>3</v>
      </c>
      <c r="Q980" t="s">
        <v>52</v>
      </c>
      <c r="R980">
        <v>6377</v>
      </c>
      <c r="S980">
        <v>5</v>
      </c>
      <c r="T980" t="s">
        <v>43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  <c r="AF980">
        <f t="shared" si="195"/>
        <v>0</v>
      </c>
      <c r="AG980">
        <f t="shared" si="196"/>
        <v>0</v>
      </c>
      <c r="AH980" t="str">
        <f t="shared" si="197"/>
        <v>Below College</v>
      </c>
      <c r="AI980" t="str">
        <f t="shared" si="198"/>
        <v>Medium</v>
      </c>
      <c r="AJ980" t="str">
        <f t="shared" si="199"/>
        <v>Very High</v>
      </c>
      <c r="AK980" t="str">
        <f t="shared" si="200"/>
        <v>Junior</v>
      </c>
      <c r="AL980" t="str">
        <f t="shared" si="201"/>
        <v>High</v>
      </c>
      <c r="AM980" t="str">
        <f t="shared" si="202"/>
        <v>Medium</v>
      </c>
      <c r="AN980" t="str">
        <f t="shared" si="203"/>
        <v>High</v>
      </c>
      <c r="AO980" t="str">
        <f t="shared" si="204"/>
        <v>Better</v>
      </c>
      <c r="AP980" t="str">
        <f t="shared" si="205"/>
        <v>35-44</v>
      </c>
      <c r="AQ980" t="str">
        <f t="shared" si="206"/>
        <v>Lower-Mid</v>
      </c>
      <c r="AR980" t="str">
        <f t="shared" si="207"/>
        <v>11-20 Years</v>
      </c>
    </row>
    <row r="981" spans="1:44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46</v>
      </c>
      <c r="L981">
        <v>86</v>
      </c>
      <c r="M981">
        <v>3</v>
      </c>
      <c r="N981">
        <v>2</v>
      </c>
      <c r="O981" t="s">
        <v>50</v>
      </c>
      <c r="P981">
        <v>3</v>
      </c>
      <c r="Q981" t="s">
        <v>48</v>
      </c>
      <c r="R981">
        <v>5429</v>
      </c>
      <c r="S981">
        <v>4</v>
      </c>
      <c r="T981" t="s">
        <v>43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  <c r="AF981">
        <f t="shared" si="195"/>
        <v>0</v>
      </c>
      <c r="AG981">
        <f t="shared" si="196"/>
        <v>0</v>
      </c>
      <c r="AH981" t="str">
        <f t="shared" si="197"/>
        <v>Bachelor</v>
      </c>
      <c r="AI981" t="str">
        <f t="shared" si="198"/>
        <v>Medium</v>
      </c>
      <c r="AJ981" t="str">
        <f t="shared" si="199"/>
        <v>High</v>
      </c>
      <c r="AK981" t="str">
        <f t="shared" si="200"/>
        <v>Junior</v>
      </c>
      <c r="AL981" t="str">
        <f t="shared" si="201"/>
        <v>High</v>
      </c>
      <c r="AM981" t="str">
        <f t="shared" si="202"/>
        <v>Low</v>
      </c>
      <c r="AN981" t="str">
        <f t="shared" si="203"/>
        <v>Medium</v>
      </c>
      <c r="AO981" t="str">
        <f t="shared" si="204"/>
        <v>Better</v>
      </c>
      <c r="AP981" t="str">
        <f t="shared" si="205"/>
        <v>25-34</v>
      </c>
      <c r="AQ981" t="str">
        <f t="shared" si="206"/>
        <v>Lower-Mid</v>
      </c>
      <c r="AR981" t="str">
        <f t="shared" si="207"/>
        <v>6-10 Years</v>
      </c>
    </row>
    <row r="982" spans="1:44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90</v>
      </c>
      <c r="M982">
        <v>2</v>
      </c>
      <c r="N982">
        <v>1</v>
      </c>
      <c r="O982" t="s">
        <v>57</v>
      </c>
      <c r="P982">
        <v>4</v>
      </c>
      <c r="Q982" t="s">
        <v>41</v>
      </c>
      <c r="R982">
        <v>2785</v>
      </c>
      <c r="S982">
        <v>7</v>
      </c>
      <c r="T982" t="s">
        <v>43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  <c r="AF982">
        <f t="shared" si="195"/>
        <v>1</v>
      </c>
      <c r="AG982">
        <f t="shared" si="196"/>
        <v>0</v>
      </c>
      <c r="AH982" t="str">
        <f t="shared" si="197"/>
        <v>Bachelor</v>
      </c>
      <c r="AI982" t="str">
        <f t="shared" si="198"/>
        <v>High</v>
      </c>
      <c r="AJ982" t="str">
        <f t="shared" si="199"/>
        <v>Medium</v>
      </c>
      <c r="AK982" t="str">
        <f t="shared" si="200"/>
        <v>Entry</v>
      </c>
      <c r="AL982" t="str">
        <f t="shared" si="201"/>
        <v>Very High</v>
      </c>
      <c r="AM982" t="str">
        <f t="shared" si="202"/>
        <v>High</v>
      </c>
      <c r="AN982" t="str">
        <f t="shared" si="203"/>
        <v>No Options</v>
      </c>
      <c r="AO982" t="str">
        <f t="shared" si="204"/>
        <v>Best</v>
      </c>
      <c r="AP982" t="str">
        <f t="shared" si="205"/>
        <v>25-34</v>
      </c>
      <c r="AQ982" t="str">
        <f t="shared" si="206"/>
        <v>Low</v>
      </c>
      <c r="AR982" t="str">
        <f t="shared" si="207"/>
        <v>0-2 Years</v>
      </c>
    </row>
    <row r="983" spans="1:44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t="s">
        <v>39</v>
      </c>
      <c r="L983">
        <v>67</v>
      </c>
      <c r="M983">
        <v>3</v>
      </c>
      <c r="N983">
        <v>2</v>
      </c>
      <c r="O983" t="s">
        <v>40</v>
      </c>
      <c r="P983">
        <v>3</v>
      </c>
      <c r="Q983" t="s">
        <v>48</v>
      </c>
      <c r="R983">
        <v>4614</v>
      </c>
      <c r="S983">
        <v>0</v>
      </c>
      <c r="T983" t="s">
        <v>35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  <c r="AF983">
        <f t="shared" si="195"/>
        <v>1</v>
      </c>
      <c r="AG983">
        <f t="shared" si="196"/>
        <v>1</v>
      </c>
      <c r="AH983" t="str">
        <f t="shared" si="197"/>
        <v>Master</v>
      </c>
      <c r="AI983" t="str">
        <f t="shared" si="198"/>
        <v>Very High</v>
      </c>
      <c r="AJ983" t="str">
        <f t="shared" si="199"/>
        <v>High</v>
      </c>
      <c r="AK983" t="str">
        <f t="shared" si="200"/>
        <v>Junior</v>
      </c>
      <c r="AL983" t="str">
        <f t="shared" si="201"/>
        <v>High</v>
      </c>
      <c r="AM983" t="str">
        <f t="shared" si="202"/>
        <v>High</v>
      </c>
      <c r="AN983" t="str">
        <f t="shared" si="203"/>
        <v>Low</v>
      </c>
      <c r="AO983" t="str">
        <f t="shared" si="204"/>
        <v>Good</v>
      </c>
      <c r="AP983" t="str">
        <f t="shared" si="205"/>
        <v>35-44</v>
      </c>
      <c r="AQ983" t="str">
        <f t="shared" si="206"/>
        <v>Lower-Mid</v>
      </c>
      <c r="AR983" t="str">
        <f t="shared" si="207"/>
        <v>3-5 Years</v>
      </c>
    </row>
    <row r="984" spans="1:44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46</v>
      </c>
      <c r="L984">
        <v>57</v>
      </c>
      <c r="M984">
        <v>4</v>
      </c>
      <c r="N984">
        <v>1</v>
      </c>
      <c r="O984" t="s">
        <v>47</v>
      </c>
      <c r="P984">
        <v>3</v>
      </c>
      <c r="Q984" t="s">
        <v>52</v>
      </c>
      <c r="R984">
        <v>2610</v>
      </c>
      <c r="S984">
        <v>1</v>
      </c>
      <c r="T984" t="s">
        <v>43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  <c r="AF984">
        <f t="shared" si="195"/>
        <v>0</v>
      </c>
      <c r="AG984">
        <f t="shared" si="196"/>
        <v>0</v>
      </c>
      <c r="AH984" t="str">
        <f t="shared" si="197"/>
        <v>Bachelor</v>
      </c>
      <c r="AI984" t="str">
        <f t="shared" si="198"/>
        <v>Very High</v>
      </c>
      <c r="AJ984" t="str">
        <f t="shared" si="199"/>
        <v>Very High</v>
      </c>
      <c r="AK984" t="str">
        <f t="shared" si="200"/>
        <v>Entry</v>
      </c>
      <c r="AL984" t="str">
        <f t="shared" si="201"/>
        <v>High</v>
      </c>
      <c r="AM984" t="str">
        <f t="shared" si="202"/>
        <v>Very High</v>
      </c>
      <c r="AN984" t="str">
        <f t="shared" si="203"/>
        <v>High</v>
      </c>
      <c r="AO984" t="str">
        <f t="shared" si="204"/>
        <v>Better</v>
      </c>
      <c r="AP984" t="str">
        <f t="shared" si="205"/>
        <v>35-44</v>
      </c>
      <c r="AQ984" t="str">
        <f t="shared" si="206"/>
        <v>Low</v>
      </c>
      <c r="AR984" t="str">
        <f t="shared" si="207"/>
        <v>3-5 Years</v>
      </c>
    </row>
    <row r="985" spans="1:44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t="s">
        <v>39</v>
      </c>
      <c r="L985">
        <v>98</v>
      </c>
      <c r="M985">
        <v>3</v>
      </c>
      <c r="N985">
        <v>2</v>
      </c>
      <c r="O985" t="s">
        <v>54</v>
      </c>
      <c r="P985">
        <v>4</v>
      </c>
      <c r="Q985" t="s">
        <v>41</v>
      </c>
      <c r="R985">
        <v>6687</v>
      </c>
      <c r="S985">
        <v>1</v>
      </c>
      <c r="T985" t="s">
        <v>43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  <c r="AF985">
        <f t="shared" si="195"/>
        <v>0</v>
      </c>
      <c r="AG985">
        <f t="shared" si="196"/>
        <v>0</v>
      </c>
      <c r="AH985" t="str">
        <f t="shared" si="197"/>
        <v>Master</v>
      </c>
      <c r="AI985" t="str">
        <f t="shared" si="198"/>
        <v>High</v>
      </c>
      <c r="AJ985" t="str">
        <f t="shared" si="199"/>
        <v>High</v>
      </c>
      <c r="AK985" t="str">
        <f t="shared" si="200"/>
        <v>Junior</v>
      </c>
      <c r="AL985" t="str">
        <f t="shared" si="201"/>
        <v>Very High</v>
      </c>
      <c r="AM985" t="str">
        <f t="shared" si="202"/>
        <v>Very High</v>
      </c>
      <c r="AN985" t="str">
        <f t="shared" si="203"/>
        <v>No Options</v>
      </c>
      <c r="AO985" t="str">
        <f t="shared" si="204"/>
        <v>Best</v>
      </c>
      <c r="AP985" t="str">
        <f t="shared" si="205"/>
        <v>25-34</v>
      </c>
      <c r="AQ985" t="str">
        <f t="shared" si="206"/>
        <v>Lower-Mid</v>
      </c>
      <c r="AR985" t="str">
        <f t="shared" si="207"/>
        <v>11-20 Years</v>
      </c>
    </row>
    <row r="986" spans="1:44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46</v>
      </c>
      <c r="L986">
        <v>48</v>
      </c>
      <c r="M986">
        <v>2</v>
      </c>
      <c r="N986">
        <v>2</v>
      </c>
      <c r="O986" t="s">
        <v>40</v>
      </c>
      <c r="P986">
        <v>1</v>
      </c>
      <c r="Q986" t="s">
        <v>48</v>
      </c>
      <c r="R986">
        <v>4724</v>
      </c>
      <c r="S986">
        <v>1</v>
      </c>
      <c r="T986" t="s">
        <v>43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  <c r="AF986">
        <f t="shared" si="195"/>
        <v>0</v>
      </c>
      <c r="AG986">
        <f t="shared" si="196"/>
        <v>0</v>
      </c>
      <c r="AH986" t="str">
        <f t="shared" si="197"/>
        <v>Bachelor</v>
      </c>
      <c r="AI986" t="str">
        <f t="shared" si="198"/>
        <v>High</v>
      </c>
      <c r="AJ986" t="str">
        <f t="shared" si="199"/>
        <v>Medium</v>
      </c>
      <c r="AK986" t="str">
        <f t="shared" si="200"/>
        <v>Junior</v>
      </c>
      <c r="AL986" t="str">
        <f t="shared" si="201"/>
        <v>Low</v>
      </c>
      <c r="AM986" t="str">
        <f t="shared" si="202"/>
        <v>High</v>
      </c>
      <c r="AN986" t="str">
        <f t="shared" si="203"/>
        <v>Low</v>
      </c>
      <c r="AO986" t="str">
        <f t="shared" si="204"/>
        <v>Better</v>
      </c>
      <c r="AP986" t="str">
        <f t="shared" si="205"/>
        <v>25-34</v>
      </c>
      <c r="AQ986" t="str">
        <f t="shared" si="206"/>
        <v>Lower-Mid</v>
      </c>
      <c r="AR986" t="str">
        <f t="shared" si="207"/>
        <v>3-5 Years</v>
      </c>
    </row>
    <row r="987" spans="1:44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46</v>
      </c>
      <c r="L987">
        <v>98</v>
      </c>
      <c r="M987">
        <v>3</v>
      </c>
      <c r="N987">
        <v>2</v>
      </c>
      <c r="O987" t="s">
        <v>53</v>
      </c>
      <c r="P987">
        <v>3</v>
      </c>
      <c r="Q987" t="s">
        <v>48</v>
      </c>
      <c r="R987">
        <v>6179</v>
      </c>
      <c r="S987">
        <v>1</v>
      </c>
      <c r="T987" t="s">
        <v>35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  <c r="AF987">
        <f t="shared" si="195"/>
        <v>1</v>
      </c>
      <c r="AG987">
        <f t="shared" si="196"/>
        <v>1</v>
      </c>
      <c r="AH987" t="str">
        <f t="shared" si="197"/>
        <v>Master</v>
      </c>
      <c r="AI987" t="str">
        <f t="shared" si="198"/>
        <v>Very High</v>
      </c>
      <c r="AJ987" t="str">
        <f t="shared" si="199"/>
        <v>High</v>
      </c>
      <c r="AK987" t="str">
        <f t="shared" si="200"/>
        <v>Junior</v>
      </c>
      <c r="AL987" t="str">
        <f t="shared" si="201"/>
        <v>High</v>
      </c>
      <c r="AM987" t="str">
        <f t="shared" si="202"/>
        <v>Very High</v>
      </c>
      <c r="AN987" t="str">
        <f t="shared" si="203"/>
        <v>Medium</v>
      </c>
      <c r="AO987" t="str">
        <f t="shared" si="204"/>
        <v>Good</v>
      </c>
      <c r="AP987" t="str">
        <f t="shared" si="205"/>
        <v>25-34</v>
      </c>
      <c r="AQ987" t="str">
        <f t="shared" si="206"/>
        <v>Lower-Mid</v>
      </c>
      <c r="AR987" t="str">
        <f t="shared" si="207"/>
        <v>6-10 Years</v>
      </c>
    </row>
    <row r="988" spans="1:44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46</v>
      </c>
      <c r="L988">
        <v>44</v>
      </c>
      <c r="M988">
        <v>2</v>
      </c>
      <c r="N988">
        <v>2</v>
      </c>
      <c r="O988" t="s">
        <v>40</v>
      </c>
      <c r="P988">
        <v>4</v>
      </c>
      <c r="Q988" t="s">
        <v>48</v>
      </c>
      <c r="R988">
        <v>6120</v>
      </c>
      <c r="S988">
        <v>3</v>
      </c>
      <c r="T988" t="s">
        <v>35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  <c r="AF988">
        <f t="shared" si="195"/>
        <v>0</v>
      </c>
      <c r="AG988">
        <f t="shared" si="196"/>
        <v>1</v>
      </c>
      <c r="AH988" t="str">
        <f t="shared" si="197"/>
        <v>Master</v>
      </c>
      <c r="AI988" t="str">
        <f t="shared" si="198"/>
        <v>Low</v>
      </c>
      <c r="AJ988" t="str">
        <f t="shared" si="199"/>
        <v>Medium</v>
      </c>
      <c r="AK988" t="str">
        <f t="shared" si="200"/>
        <v>Junior</v>
      </c>
      <c r="AL988" t="str">
        <f t="shared" si="201"/>
        <v>Very High</v>
      </c>
      <c r="AM988" t="str">
        <f t="shared" si="202"/>
        <v>Very High</v>
      </c>
      <c r="AN988" t="str">
        <f t="shared" si="203"/>
        <v>Medium</v>
      </c>
      <c r="AO988" t="str">
        <f t="shared" si="204"/>
        <v>Best</v>
      </c>
      <c r="AP988" t="str">
        <f t="shared" si="205"/>
        <v>35-44</v>
      </c>
      <c r="AQ988" t="str">
        <f t="shared" si="206"/>
        <v>Lower-Mid</v>
      </c>
      <c r="AR988" t="str">
        <f t="shared" si="207"/>
        <v>3-5 Years</v>
      </c>
    </row>
    <row r="989" spans="1:44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t="s">
        <v>46</v>
      </c>
      <c r="L989">
        <v>52</v>
      </c>
      <c r="M989">
        <v>3</v>
      </c>
      <c r="N989">
        <v>3</v>
      </c>
      <c r="O989" t="s">
        <v>40</v>
      </c>
      <c r="P989">
        <v>2</v>
      </c>
      <c r="Q989" t="s">
        <v>48</v>
      </c>
      <c r="R989">
        <v>10596</v>
      </c>
      <c r="S989">
        <v>2</v>
      </c>
      <c r="T989" t="s">
        <v>43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  <c r="AF989">
        <f t="shared" si="195"/>
        <v>0</v>
      </c>
      <c r="AG989">
        <f t="shared" si="196"/>
        <v>0</v>
      </c>
      <c r="AH989" t="str">
        <f t="shared" si="197"/>
        <v>Bachelor</v>
      </c>
      <c r="AI989" t="str">
        <f t="shared" si="198"/>
        <v>Medium</v>
      </c>
      <c r="AJ989" t="str">
        <f t="shared" si="199"/>
        <v>High</v>
      </c>
      <c r="AK989" t="str">
        <f t="shared" si="200"/>
        <v>Mid-Level</v>
      </c>
      <c r="AL989" t="str">
        <f t="shared" si="201"/>
        <v>Medium</v>
      </c>
      <c r="AM989" t="str">
        <f t="shared" si="202"/>
        <v>Medium</v>
      </c>
      <c r="AN989" t="str">
        <f t="shared" si="203"/>
        <v>No Options</v>
      </c>
      <c r="AO989" t="str">
        <f t="shared" si="204"/>
        <v>Better</v>
      </c>
      <c r="AP989" t="str">
        <f t="shared" si="205"/>
        <v>45-54</v>
      </c>
      <c r="AQ989" t="str">
        <f t="shared" si="206"/>
        <v>Upper-Mid</v>
      </c>
      <c r="AR989" t="str">
        <f t="shared" si="207"/>
        <v>3-5 Years</v>
      </c>
    </row>
    <row r="990" spans="1:44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75</v>
      </c>
      <c r="M990">
        <v>3</v>
      </c>
      <c r="N990">
        <v>2</v>
      </c>
      <c r="O990" t="s">
        <v>47</v>
      </c>
      <c r="P990">
        <v>4</v>
      </c>
      <c r="Q990" t="s">
        <v>52</v>
      </c>
      <c r="R990">
        <v>5467</v>
      </c>
      <c r="S990">
        <v>3</v>
      </c>
      <c r="T990" t="s">
        <v>35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  <c r="AF990">
        <f t="shared" si="195"/>
        <v>0</v>
      </c>
      <c r="AG990">
        <f t="shared" si="196"/>
        <v>1</v>
      </c>
      <c r="AH990" t="str">
        <f t="shared" si="197"/>
        <v>Bachelor</v>
      </c>
      <c r="AI990" t="str">
        <f t="shared" si="198"/>
        <v>Very High</v>
      </c>
      <c r="AJ990" t="str">
        <f t="shared" si="199"/>
        <v>High</v>
      </c>
      <c r="AK990" t="str">
        <f t="shared" si="200"/>
        <v>Junior</v>
      </c>
      <c r="AL990" t="str">
        <f t="shared" si="201"/>
        <v>Very High</v>
      </c>
      <c r="AM990" t="str">
        <f t="shared" si="202"/>
        <v>Low</v>
      </c>
      <c r="AN990" t="str">
        <f t="shared" si="203"/>
        <v>Medium</v>
      </c>
      <c r="AO990" t="str">
        <f t="shared" si="204"/>
        <v>Good</v>
      </c>
      <c r="AP990" t="str">
        <f t="shared" si="205"/>
        <v>35-44</v>
      </c>
      <c r="AQ990" t="str">
        <f t="shared" si="206"/>
        <v>Lower-Mid</v>
      </c>
      <c r="AR990" t="str">
        <f t="shared" si="207"/>
        <v>6-10 Years</v>
      </c>
    </row>
    <row r="991" spans="1:44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46</v>
      </c>
      <c r="L991">
        <v>54</v>
      </c>
      <c r="M991">
        <v>3</v>
      </c>
      <c r="N991">
        <v>1</v>
      </c>
      <c r="O991" t="s">
        <v>47</v>
      </c>
      <c r="P991">
        <v>3</v>
      </c>
      <c r="Q991" t="s">
        <v>48</v>
      </c>
      <c r="R991">
        <v>2996</v>
      </c>
      <c r="S991">
        <v>7</v>
      </c>
      <c r="T991" t="s">
        <v>35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  <c r="AF991">
        <f t="shared" si="195"/>
        <v>0</v>
      </c>
      <c r="AG991">
        <f t="shared" si="196"/>
        <v>1</v>
      </c>
      <c r="AH991" t="str">
        <f t="shared" si="197"/>
        <v>Below College</v>
      </c>
      <c r="AI991" t="str">
        <f t="shared" si="198"/>
        <v>High</v>
      </c>
      <c r="AJ991" t="str">
        <f t="shared" si="199"/>
        <v>High</v>
      </c>
      <c r="AK991" t="str">
        <f t="shared" si="200"/>
        <v>Entry</v>
      </c>
      <c r="AL991" t="str">
        <f t="shared" si="201"/>
        <v>High</v>
      </c>
      <c r="AM991" t="str">
        <f t="shared" si="202"/>
        <v>Very High</v>
      </c>
      <c r="AN991" t="str">
        <f t="shared" si="203"/>
        <v>No Options</v>
      </c>
      <c r="AO991" t="str">
        <f t="shared" si="204"/>
        <v>Better</v>
      </c>
      <c r="AP991" t="str">
        <f t="shared" si="205"/>
        <v>35-44</v>
      </c>
      <c r="AQ991" t="str">
        <f t="shared" si="206"/>
        <v>Low</v>
      </c>
      <c r="AR991" t="str">
        <f t="shared" si="207"/>
        <v>6-10 Years</v>
      </c>
    </row>
    <row r="992" spans="1:44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46</v>
      </c>
      <c r="L992">
        <v>61</v>
      </c>
      <c r="M992">
        <v>3</v>
      </c>
      <c r="N992">
        <v>2</v>
      </c>
      <c r="O992" t="s">
        <v>40</v>
      </c>
      <c r="P992">
        <v>4</v>
      </c>
      <c r="Q992" t="s">
        <v>48</v>
      </c>
      <c r="R992">
        <v>9998</v>
      </c>
      <c r="S992">
        <v>6</v>
      </c>
      <c r="T992" t="s">
        <v>43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  <c r="AF992">
        <f t="shared" si="195"/>
        <v>0</v>
      </c>
      <c r="AG992">
        <f t="shared" si="196"/>
        <v>0</v>
      </c>
      <c r="AH992" t="str">
        <f t="shared" si="197"/>
        <v>Below College</v>
      </c>
      <c r="AI992" t="str">
        <f t="shared" si="198"/>
        <v>Medium</v>
      </c>
      <c r="AJ992" t="str">
        <f t="shared" si="199"/>
        <v>High</v>
      </c>
      <c r="AK992" t="str">
        <f t="shared" si="200"/>
        <v>Junior</v>
      </c>
      <c r="AL992" t="str">
        <f t="shared" si="201"/>
        <v>Very High</v>
      </c>
      <c r="AM992" t="str">
        <f t="shared" si="202"/>
        <v>Low</v>
      </c>
      <c r="AN992" t="str">
        <f t="shared" si="203"/>
        <v>No Options</v>
      </c>
      <c r="AO992" t="str">
        <f t="shared" si="204"/>
        <v>Best</v>
      </c>
      <c r="AP992" t="str">
        <f t="shared" si="205"/>
        <v>25-34</v>
      </c>
      <c r="AQ992" t="str">
        <f t="shared" si="206"/>
        <v>Upper-Mid</v>
      </c>
      <c r="AR992" t="str">
        <f t="shared" si="207"/>
        <v>3-5 Years</v>
      </c>
    </row>
    <row r="993" spans="1:44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t="s">
        <v>46</v>
      </c>
      <c r="L993">
        <v>36</v>
      </c>
      <c r="M993">
        <v>3</v>
      </c>
      <c r="N993">
        <v>2</v>
      </c>
      <c r="O993" t="s">
        <v>40</v>
      </c>
      <c r="P993">
        <v>2</v>
      </c>
      <c r="Q993" t="s">
        <v>48</v>
      </c>
      <c r="R993">
        <v>4078</v>
      </c>
      <c r="S993">
        <v>0</v>
      </c>
      <c r="T993" t="s">
        <v>35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  <c r="AF993">
        <f t="shared" si="195"/>
        <v>0</v>
      </c>
      <c r="AG993">
        <f t="shared" si="196"/>
        <v>1</v>
      </c>
      <c r="AH993" t="str">
        <f t="shared" si="197"/>
        <v>Below College</v>
      </c>
      <c r="AI993" t="str">
        <f t="shared" si="198"/>
        <v>High</v>
      </c>
      <c r="AJ993" t="str">
        <f t="shared" si="199"/>
        <v>High</v>
      </c>
      <c r="AK993" t="str">
        <f t="shared" si="200"/>
        <v>Junior</v>
      </c>
      <c r="AL993" t="str">
        <f t="shared" si="201"/>
        <v>Medium</v>
      </c>
      <c r="AM993" t="str">
        <f t="shared" si="202"/>
        <v>Low</v>
      </c>
      <c r="AN993" t="str">
        <f t="shared" si="203"/>
        <v>High</v>
      </c>
      <c r="AO993" t="str">
        <f t="shared" si="204"/>
        <v>Good</v>
      </c>
      <c r="AP993" t="str">
        <f t="shared" si="205"/>
        <v>25-34</v>
      </c>
      <c r="AQ993" t="str">
        <f t="shared" si="206"/>
        <v>Lower-Mid</v>
      </c>
      <c r="AR993" t="str">
        <f t="shared" si="207"/>
        <v>3-5 Years</v>
      </c>
    </row>
    <row r="994" spans="1:44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46</v>
      </c>
      <c r="L994">
        <v>71</v>
      </c>
      <c r="M994">
        <v>3</v>
      </c>
      <c r="N994">
        <v>3</v>
      </c>
      <c r="O994" t="s">
        <v>54</v>
      </c>
      <c r="P994">
        <v>3</v>
      </c>
      <c r="Q994" t="s">
        <v>48</v>
      </c>
      <c r="R994">
        <v>10920</v>
      </c>
      <c r="S994">
        <v>3</v>
      </c>
      <c r="T994" t="s">
        <v>43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  <c r="AF994">
        <f t="shared" si="195"/>
        <v>0</v>
      </c>
      <c r="AG994">
        <f t="shared" si="196"/>
        <v>0</v>
      </c>
      <c r="AH994" t="str">
        <f t="shared" si="197"/>
        <v>College</v>
      </c>
      <c r="AI994" t="str">
        <f t="shared" si="198"/>
        <v>High</v>
      </c>
      <c r="AJ994" t="str">
        <f t="shared" si="199"/>
        <v>High</v>
      </c>
      <c r="AK994" t="str">
        <f t="shared" si="200"/>
        <v>Mid-Level</v>
      </c>
      <c r="AL994" t="str">
        <f t="shared" si="201"/>
        <v>High</v>
      </c>
      <c r="AM994" t="str">
        <f t="shared" si="202"/>
        <v>Medium</v>
      </c>
      <c r="AN994" t="str">
        <f t="shared" si="203"/>
        <v>Low</v>
      </c>
      <c r="AO994" t="str">
        <f t="shared" si="204"/>
        <v>Better</v>
      </c>
      <c r="AP994" t="str">
        <f t="shared" si="205"/>
        <v>35-44</v>
      </c>
      <c r="AQ994" t="str">
        <f t="shared" si="206"/>
        <v>Upper-Mid</v>
      </c>
      <c r="AR994" t="str">
        <f t="shared" si="207"/>
        <v>6-10 Years</v>
      </c>
    </row>
    <row r="995" spans="1:44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46</v>
      </c>
      <c r="L995">
        <v>93</v>
      </c>
      <c r="M995">
        <v>4</v>
      </c>
      <c r="N995">
        <v>2</v>
      </c>
      <c r="O995" t="s">
        <v>40</v>
      </c>
      <c r="P995">
        <v>3</v>
      </c>
      <c r="Q995" t="s">
        <v>48</v>
      </c>
      <c r="R995">
        <v>6232</v>
      </c>
      <c r="S995">
        <v>2</v>
      </c>
      <c r="T995" t="s">
        <v>43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  <c r="AF995">
        <f t="shared" si="195"/>
        <v>0</v>
      </c>
      <c r="AG995">
        <f t="shared" si="196"/>
        <v>0</v>
      </c>
      <c r="AH995" t="str">
        <f t="shared" si="197"/>
        <v>Below College</v>
      </c>
      <c r="AI995" t="str">
        <f t="shared" si="198"/>
        <v>Low</v>
      </c>
      <c r="AJ995" t="str">
        <f t="shared" si="199"/>
        <v>Very High</v>
      </c>
      <c r="AK995" t="str">
        <f t="shared" si="200"/>
        <v>Junior</v>
      </c>
      <c r="AL995" t="str">
        <f t="shared" si="201"/>
        <v>High</v>
      </c>
      <c r="AM995" t="str">
        <f t="shared" si="202"/>
        <v>Medium</v>
      </c>
      <c r="AN995" t="str">
        <f t="shared" si="203"/>
        <v>No Options</v>
      </c>
      <c r="AO995" t="str">
        <f t="shared" si="204"/>
        <v>Good</v>
      </c>
      <c r="AP995" t="str">
        <f t="shared" si="205"/>
        <v>25-34</v>
      </c>
      <c r="AQ995" t="str">
        <f t="shared" si="206"/>
        <v>Lower-Mid</v>
      </c>
      <c r="AR995" t="str">
        <f t="shared" si="207"/>
        <v>3-5 Years</v>
      </c>
    </row>
    <row r="996" spans="1:44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39</v>
      </c>
      <c r="L996">
        <v>59</v>
      </c>
      <c r="M996">
        <v>4</v>
      </c>
      <c r="N996">
        <v>4</v>
      </c>
      <c r="O996" t="s">
        <v>53</v>
      </c>
      <c r="P996">
        <v>3</v>
      </c>
      <c r="Q996" t="s">
        <v>48</v>
      </c>
      <c r="R996">
        <v>13247</v>
      </c>
      <c r="S996">
        <v>2</v>
      </c>
      <c r="T996" t="s">
        <v>35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  <c r="AF996">
        <f t="shared" si="195"/>
        <v>0</v>
      </c>
      <c r="AG996">
        <f t="shared" si="196"/>
        <v>1</v>
      </c>
      <c r="AH996" t="str">
        <f t="shared" si="197"/>
        <v>College</v>
      </c>
      <c r="AI996" t="str">
        <f t="shared" si="198"/>
        <v>Very High</v>
      </c>
      <c r="AJ996" t="str">
        <f t="shared" si="199"/>
        <v>Very High</v>
      </c>
      <c r="AK996" t="str">
        <f t="shared" si="200"/>
        <v>Senior</v>
      </c>
      <c r="AL996" t="str">
        <f t="shared" si="201"/>
        <v>High</v>
      </c>
      <c r="AM996" t="str">
        <f t="shared" si="202"/>
        <v>Medium</v>
      </c>
      <c r="AN996" t="str">
        <f t="shared" si="203"/>
        <v>Low</v>
      </c>
      <c r="AO996" t="str">
        <f t="shared" si="204"/>
        <v>Good</v>
      </c>
      <c r="AP996" t="str">
        <f t="shared" si="205"/>
        <v>45-54</v>
      </c>
      <c r="AQ996" t="str">
        <f t="shared" si="206"/>
        <v>High</v>
      </c>
      <c r="AR996" t="str">
        <f t="shared" si="207"/>
        <v>3-5 Years</v>
      </c>
    </row>
    <row r="997" spans="1:44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39</v>
      </c>
      <c r="L997">
        <v>73</v>
      </c>
      <c r="M997">
        <v>2</v>
      </c>
      <c r="N997">
        <v>2</v>
      </c>
      <c r="O997" t="s">
        <v>47</v>
      </c>
      <c r="P997">
        <v>3</v>
      </c>
      <c r="Q997" t="s">
        <v>41</v>
      </c>
      <c r="R997">
        <v>4081</v>
      </c>
      <c r="S997">
        <v>1</v>
      </c>
      <c r="T997" t="s">
        <v>35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  <c r="AF997">
        <f t="shared" si="195"/>
        <v>0</v>
      </c>
      <c r="AG997">
        <f t="shared" si="196"/>
        <v>1</v>
      </c>
      <c r="AH997" t="str">
        <f t="shared" si="197"/>
        <v>Bachelor</v>
      </c>
      <c r="AI997" t="str">
        <f t="shared" si="198"/>
        <v>Low</v>
      </c>
      <c r="AJ997" t="str">
        <f t="shared" si="199"/>
        <v>Medium</v>
      </c>
      <c r="AK997" t="str">
        <f t="shared" si="200"/>
        <v>Junior</v>
      </c>
      <c r="AL997" t="str">
        <f t="shared" si="201"/>
        <v>High</v>
      </c>
      <c r="AM997" t="str">
        <f t="shared" si="202"/>
        <v>Low</v>
      </c>
      <c r="AN997" t="str">
        <f t="shared" si="203"/>
        <v>No Options</v>
      </c>
      <c r="AO997" t="str">
        <f t="shared" si="204"/>
        <v>Bad</v>
      </c>
      <c r="AP997" t="str">
        <f t="shared" si="205"/>
        <v>35-44</v>
      </c>
      <c r="AQ997" t="str">
        <f t="shared" si="206"/>
        <v>Lower-Mid</v>
      </c>
      <c r="AR997" t="str">
        <f t="shared" si="207"/>
        <v>11-20 Years</v>
      </c>
    </row>
    <row r="998" spans="1:44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t="s">
        <v>39</v>
      </c>
      <c r="L998">
        <v>98</v>
      </c>
      <c r="M998">
        <v>2</v>
      </c>
      <c r="N998">
        <v>2</v>
      </c>
      <c r="O998" t="s">
        <v>40</v>
      </c>
      <c r="P998">
        <v>4</v>
      </c>
      <c r="Q998" t="s">
        <v>48</v>
      </c>
      <c r="R998">
        <v>5769</v>
      </c>
      <c r="S998">
        <v>1</v>
      </c>
      <c r="T998" t="s">
        <v>35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  <c r="AF998">
        <f t="shared" si="195"/>
        <v>0</v>
      </c>
      <c r="AG998">
        <f t="shared" si="196"/>
        <v>1</v>
      </c>
      <c r="AH998" t="str">
        <f t="shared" si="197"/>
        <v>Bachelor</v>
      </c>
      <c r="AI998" t="str">
        <f t="shared" si="198"/>
        <v>Very High</v>
      </c>
      <c r="AJ998" t="str">
        <f t="shared" si="199"/>
        <v>Medium</v>
      </c>
      <c r="AK998" t="str">
        <f t="shared" si="200"/>
        <v>Junior</v>
      </c>
      <c r="AL998" t="str">
        <f t="shared" si="201"/>
        <v>Very High</v>
      </c>
      <c r="AM998" t="str">
        <f t="shared" si="202"/>
        <v>Very High</v>
      </c>
      <c r="AN998" t="str">
        <f t="shared" si="203"/>
        <v>No Options</v>
      </c>
      <c r="AO998" t="str">
        <f t="shared" si="204"/>
        <v>Better</v>
      </c>
      <c r="AP998" t="str">
        <f t="shared" si="205"/>
        <v>25-34</v>
      </c>
      <c r="AQ998" t="str">
        <f t="shared" si="206"/>
        <v>Lower-Mid</v>
      </c>
      <c r="AR998" t="str">
        <f t="shared" si="207"/>
        <v>6-10 Years</v>
      </c>
    </row>
    <row r="999" spans="1:44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51</v>
      </c>
      <c r="M999">
        <v>3</v>
      </c>
      <c r="N999">
        <v>1</v>
      </c>
      <c r="O999" t="s">
        <v>47</v>
      </c>
      <c r="P999">
        <v>3</v>
      </c>
      <c r="Q999" t="s">
        <v>41</v>
      </c>
      <c r="R999">
        <v>2394</v>
      </c>
      <c r="S999">
        <v>1</v>
      </c>
      <c r="T999" t="s">
        <v>35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  <c r="AF999">
        <f t="shared" si="195"/>
        <v>1</v>
      </c>
      <c r="AG999">
        <f t="shared" si="196"/>
        <v>1</v>
      </c>
      <c r="AH999" t="str">
        <f t="shared" si="197"/>
        <v>Master</v>
      </c>
      <c r="AI999" t="str">
        <f t="shared" si="198"/>
        <v>Very High</v>
      </c>
      <c r="AJ999" t="str">
        <f t="shared" si="199"/>
        <v>High</v>
      </c>
      <c r="AK999" t="str">
        <f t="shared" si="200"/>
        <v>Entry</v>
      </c>
      <c r="AL999" t="str">
        <f t="shared" si="201"/>
        <v>High</v>
      </c>
      <c r="AM999" t="str">
        <f t="shared" si="202"/>
        <v>Very High</v>
      </c>
      <c r="AN999" t="str">
        <f t="shared" si="203"/>
        <v>No Options</v>
      </c>
      <c r="AO999" t="str">
        <f t="shared" si="204"/>
        <v>Better</v>
      </c>
      <c r="AP999" t="str">
        <f t="shared" si="205"/>
        <v>25-34</v>
      </c>
      <c r="AQ999" t="str">
        <f t="shared" si="206"/>
        <v>Low</v>
      </c>
      <c r="AR999" t="str">
        <f t="shared" si="207"/>
        <v>6-10 Years</v>
      </c>
    </row>
    <row r="1000" spans="1:44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46</v>
      </c>
      <c r="L1000">
        <v>36</v>
      </c>
      <c r="M1000">
        <v>2</v>
      </c>
      <c r="N1000">
        <v>1</v>
      </c>
      <c r="O1000" t="s">
        <v>47</v>
      </c>
      <c r="P1000">
        <v>4</v>
      </c>
      <c r="Q1000" t="s">
        <v>41</v>
      </c>
      <c r="R1000">
        <v>3904</v>
      </c>
      <c r="S1000">
        <v>0</v>
      </c>
      <c r="T1000" t="s">
        <v>43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  <c r="AF1000">
        <f t="shared" si="195"/>
        <v>0</v>
      </c>
      <c r="AG1000">
        <f t="shared" si="196"/>
        <v>0</v>
      </c>
      <c r="AH1000" t="str">
        <f t="shared" si="197"/>
        <v>Below College</v>
      </c>
      <c r="AI1000" t="str">
        <f t="shared" si="198"/>
        <v>Low</v>
      </c>
      <c r="AJ1000" t="str">
        <f t="shared" si="199"/>
        <v>Medium</v>
      </c>
      <c r="AK1000" t="str">
        <f t="shared" si="200"/>
        <v>Entry</v>
      </c>
      <c r="AL1000" t="str">
        <f t="shared" si="201"/>
        <v>Very High</v>
      </c>
      <c r="AM1000" t="str">
        <f t="shared" si="202"/>
        <v>Very High</v>
      </c>
      <c r="AN1000" t="str">
        <f t="shared" si="203"/>
        <v>No Options</v>
      </c>
      <c r="AO1000" t="str">
        <f t="shared" si="204"/>
        <v>Better</v>
      </c>
      <c r="AP1000" t="str">
        <f t="shared" si="205"/>
        <v>25-34</v>
      </c>
      <c r="AQ1000" t="str">
        <f t="shared" si="206"/>
        <v>Lower-Mid</v>
      </c>
      <c r="AR1000" t="str">
        <f t="shared" si="207"/>
        <v>3-5 Years</v>
      </c>
    </row>
    <row r="1001" spans="1:44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t="s">
        <v>39</v>
      </c>
      <c r="L1001">
        <v>31</v>
      </c>
      <c r="M1001">
        <v>3</v>
      </c>
      <c r="N1001">
        <v>4</v>
      </c>
      <c r="O1001" t="s">
        <v>56</v>
      </c>
      <c r="P1001">
        <v>1</v>
      </c>
      <c r="Q1001" t="s">
        <v>48</v>
      </c>
      <c r="R1001">
        <v>16799</v>
      </c>
      <c r="S1001">
        <v>0</v>
      </c>
      <c r="T1001" t="s">
        <v>43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  <c r="AF1001">
        <f t="shared" si="195"/>
        <v>0</v>
      </c>
      <c r="AG1001">
        <f t="shared" si="196"/>
        <v>0</v>
      </c>
      <c r="AH1001" t="str">
        <f t="shared" si="197"/>
        <v>Bachelor</v>
      </c>
      <c r="AI1001" t="str">
        <f t="shared" si="198"/>
        <v>High</v>
      </c>
      <c r="AJ1001" t="str">
        <f t="shared" si="199"/>
        <v>High</v>
      </c>
      <c r="AK1001" t="str">
        <f t="shared" si="200"/>
        <v>Senior</v>
      </c>
      <c r="AL1001" t="str">
        <f t="shared" si="201"/>
        <v>Low</v>
      </c>
      <c r="AM1001" t="str">
        <f t="shared" si="202"/>
        <v>High</v>
      </c>
      <c r="AN1001" t="str">
        <f t="shared" si="203"/>
        <v>Low</v>
      </c>
      <c r="AO1001" t="str">
        <f t="shared" si="204"/>
        <v>Better</v>
      </c>
      <c r="AP1001" t="str">
        <f t="shared" si="205"/>
        <v>35-44</v>
      </c>
      <c r="AQ1001" t="str">
        <f t="shared" si="206"/>
        <v>High</v>
      </c>
      <c r="AR1001" t="str">
        <f t="shared" si="207"/>
        <v>11-20 Years</v>
      </c>
    </row>
    <row r="1002" spans="1:44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39</v>
      </c>
      <c r="L1002">
        <v>54</v>
      </c>
      <c r="M1002">
        <v>3</v>
      </c>
      <c r="N1002">
        <v>1</v>
      </c>
      <c r="O1002" t="s">
        <v>50</v>
      </c>
      <c r="P1002">
        <v>1</v>
      </c>
      <c r="Q1002" t="s">
        <v>48</v>
      </c>
      <c r="R1002">
        <v>2950</v>
      </c>
      <c r="S1002">
        <v>9</v>
      </c>
      <c r="T1002" t="s">
        <v>43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  <c r="AF1002">
        <f t="shared" si="195"/>
        <v>0</v>
      </c>
      <c r="AG1002">
        <f t="shared" si="196"/>
        <v>0</v>
      </c>
      <c r="AH1002" t="str">
        <f t="shared" si="197"/>
        <v>Master</v>
      </c>
      <c r="AI1002" t="str">
        <f t="shared" si="198"/>
        <v>High</v>
      </c>
      <c r="AJ1002" t="str">
        <f t="shared" si="199"/>
        <v>High</v>
      </c>
      <c r="AK1002" t="str">
        <f t="shared" si="200"/>
        <v>Entry</v>
      </c>
      <c r="AL1002" t="str">
        <f t="shared" si="201"/>
        <v>Low</v>
      </c>
      <c r="AM1002" t="str">
        <f t="shared" si="202"/>
        <v>High</v>
      </c>
      <c r="AN1002" t="str">
        <f t="shared" si="203"/>
        <v>No Options</v>
      </c>
      <c r="AO1002" t="str">
        <f t="shared" si="204"/>
        <v>Bad</v>
      </c>
      <c r="AP1002" t="str">
        <f t="shared" si="205"/>
        <v>45-54</v>
      </c>
      <c r="AQ1002" t="str">
        <f t="shared" si="206"/>
        <v>Low</v>
      </c>
      <c r="AR1002" t="str">
        <f t="shared" si="207"/>
        <v>3-5 Years</v>
      </c>
    </row>
    <row r="1003" spans="1:44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39</v>
      </c>
      <c r="L1003">
        <v>94</v>
      </c>
      <c r="M1003">
        <v>3</v>
      </c>
      <c r="N1003">
        <v>1</v>
      </c>
      <c r="O1003" t="s">
        <v>50</v>
      </c>
      <c r="P1003">
        <v>3</v>
      </c>
      <c r="Q1003" t="s">
        <v>41</v>
      </c>
      <c r="R1003">
        <v>3629</v>
      </c>
      <c r="S1003">
        <v>4</v>
      </c>
      <c r="T1003" t="s">
        <v>43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  <c r="AF1003">
        <f t="shared" si="195"/>
        <v>0</v>
      </c>
      <c r="AG1003">
        <f t="shared" si="196"/>
        <v>0</v>
      </c>
      <c r="AH1003" t="str">
        <f t="shared" si="197"/>
        <v>Bachelor</v>
      </c>
      <c r="AI1003" t="str">
        <f t="shared" si="198"/>
        <v>Low</v>
      </c>
      <c r="AJ1003" t="str">
        <f t="shared" si="199"/>
        <v>High</v>
      </c>
      <c r="AK1003" t="str">
        <f t="shared" si="200"/>
        <v>Entry</v>
      </c>
      <c r="AL1003" t="str">
        <f t="shared" si="201"/>
        <v>High</v>
      </c>
      <c r="AM1003" t="str">
        <f t="shared" si="202"/>
        <v>Low</v>
      </c>
      <c r="AN1003" t="str">
        <f t="shared" si="203"/>
        <v>No Options</v>
      </c>
      <c r="AO1003" t="str">
        <f t="shared" si="204"/>
        <v>Better</v>
      </c>
      <c r="AP1003" t="str">
        <f t="shared" si="205"/>
        <v>35-44</v>
      </c>
      <c r="AQ1003" t="str">
        <f t="shared" si="206"/>
        <v>Lower-Mid</v>
      </c>
      <c r="AR1003" t="str">
        <f t="shared" si="207"/>
        <v>3-5 Years</v>
      </c>
    </row>
    <row r="1004" spans="1:44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46</v>
      </c>
      <c r="L1004">
        <v>60</v>
      </c>
      <c r="M1004">
        <v>3</v>
      </c>
      <c r="N1004">
        <v>3</v>
      </c>
      <c r="O1004" t="s">
        <v>53</v>
      </c>
      <c r="P1004">
        <v>4</v>
      </c>
      <c r="Q1004" t="s">
        <v>41</v>
      </c>
      <c r="R1004">
        <v>9362</v>
      </c>
      <c r="S1004">
        <v>2</v>
      </c>
      <c r="T1004" t="s">
        <v>43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  <c r="AF1004">
        <f t="shared" si="195"/>
        <v>0</v>
      </c>
      <c r="AG1004">
        <f t="shared" si="196"/>
        <v>0</v>
      </c>
      <c r="AH1004" t="str">
        <f t="shared" si="197"/>
        <v>College</v>
      </c>
      <c r="AI1004" t="str">
        <f t="shared" si="198"/>
        <v>High</v>
      </c>
      <c r="AJ1004" t="str">
        <f t="shared" si="199"/>
        <v>High</v>
      </c>
      <c r="AK1004" t="str">
        <f t="shared" si="200"/>
        <v>Mid-Level</v>
      </c>
      <c r="AL1004" t="str">
        <f t="shared" si="201"/>
        <v>Very High</v>
      </c>
      <c r="AM1004" t="str">
        <f t="shared" si="202"/>
        <v>High</v>
      </c>
      <c r="AN1004" t="str">
        <f t="shared" si="203"/>
        <v>No Options</v>
      </c>
      <c r="AO1004" t="str">
        <f t="shared" si="204"/>
        <v>Better</v>
      </c>
      <c r="AP1004" t="str">
        <f t="shared" si="205"/>
        <v>35-44</v>
      </c>
      <c r="AQ1004" t="str">
        <f t="shared" si="206"/>
        <v>Upper-Mid</v>
      </c>
      <c r="AR1004" t="str">
        <f t="shared" si="207"/>
        <v>0-2 Years</v>
      </c>
    </row>
    <row r="1005" spans="1:44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t="s">
        <v>46</v>
      </c>
      <c r="L1005">
        <v>81</v>
      </c>
      <c r="M1005">
        <v>3</v>
      </c>
      <c r="N1005">
        <v>1</v>
      </c>
      <c r="O1005" t="s">
        <v>50</v>
      </c>
      <c r="P1005">
        <v>4</v>
      </c>
      <c r="Q1005" t="s">
        <v>48</v>
      </c>
      <c r="R1005">
        <v>3229</v>
      </c>
      <c r="S1005">
        <v>4</v>
      </c>
      <c r="T1005" t="s">
        <v>43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  <c r="AF1005">
        <f t="shared" si="195"/>
        <v>0</v>
      </c>
      <c r="AG1005">
        <f t="shared" si="196"/>
        <v>0</v>
      </c>
      <c r="AH1005" t="str">
        <f t="shared" si="197"/>
        <v>Bachelor</v>
      </c>
      <c r="AI1005" t="str">
        <f t="shared" si="198"/>
        <v>Low</v>
      </c>
      <c r="AJ1005" t="str">
        <f t="shared" si="199"/>
        <v>High</v>
      </c>
      <c r="AK1005" t="str">
        <f t="shared" si="200"/>
        <v>Entry</v>
      </c>
      <c r="AL1005" t="str">
        <f t="shared" si="201"/>
        <v>Very High</v>
      </c>
      <c r="AM1005" t="str">
        <f t="shared" si="202"/>
        <v>Medium</v>
      </c>
      <c r="AN1005" t="str">
        <f t="shared" si="203"/>
        <v>Low</v>
      </c>
      <c r="AO1005" t="str">
        <f t="shared" si="204"/>
        <v>Good</v>
      </c>
      <c r="AP1005" t="str">
        <f t="shared" si="205"/>
        <v>25-34</v>
      </c>
      <c r="AQ1005" t="str">
        <f t="shared" si="206"/>
        <v>Lower-Mid</v>
      </c>
      <c r="AR1005" t="str">
        <f t="shared" si="207"/>
        <v>3-5 Years</v>
      </c>
    </row>
    <row r="1006" spans="1:44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100</v>
      </c>
      <c r="M1006">
        <v>4</v>
      </c>
      <c r="N1006">
        <v>1</v>
      </c>
      <c r="O1006" t="s">
        <v>50</v>
      </c>
      <c r="P1006">
        <v>1</v>
      </c>
      <c r="Q1006" t="s">
        <v>41</v>
      </c>
      <c r="R1006">
        <v>3578</v>
      </c>
      <c r="S1006">
        <v>0</v>
      </c>
      <c r="T1006" t="s">
        <v>43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  <c r="AF1006">
        <f t="shared" si="195"/>
        <v>0</v>
      </c>
      <c r="AG1006">
        <f t="shared" si="196"/>
        <v>0</v>
      </c>
      <c r="AH1006" t="str">
        <f t="shared" si="197"/>
        <v>Bachelor</v>
      </c>
      <c r="AI1006" t="str">
        <f t="shared" si="198"/>
        <v>High</v>
      </c>
      <c r="AJ1006" t="str">
        <f t="shared" si="199"/>
        <v>Very High</v>
      </c>
      <c r="AK1006" t="str">
        <f t="shared" si="200"/>
        <v>Entry</v>
      </c>
      <c r="AL1006" t="str">
        <f t="shared" si="201"/>
        <v>Low</v>
      </c>
      <c r="AM1006" t="str">
        <f t="shared" si="202"/>
        <v>Very High</v>
      </c>
      <c r="AN1006" t="str">
        <f t="shared" si="203"/>
        <v>No Options</v>
      </c>
      <c r="AO1006" t="str">
        <f t="shared" si="204"/>
        <v>Better</v>
      </c>
      <c r="AP1006" t="str">
        <f t="shared" si="205"/>
        <v>25-34</v>
      </c>
      <c r="AQ1006" t="str">
        <f t="shared" si="206"/>
        <v>Lower-Mid</v>
      </c>
      <c r="AR1006" t="str">
        <f t="shared" si="207"/>
        <v>6-10 Years</v>
      </c>
    </row>
    <row r="1007" spans="1:44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51</v>
      </c>
      <c r="M1007">
        <v>2</v>
      </c>
      <c r="N1007">
        <v>3</v>
      </c>
      <c r="O1007" t="s">
        <v>61</v>
      </c>
      <c r="P1007">
        <v>1</v>
      </c>
      <c r="Q1007" t="s">
        <v>41</v>
      </c>
      <c r="R1007">
        <v>7988</v>
      </c>
      <c r="S1007">
        <v>1</v>
      </c>
      <c r="T1007" t="s">
        <v>43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  <c r="AF1007">
        <f t="shared" si="195"/>
        <v>0</v>
      </c>
      <c r="AG1007">
        <f t="shared" si="196"/>
        <v>0</v>
      </c>
      <c r="AH1007" t="str">
        <f t="shared" si="197"/>
        <v>Bachelor</v>
      </c>
      <c r="AI1007" t="str">
        <f t="shared" si="198"/>
        <v>Medium</v>
      </c>
      <c r="AJ1007" t="str">
        <f t="shared" si="199"/>
        <v>Medium</v>
      </c>
      <c r="AK1007" t="str">
        <f t="shared" si="200"/>
        <v>Mid-Level</v>
      </c>
      <c r="AL1007" t="str">
        <f t="shared" si="201"/>
        <v>Low</v>
      </c>
      <c r="AM1007" t="str">
        <f t="shared" si="202"/>
        <v>Low</v>
      </c>
      <c r="AN1007" t="str">
        <f t="shared" si="203"/>
        <v>No Options</v>
      </c>
      <c r="AO1007" t="str">
        <f t="shared" si="204"/>
        <v>Good</v>
      </c>
      <c r="AP1007" t="str">
        <f t="shared" si="205"/>
        <v>25-34</v>
      </c>
      <c r="AQ1007" t="str">
        <f t="shared" si="206"/>
        <v>Upper-Mid</v>
      </c>
      <c r="AR1007" t="str">
        <f t="shared" si="207"/>
        <v>6-10 Years</v>
      </c>
    </row>
    <row r="1008" spans="1:44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46</v>
      </c>
      <c r="L1008">
        <v>97</v>
      </c>
      <c r="M1008">
        <v>2</v>
      </c>
      <c r="N1008">
        <v>2</v>
      </c>
      <c r="O1008" t="s">
        <v>50</v>
      </c>
      <c r="P1008">
        <v>1</v>
      </c>
      <c r="Q1008" t="s">
        <v>41</v>
      </c>
      <c r="R1008">
        <v>4284</v>
      </c>
      <c r="S1008">
        <v>3</v>
      </c>
      <c r="T1008" t="s">
        <v>43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  <c r="AF1008">
        <f t="shared" si="195"/>
        <v>1</v>
      </c>
      <c r="AG1008">
        <f t="shared" si="196"/>
        <v>0</v>
      </c>
      <c r="AH1008" t="str">
        <f t="shared" si="197"/>
        <v>College</v>
      </c>
      <c r="AI1008" t="str">
        <f t="shared" si="198"/>
        <v>Low</v>
      </c>
      <c r="AJ1008" t="str">
        <f t="shared" si="199"/>
        <v>Medium</v>
      </c>
      <c r="AK1008" t="str">
        <f t="shared" si="200"/>
        <v>Junior</v>
      </c>
      <c r="AL1008" t="str">
        <f t="shared" si="201"/>
        <v>Low</v>
      </c>
      <c r="AM1008" t="str">
        <f t="shared" si="202"/>
        <v>Low</v>
      </c>
      <c r="AN1008" t="str">
        <f t="shared" si="203"/>
        <v>No Options</v>
      </c>
      <c r="AO1008" t="str">
        <f t="shared" si="204"/>
        <v>Better</v>
      </c>
      <c r="AP1008" t="str">
        <f t="shared" si="205"/>
        <v>45-54</v>
      </c>
      <c r="AQ1008" t="str">
        <f t="shared" si="206"/>
        <v>Lower-Mid</v>
      </c>
      <c r="AR1008" t="str">
        <f t="shared" si="207"/>
        <v>3-5 Years</v>
      </c>
    </row>
    <row r="1009" spans="1:44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39</v>
      </c>
      <c r="L1009">
        <v>84</v>
      </c>
      <c r="M1009">
        <v>3</v>
      </c>
      <c r="N1009">
        <v>3</v>
      </c>
      <c r="O1009" t="s">
        <v>54</v>
      </c>
      <c r="P1009">
        <v>4</v>
      </c>
      <c r="Q1009" t="s">
        <v>41</v>
      </c>
      <c r="R1009">
        <v>7553</v>
      </c>
      <c r="S1009">
        <v>0</v>
      </c>
      <c r="T1009" t="s">
        <v>35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  <c r="AF1009">
        <f t="shared" si="195"/>
        <v>1</v>
      </c>
      <c r="AG1009">
        <f t="shared" si="196"/>
        <v>1</v>
      </c>
      <c r="AH1009" t="str">
        <f t="shared" si="197"/>
        <v>Below College</v>
      </c>
      <c r="AI1009" t="str">
        <f t="shared" si="198"/>
        <v>High</v>
      </c>
      <c r="AJ1009" t="str">
        <f t="shared" si="199"/>
        <v>High</v>
      </c>
      <c r="AK1009" t="str">
        <f t="shared" si="200"/>
        <v>Mid-Level</v>
      </c>
      <c r="AL1009" t="str">
        <f t="shared" si="201"/>
        <v>Very High</v>
      </c>
      <c r="AM1009" t="str">
        <f t="shared" si="202"/>
        <v>Low</v>
      </c>
      <c r="AN1009" t="str">
        <f t="shared" si="203"/>
        <v>No Options</v>
      </c>
      <c r="AO1009" t="str">
        <f t="shared" si="204"/>
        <v>Better</v>
      </c>
      <c r="AP1009" t="str">
        <f t="shared" si="205"/>
        <v>25-34</v>
      </c>
      <c r="AQ1009" t="str">
        <f t="shared" si="206"/>
        <v>Upper-Mid</v>
      </c>
      <c r="AR1009" t="str">
        <f t="shared" si="207"/>
        <v>6-10 Years</v>
      </c>
    </row>
    <row r="1010" spans="1:44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39</v>
      </c>
      <c r="L1010">
        <v>54</v>
      </c>
      <c r="M1010">
        <v>3</v>
      </c>
      <c r="N1010">
        <v>4</v>
      </c>
      <c r="O1010" t="s">
        <v>58</v>
      </c>
      <c r="P1010">
        <v>4</v>
      </c>
      <c r="Q1010" t="s">
        <v>41</v>
      </c>
      <c r="R1010">
        <v>17328</v>
      </c>
      <c r="S1010">
        <v>6</v>
      </c>
      <c r="T1010" t="s">
        <v>43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  <c r="AF1010">
        <f t="shared" si="195"/>
        <v>0</v>
      </c>
      <c r="AG1010">
        <f t="shared" si="196"/>
        <v>0</v>
      </c>
      <c r="AH1010" t="str">
        <f t="shared" si="197"/>
        <v>Bachelor</v>
      </c>
      <c r="AI1010" t="str">
        <f t="shared" si="198"/>
        <v>Very High</v>
      </c>
      <c r="AJ1010" t="str">
        <f t="shared" si="199"/>
        <v>High</v>
      </c>
      <c r="AK1010" t="str">
        <f t="shared" si="200"/>
        <v>Senior</v>
      </c>
      <c r="AL1010" t="str">
        <f t="shared" si="201"/>
        <v>Very High</v>
      </c>
      <c r="AM1010" t="str">
        <f t="shared" si="202"/>
        <v>Very High</v>
      </c>
      <c r="AN1010" t="str">
        <f t="shared" si="203"/>
        <v>No Options</v>
      </c>
      <c r="AO1010" t="str">
        <f t="shared" si="204"/>
        <v>Good</v>
      </c>
      <c r="AP1010" t="str">
        <f t="shared" si="205"/>
        <v>45-54</v>
      </c>
      <c r="AQ1010" t="str">
        <f t="shared" si="206"/>
        <v>High</v>
      </c>
      <c r="AR1010" t="str">
        <f t="shared" si="207"/>
        <v>11-20 Years</v>
      </c>
    </row>
    <row r="1011" spans="1:44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39</v>
      </c>
      <c r="L1011">
        <v>76</v>
      </c>
      <c r="M1011">
        <v>3</v>
      </c>
      <c r="N1011">
        <v>5</v>
      </c>
      <c r="O1011" t="s">
        <v>58</v>
      </c>
      <c r="P1011">
        <v>1</v>
      </c>
      <c r="Q1011" t="s">
        <v>48</v>
      </c>
      <c r="R1011">
        <v>19701</v>
      </c>
      <c r="S1011">
        <v>3</v>
      </c>
      <c r="T1011" t="s">
        <v>35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  <c r="AF1011">
        <f t="shared" si="195"/>
        <v>0</v>
      </c>
      <c r="AG1011">
        <f t="shared" si="196"/>
        <v>1</v>
      </c>
      <c r="AH1011" t="str">
        <f t="shared" si="197"/>
        <v>Bachelor</v>
      </c>
      <c r="AI1011" t="str">
        <f t="shared" si="198"/>
        <v>Very High</v>
      </c>
      <c r="AJ1011" t="str">
        <f t="shared" si="199"/>
        <v>High</v>
      </c>
      <c r="AK1011" t="str">
        <f t="shared" si="200"/>
        <v>Executive</v>
      </c>
      <c r="AL1011" t="str">
        <f t="shared" si="201"/>
        <v>Low</v>
      </c>
      <c r="AM1011" t="str">
        <f t="shared" si="202"/>
        <v>High</v>
      </c>
      <c r="AN1011" t="str">
        <f t="shared" si="203"/>
        <v>Low</v>
      </c>
      <c r="AO1011" t="str">
        <f t="shared" si="204"/>
        <v>Better</v>
      </c>
      <c r="AP1011" t="str">
        <f t="shared" si="205"/>
        <v>55+</v>
      </c>
      <c r="AQ1011" t="str">
        <f t="shared" si="206"/>
        <v>High</v>
      </c>
      <c r="AR1011" t="str">
        <f t="shared" si="207"/>
        <v>6-10 Years</v>
      </c>
    </row>
    <row r="1012" spans="1:44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46</v>
      </c>
      <c r="L1012">
        <v>81</v>
      </c>
      <c r="M1012">
        <v>4</v>
      </c>
      <c r="N1012">
        <v>4</v>
      </c>
      <c r="O1012" t="s">
        <v>58</v>
      </c>
      <c r="P1012">
        <v>4</v>
      </c>
      <c r="Q1012" t="s">
        <v>52</v>
      </c>
      <c r="R1012">
        <v>14732</v>
      </c>
      <c r="S1012">
        <v>2</v>
      </c>
      <c r="T1012" t="s">
        <v>43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  <c r="AF1012">
        <f t="shared" si="195"/>
        <v>0</v>
      </c>
      <c r="AG1012">
        <f t="shared" si="196"/>
        <v>0</v>
      </c>
      <c r="AH1012" t="str">
        <f t="shared" si="197"/>
        <v>Master</v>
      </c>
      <c r="AI1012" t="str">
        <f t="shared" si="198"/>
        <v>Medium</v>
      </c>
      <c r="AJ1012" t="str">
        <f t="shared" si="199"/>
        <v>Very High</v>
      </c>
      <c r="AK1012" t="str">
        <f t="shared" si="200"/>
        <v>Senior</v>
      </c>
      <c r="AL1012" t="str">
        <f t="shared" si="201"/>
        <v>Very High</v>
      </c>
      <c r="AM1012" t="str">
        <f t="shared" si="202"/>
        <v>Very High</v>
      </c>
      <c r="AN1012" t="str">
        <f t="shared" si="203"/>
        <v>Medium</v>
      </c>
      <c r="AO1012" t="str">
        <f t="shared" si="204"/>
        <v>Best</v>
      </c>
      <c r="AP1012" t="str">
        <f t="shared" si="205"/>
        <v>55+</v>
      </c>
      <c r="AQ1012" t="str">
        <f t="shared" si="206"/>
        <v>High</v>
      </c>
      <c r="AR1012" t="str">
        <f t="shared" si="207"/>
        <v>6-10 Years</v>
      </c>
    </row>
    <row r="1013" spans="1:44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t="s">
        <v>39</v>
      </c>
      <c r="L1013">
        <v>99</v>
      </c>
      <c r="M1013">
        <v>3</v>
      </c>
      <c r="N1013">
        <v>2</v>
      </c>
      <c r="O1013" t="s">
        <v>40</v>
      </c>
      <c r="P1013">
        <v>2</v>
      </c>
      <c r="Q1013" t="s">
        <v>41</v>
      </c>
      <c r="R1013">
        <v>9278</v>
      </c>
      <c r="S1013">
        <v>3</v>
      </c>
      <c r="T1013" t="s">
        <v>35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  <c r="AF1013">
        <f t="shared" si="195"/>
        <v>0</v>
      </c>
      <c r="AG1013">
        <f t="shared" si="196"/>
        <v>1</v>
      </c>
      <c r="AH1013" t="str">
        <f t="shared" si="197"/>
        <v>Master</v>
      </c>
      <c r="AI1013" t="str">
        <f t="shared" si="198"/>
        <v>Low</v>
      </c>
      <c r="AJ1013" t="str">
        <f t="shared" si="199"/>
        <v>High</v>
      </c>
      <c r="AK1013" t="str">
        <f t="shared" si="200"/>
        <v>Junior</v>
      </c>
      <c r="AL1013" t="str">
        <f t="shared" si="201"/>
        <v>Medium</v>
      </c>
      <c r="AM1013" t="str">
        <f t="shared" si="202"/>
        <v>Very High</v>
      </c>
      <c r="AN1013" t="str">
        <f t="shared" si="203"/>
        <v>No Options</v>
      </c>
      <c r="AO1013" t="str">
        <f t="shared" si="204"/>
        <v>Better</v>
      </c>
      <c r="AP1013" t="str">
        <f t="shared" si="205"/>
        <v>35-44</v>
      </c>
      <c r="AQ1013" t="str">
        <f t="shared" si="206"/>
        <v>Upper-Mid</v>
      </c>
      <c r="AR1013" t="str">
        <f t="shared" si="207"/>
        <v>3-5 Years</v>
      </c>
    </row>
    <row r="1014" spans="1:44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50</v>
      </c>
      <c r="M1014">
        <v>1</v>
      </c>
      <c r="N1014">
        <v>1</v>
      </c>
      <c r="O1014" t="s">
        <v>57</v>
      </c>
      <c r="P1014">
        <v>3</v>
      </c>
      <c r="Q1014" t="s">
        <v>41</v>
      </c>
      <c r="R1014">
        <v>1359</v>
      </c>
      <c r="S1014">
        <v>1</v>
      </c>
      <c r="T1014" t="s">
        <v>43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  <c r="AF1014">
        <f t="shared" si="195"/>
        <v>1</v>
      </c>
      <c r="AG1014">
        <f t="shared" si="196"/>
        <v>0</v>
      </c>
      <c r="AH1014" t="str">
        <f t="shared" si="197"/>
        <v>Master</v>
      </c>
      <c r="AI1014" t="str">
        <f t="shared" si="198"/>
        <v>Medium</v>
      </c>
      <c r="AJ1014" t="str">
        <f t="shared" si="199"/>
        <v>Low</v>
      </c>
      <c r="AK1014" t="str">
        <f t="shared" si="200"/>
        <v>Entry</v>
      </c>
      <c r="AL1014" t="str">
        <f t="shared" si="201"/>
        <v>High</v>
      </c>
      <c r="AM1014" t="str">
        <f t="shared" si="202"/>
        <v>Medium</v>
      </c>
      <c r="AN1014" t="str">
        <f t="shared" si="203"/>
        <v>No Options</v>
      </c>
      <c r="AO1014" t="str">
        <f t="shared" si="204"/>
        <v>Better</v>
      </c>
      <c r="AP1014" t="str">
        <f t="shared" si="205"/>
        <v>25-34</v>
      </c>
      <c r="AQ1014" t="str">
        <f t="shared" si="206"/>
        <v>Low</v>
      </c>
      <c r="AR1014" t="str">
        <f t="shared" si="207"/>
        <v>0-2 Years</v>
      </c>
    </row>
    <row r="1015" spans="1:44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t="s">
        <v>39</v>
      </c>
      <c r="L1015">
        <v>73</v>
      </c>
      <c r="M1015">
        <v>3</v>
      </c>
      <c r="N1015">
        <v>2</v>
      </c>
      <c r="O1015" t="s">
        <v>40</v>
      </c>
      <c r="P1015">
        <v>1</v>
      </c>
      <c r="Q1015" t="s">
        <v>52</v>
      </c>
      <c r="R1015">
        <v>4779</v>
      </c>
      <c r="S1015">
        <v>7</v>
      </c>
      <c r="T1015" t="s">
        <v>43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  <c r="AF1015">
        <f t="shared" si="195"/>
        <v>0</v>
      </c>
      <c r="AG1015">
        <f t="shared" si="196"/>
        <v>0</v>
      </c>
      <c r="AH1015" t="str">
        <f t="shared" si="197"/>
        <v>Master</v>
      </c>
      <c r="AI1015" t="str">
        <f t="shared" si="198"/>
        <v>Very High</v>
      </c>
      <c r="AJ1015" t="str">
        <f t="shared" si="199"/>
        <v>High</v>
      </c>
      <c r="AK1015" t="str">
        <f t="shared" si="200"/>
        <v>Junior</v>
      </c>
      <c r="AL1015" t="str">
        <f t="shared" si="201"/>
        <v>Low</v>
      </c>
      <c r="AM1015" t="str">
        <f t="shared" si="202"/>
        <v>Medium</v>
      </c>
      <c r="AN1015" t="str">
        <f t="shared" si="203"/>
        <v>Medium</v>
      </c>
      <c r="AO1015" t="str">
        <f t="shared" si="204"/>
        <v>Better</v>
      </c>
      <c r="AP1015" t="str">
        <f t="shared" si="205"/>
        <v>25-34</v>
      </c>
      <c r="AQ1015" t="str">
        <f t="shared" si="206"/>
        <v>Lower-Mid</v>
      </c>
      <c r="AR1015" t="str">
        <f t="shared" si="207"/>
        <v>3-5 Years</v>
      </c>
    </row>
    <row r="1016" spans="1:44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93</v>
      </c>
      <c r="M1016">
        <v>3</v>
      </c>
      <c r="N1016">
        <v>4</v>
      </c>
      <c r="O1016" t="s">
        <v>58</v>
      </c>
      <c r="P1016">
        <v>2</v>
      </c>
      <c r="Q1016" t="s">
        <v>41</v>
      </c>
      <c r="R1016">
        <v>16422</v>
      </c>
      <c r="S1016">
        <v>3</v>
      </c>
      <c r="T1016" t="s">
        <v>43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  <c r="AF1016">
        <f t="shared" si="195"/>
        <v>0</v>
      </c>
      <c r="AG1016">
        <f t="shared" si="196"/>
        <v>0</v>
      </c>
      <c r="AH1016" t="str">
        <f t="shared" si="197"/>
        <v>Doctor</v>
      </c>
      <c r="AI1016" t="str">
        <f t="shared" si="198"/>
        <v>Low</v>
      </c>
      <c r="AJ1016" t="str">
        <f t="shared" si="199"/>
        <v>High</v>
      </c>
      <c r="AK1016" t="str">
        <f t="shared" si="200"/>
        <v>Senior</v>
      </c>
      <c r="AL1016" t="str">
        <f t="shared" si="201"/>
        <v>Medium</v>
      </c>
      <c r="AM1016" t="str">
        <f t="shared" si="202"/>
        <v>High</v>
      </c>
      <c r="AN1016" t="str">
        <f t="shared" si="203"/>
        <v>No Options</v>
      </c>
      <c r="AO1016" t="str">
        <f t="shared" si="204"/>
        <v>Best</v>
      </c>
      <c r="AP1016" t="str">
        <f t="shared" si="205"/>
        <v>25-34</v>
      </c>
      <c r="AQ1016" t="str">
        <f t="shared" si="206"/>
        <v>High</v>
      </c>
      <c r="AR1016" t="str">
        <f t="shared" si="207"/>
        <v>3-5 Years</v>
      </c>
    </row>
    <row r="1017" spans="1:44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91</v>
      </c>
      <c r="M1017">
        <v>3</v>
      </c>
      <c r="N1017">
        <v>1</v>
      </c>
      <c r="O1017" t="s">
        <v>47</v>
      </c>
      <c r="P1017">
        <v>1</v>
      </c>
      <c r="Q1017" t="s">
        <v>52</v>
      </c>
      <c r="R1017">
        <v>2996</v>
      </c>
      <c r="S1017">
        <v>5</v>
      </c>
      <c r="T1017" t="s">
        <v>43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  <c r="AF1017">
        <f t="shared" si="195"/>
        <v>0</v>
      </c>
      <c r="AG1017">
        <f t="shared" si="196"/>
        <v>0</v>
      </c>
      <c r="AH1017" t="str">
        <f t="shared" si="197"/>
        <v>Master</v>
      </c>
      <c r="AI1017" t="str">
        <f t="shared" si="198"/>
        <v>Very High</v>
      </c>
      <c r="AJ1017" t="str">
        <f t="shared" si="199"/>
        <v>High</v>
      </c>
      <c r="AK1017" t="str">
        <f t="shared" si="200"/>
        <v>Entry</v>
      </c>
      <c r="AL1017" t="str">
        <f t="shared" si="201"/>
        <v>Low</v>
      </c>
      <c r="AM1017" t="str">
        <f t="shared" si="202"/>
        <v>High</v>
      </c>
      <c r="AN1017" t="str">
        <f t="shared" si="203"/>
        <v>Medium</v>
      </c>
      <c r="AO1017" t="str">
        <f t="shared" si="204"/>
        <v>Better</v>
      </c>
      <c r="AP1017" t="str">
        <f t="shared" si="205"/>
        <v>25-34</v>
      </c>
      <c r="AQ1017" t="str">
        <f t="shared" si="206"/>
        <v>Low</v>
      </c>
      <c r="AR1017" t="str">
        <f t="shared" si="207"/>
        <v>3-5 Years</v>
      </c>
    </row>
    <row r="1018" spans="1:44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34</v>
      </c>
      <c r="M1018">
        <v>2</v>
      </c>
      <c r="N1018">
        <v>1</v>
      </c>
      <c r="O1018" t="s">
        <v>47</v>
      </c>
      <c r="P1018">
        <v>2</v>
      </c>
      <c r="Q1018" t="s">
        <v>41</v>
      </c>
      <c r="R1018">
        <v>1261</v>
      </c>
      <c r="S1018">
        <v>1</v>
      </c>
      <c r="T1018" t="s">
        <v>43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  <c r="AF1018">
        <f t="shared" si="195"/>
        <v>1</v>
      </c>
      <c r="AG1018">
        <f t="shared" si="196"/>
        <v>0</v>
      </c>
      <c r="AH1018" t="str">
        <f t="shared" si="197"/>
        <v>Bachelor</v>
      </c>
      <c r="AI1018" t="str">
        <f t="shared" si="198"/>
        <v>Low</v>
      </c>
      <c r="AJ1018" t="str">
        <f t="shared" si="199"/>
        <v>Medium</v>
      </c>
      <c r="AK1018" t="str">
        <f t="shared" si="200"/>
        <v>Entry</v>
      </c>
      <c r="AL1018" t="str">
        <f t="shared" si="201"/>
        <v>Medium</v>
      </c>
      <c r="AM1018" t="str">
        <f t="shared" si="202"/>
        <v>High</v>
      </c>
      <c r="AN1018" t="str">
        <f t="shared" si="203"/>
        <v>No Options</v>
      </c>
      <c r="AO1018" t="str">
        <f t="shared" si="204"/>
        <v>Best</v>
      </c>
      <c r="AP1018" t="str">
        <f t="shared" si="205"/>
        <v>25-34</v>
      </c>
      <c r="AQ1018" t="str">
        <f t="shared" si="206"/>
        <v>Low</v>
      </c>
      <c r="AR1018" t="str">
        <f t="shared" si="207"/>
        <v>0-2 Years</v>
      </c>
    </row>
    <row r="1019" spans="1:44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46</v>
      </c>
      <c r="L1019">
        <v>91</v>
      </c>
      <c r="M1019">
        <v>3</v>
      </c>
      <c r="N1019">
        <v>1</v>
      </c>
      <c r="O1019" t="s">
        <v>50</v>
      </c>
      <c r="P1019">
        <v>1</v>
      </c>
      <c r="Q1019" t="s">
        <v>48</v>
      </c>
      <c r="R1019">
        <v>2099</v>
      </c>
      <c r="S1019">
        <v>0</v>
      </c>
      <c r="T1019" t="s">
        <v>43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  <c r="AF1019">
        <f t="shared" si="195"/>
        <v>0</v>
      </c>
      <c r="AG1019">
        <f t="shared" si="196"/>
        <v>0</v>
      </c>
      <c r="AH1019" t="str">
        <f t="shared" si="197"/>
        <v>Below College</v>
      </c>
      <c r="AI1019" t="str">
        <f t="shared" si="198"/>
        <v>Medium</v>
      </c>
      <c r="AJ1019" t="str">
        <f t="shared" si="199"/>
        <v>High</v>
      </c>
      <c r="AK1019" t="str">
        <f t="shared" si="200"/>
        <v>Entry</v>
      </c>
      <c r="AL1019" t="str">
        <f t="shared" si="201"/>
        <v>Low</v>
      </c>
      <c r="AM1019" t="str">
        <f t="shared" si="202"/>
        <v>Medium</v>
      </c>
      <c r="AN1019" t="str">
        <f t="shared" si="203"/>
        <v>No Options</v>
      </c>
      <c r="AO1019" t="str">
        <f t="shared" si="204"/>
        <v>Best</v>
      </c>
      <c r="AP1019" t="str">
        <f t="shared" si="205"/>
        <v>25-34</v>
      </c>
      <c r="AQ1019" t="str">
        <f t="shared" si="206"/>
        <v>Low</v>
      </c>
      <c r="AR1019" t="str">
        <f t="shared" si="207"/>
        <v>3-5 Years</v>
      </c>
    </row>
    <row r="1020" spans="1:44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46</v>
      </c>
      <c r="L1020">
        <v>37</v>
      </c>
      <c r="M1020">
        <v>2</v>
      </c>
      <c r="N1020">
        <v>2</v>
      </c>
      <c r="O1020" t="s">
        <v>50</v>
      </c>
      <c r="P1020">
        <v>4</v>
      </c>
      <c r="Q1020" t="s">
        <v>41</v>
      </c>
      <c r="R1020">
        <v>5810</v>
      </c>
      <c r="S1020">
        <v>1</v>
      </c>
      <c r="T1020" t="s">
        <v>43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  <c r="AF1020">
        <f t="shared" si="195"/>
        <v>0</v>
      </c>
      <c r="AG1020">
        <f t="shared" si="196"/>
        <v>0</v>
      </c>
      <c r="AH1020" t="str">
        <f t="shared" si="197"/>
        <v>Master</v>
      </c>
      <c r="AI1020" t="str">
        <f t="shared" si="198"/>
        <v>Low</v>
      </c>
      <c r="AJ1020" t="str">
        <f t="shared" si="199"/>
        <v>Medium</v>
      </c>
      <c r="AK1020" t="str">
        <f t="shared" si="200"/>
        <v>Junior</v>
      </c>
      <c r="AL1020" t="str">
        <f t="shared" si="201"/>
        <v>Very High</v>
      </c>
      <c r="AM1020" t="str">
        <f t="shared" si="202"/>
        <v>High</v>
      </c>
      <c r="AN1020" t="str">
        <f t="shared" si="203"/>
        <v>No Options</v>
      </c>
      <c r="AO1020" t="str">
        <f t="shared" si="204"/>
        <v>Good</v>
      </c>
      <c r="AP1020" t="str">
        <f t="shared" si="205"/>
        <v>35-44</v>
      </c>
      <c r="AQ1020" t="str">
        <f t="shared" si="206"/>
        <v>Lower-Mid</v>
      </c>
      <c r="AR1020" t="str">
        <f t="shared" si="207"/>
        <v>6-10 Years</v>
      </c>
    </row>
    <row r="1021" spans="1:44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t="s">
        <v>39</v>
      </c>
      <c r="L1021">
        <v>98</v>
      </c>
      <c r="M1021">
        <v>2</v>
      </c>
      <c r="N1021">
        <v>2</v>
      </c>
      <c r="O1021" t="s">
        <v>40</v>
      </c>
      <c r="P1021">
        <v>1</v>
      </c>
      <c r="Q1021" t="s">
        <v>48</v>
      </c>
      <c r="R1021">
        <v>5647</v>
      </c>
      <c r="S1021">
        <v>4</v>
      </c>
      <c r="T1021" t="s">
        <v>43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  <c r="AF1021">
        <f t="shared" si="195"/>
        <v>0</v>
      </c>
      <c r="AG1021">
        <f t="shared" si="196"/>
        <v>0</v>
      </c>
      <c r="AH1021" t="str">
        <f t="shared" si="197"/>
        <v>Master</v>
      </c>
      <c r="AI1021" t="str">
        <f t="shared" si="198"/>
        <v>High</v>
      </c>
      <c r="AJ1021" t="str">
        <f t="shared" si="199"/>
        <v>Medium</v>
      </c>
      <c r="AK1021" t="str">
        <f t="shared" si="200"/>
        <v>Junior</v>
      </c>
      <c r="AL1021" t="str">
        <f t="shared" si="201"/>
        <v>Low</v>
      </c>
      <c r="AM1021" t="str">
        <f t="shared" si="202"/>
        <v>Low</v>
      </c>
      <c r="AN1021" t="str">
        <f t="shared" si="203"/>
        <v>Medium</v>
      </c>
      <c r="AO1021" t="str">
        <f t="shared" si="204"/>
        <v>Good</v>
      </c>
      <c r="AP1021" t="str">
        <f t="shared" si="205"/>
        <v>35-44</v>
      </c>
      <c r="AQ1021" t="str">
        <f t="shared" si="206"/>
        <v>Lower-Mid</v>
      </c>
      <c r="AR1021" t="str">
        <f t="shared" si="207"/>
        <v>3-5 Years</v>
      </c>
    </row>
    <row r="1022" spans="1:44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t="s">
        <v>46</v>
      </c>
      <c r="L1022">
        <v>74</v>
      </c>
      <c r="M1022">
        <v>3</v>
      </c>
      <c r="N1022">
        <v>1</v>
      </c>
      <c r="O1022" t="s">
        <v>47</v>
      </c>
      <c r="P1022">
        <v>4</v>
      </c>
      <c r="Q1022" t="s">
        <v>48</v>
      </c>
      <c r="R1022">
        <v>3420</v>
      </c>
      <c r="S1022">
        <v>7</v>
      </c>
      <c r="T1022" t="s">
        <v>43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  <c r="AF1022">
        <f t="shared" si="195"/>
        <v>0</v>
      </c>
      <c r="AG1022">
        <f t="shared" si="196"/>
        <v>0</v>
      </c>
      <c r="AH1022" t="str">
        <f t="shared" si="197"/>
        <v>Bachelor</v>
      </c>
      <c r="AI1022" t="str">
        <f t="shared" si="198"/>
        <v>Low</v>
      </c>
      <c r="AJ1022" t="str">
        <f t="shared" si="199"/>
        <v>High</v>
      </c>
      <c r="AK1022" t="str">
        <f t="shared" si="200"/>
        <v>Entry</v>
      </c>
      <c r="AL1022" t="str">
        <f t="shared" si="201"/>
        <v>Very High</v>
      </c>
      <c r="AM1022" t="str">
        <f t="shared" si="202"/>
        <v>High</v>
      </c>
      <c r="AN1022" t="str">
        <f t="shared" si="203"/>
        <v>Low</v>
      </c>
      <c r="AO1022" t="str">
        <f t="shared" si="204"/>
        <v>Good</v>
      </c>
      <c r="AP1022" t="str">
        <f t="shared" si="205"/>
        <v>45-54</v>
      </c>
      <c r="AQ1022" t="str">
        <f t="shared" si="206"/>
        <v>Lower-Mid</v>
      </c>
      <c r="AR1022" t="str">
        <f t="shared" si="207"/>
        <v>6-10 Years</v>
      </c>
    </row>
    <row r="1023" spans="1:44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46</v>
      </c>
      <c r="L1023">
        <v>68</v>
      </c>
      <c r="M1023">
        <v>2</v>
      </c>
      <c r="N1023">
        <v>1</v>
      </c>
      <c r="O1023" t="s">
        <v>57</v>
      </c>
      <c r="P1023">
        <v>1</v>
      </c>
      <c r="Q1023" t="s">
        <v>48</v>
      </c>
      <c r="R1023">
        <v>4400</v>
      </c>
      <c r="S1023">
        <v>3</v>
      </c>
      <c r="T1023" t="s">
        <v>43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  <c r="AF1023">
        <f t="shared" si="195"/>
        <v>1</v>
      </c>
      <c r="AG1023">
        <f t="shared" si="196"/>
        <v>0</v>
      </c>
      <c r="AH1023" t="str">
        <f t="shared" si="197"/>
        <v>College</v>
      </c>
      <c r="AI1023" t="str">
        <f t="shared" si="198"/>
        <v>Low</v>
      </c>
      <c r="AJ1023" t="str">
        <f t="shared" si="199"/>
        <v>Medium</v>
      </c>
      <c r="AK1023" t="str">
        <f t="shared" si="200"/>
        <v>Entry</v>
      </c>
      <c r="AL1023" t="str">
        <f t="shared" si="201"/>
        <v>Low</v>
      </c>
      <c r="AM1023" t="str">
        <f t="shared" si="202"/>
        <v>Low</v>
      </c>
      <c r="AN1023" t="str">
        <f t="shared" si="203"/>
        <v>No Options</v>
      </c>
      <c r="AO1023" t="str">
        <f t="shared" si="204"/>
        <v>Better</v>
      </c>
      <c r="AP1023" t="str">
        <f t="shared" si="205"/>
        <v>25-34</v>
      </c>
      <c r="AQ1023" t="str">
        <f t="shared" si="206"/>
        <v>Lower-Mid</v>
      </c>
      <c r="AR1023" t="str">
        <f t="shared" si="207"/>
        <v>3-5 Years</v>
      </c>
    </row>
    <row r="1024" spans="1:44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t="s">
        <v>46</v>
      </c>
      <c r="L1024">
        <v>84</v>
      </c>
      <c r="M1024">
        <v>4</v>
      </c>
      <c r="N1024">
        <v>1</v>
      </c>
      <c r="O1024" t="s">
        <v>50</v>
      </c>
      <c r="P1024">
        <v>3</v>
      </c>
      <c r="Q1024" t="s">
        <v>41</v>
      </c>
      <c r="R1024">
        <v>3500</v>
      </c>
      <c r="S1024">
        <v>0</v>
      </c>
      <c r="T1024" t="s">
        <v>43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  <c r="AF1024">
        <f t="shared" si="195"/>
        <v>0</v>
      </c>
      <c r="AG1024">
        <f t="shared" si="196"/>
        <v>0</v>
      </c>
      <c r="AH1024" t="str">
        <f t="shared" si="197"/>
        <v>College</v>
      </c>
      <c r="AI1024" t="str">
        <f t="shared" si="198"/>
        <v>High</v>
      </c>
      <c r="AJ1024" t="str">
        <f t="shared" si="199"/>
        <v>Very High</v>
      </c>
      <c r="AK1024" t="str">
        <f t="shared" si="200"/>
        <v>Entry</v>
      </c>
      <c r="AL1024" t="str">
        <f t="shared" si="201"/>
        <v>High</v>
      </c>
      <c r="AM1024" t="str">
        <f t="shared" si="202"/>
        <v>Low</v>
      </c>
      <c r="AN1024" t="str">
        <f t="shared" si="203"/>
        <v>No Options</v>
      </c>
      <c r="AO1024" t="str">
        <f t="shared" si="204"/>
        <v>Bad</v>
      </c>
      <c r="AP1024" t="str">
        <f t="shared" si="205"/>
        <v>35-44</v>
      </c>
      <c r="AQ1024" t="str">
        <f t="shared" si="206"/>
        <v>Lower-Mid</v>
      </c>
      <c r="AR1024" t="str">
        <f t="shared" si="207"/>
        <v>6-10 Years</v>
      </c>
    </row>
    <row r="1025" spans="1:44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90</v>
      </c>
      <c r="M1025">
        <v>3</v>
      </c>
      <c r="N1025">
        <v>1</v>
      </c>
      <c r="O1025" t="s">
        <v>47</v>
      </c>
      <c r="P1025">
        <v>1</v>
      </c>
      <c r="Q1025" t="s">
        <v>48</v>
      </c>
      <c r="R1025">
        <v>2066</v>
      </c>
      <c r="S1025">
        <v>2</v>
      </c>
      <c r="T1025" t="s">
        <v>43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  <c r="AF1025">
        <f t="shared" si="195"/>
        <v>0</v>
      </c>
      <c r="AG1025">
        <f t="shared" si="196"/>
        <v>0</v>
      </c>
      <c r="AH1025" t="str">
        <f t="shared" si="197"/>
        <v>College</v>
      </c>
      <c r="AI1025" t="str">
        <f t="shared" si="198"/>
        <v>Low</v>
      </c>
      <c r="AJ1025" t="str">
        <f t="shared" si="199"/>
        <v>High</v>
      </c>
      <c r="AK1025" t="str">
        <f t="shared" si="200"/>
        <v>Entry</v>
      </c>
      <c r="AL1025" t="str">
        <f t="shared" si="201"/>
        <v>Low</v>
      </c>
      <c r="AM1025" t="str">
        <f t="shared" si="202"/>
        <v>Very High</v>
      </c>
      <c r="AN1025" t="str">
        <f t="shared" si="203"/>
        <v>Low</v>
      </c>
      <c r="AO1025" t="str">
        <f t="shared" si="204"/>
        <v>Best</v>
      </c>
      <c r="AP1025" t="str">
        <f t="shared" si="205"/>
        <v>55+</v>
      </c>
      <c r="AQ1025" t="str">
        <f t="shared" si="206"/>
        <v>Low</v>
      </c>
      <c r="AR1025" t="str">
        <f t="shared" si="207"/>
        <v>3-5 Years</v>
      </c>
    </row>
    <row r="1026" spans="1:44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39</v>
      </c>
      <c r="L1026">
        <v>82</v>
      </c>
      <c r="M1026">
        <v>3</v>
      </c>
      <c r="N1026">
        <v>4</v>
      </c>
      <c r="O1026" t="s">
        <v>58</v>
      </c>
      <c r="P1026">
        <v>3</v>
      </c>
      <c r="Q1026" t="s">
        <v>48</v>
      </c>
      <c r="R1026">
        <v>17169</v>
      </c>
      <c r="S1026">
        <v>3</v>
      </c>
      <c r="T1026" t="s">
        <v>43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  <c r="AF1026">
        <f t="shared" si="195"/>
        <v>0</v>
      </c>
      <c r="AG1026">
        <f t="shared" si="196"/>
        <v>0</v>
      </c>
      <c r="AH1026" t="str">
        <f t="shared" si="197"/>
        <v>Master</v>
      </c>
      <c r="AI1026" t="str">
        <f t="shared" si="198"/>
        <v>Low</v>
      </c>
      <c r="AJ1026" t="str">
        <f t="shared" si="199"/>
        <v>High</v>
      </c>
      <c r="AK1026" t="str">
        <f t="shared" si="200"/>
        <v>Senior</v>
      </c>
      <c r="AL1026" t="str">
        <f t="shared" si="201"/>
        <v>High</v>
      </c>
      <c r="AM1026" t="str">
        <f t="shared" si="202"/>
        <v>Medium</v>
      </c>
      <c r="AN1026" t="str">
        <f t="shared" si="203"/>
        <v>Medium</v>
      </c>
      <c r="AO1026" t="str">
        <f t="shared" si="204"/>
        <v>Best</v>
      </c>
      <c r="AP1026" t="str">
        <f t="shared" si="205"/>
        <v>45-54</v>
      </c>
      <c r="AQ1026" t="str">
        <f t="shared" si="206"/>
        <v>High</v>
      </c>
      <c r="AR1026" t="str">
        <f t="shared" si="207"/>
        <v>11-20 Years</v>
      </c>
    </row>
    <row r="1027" spans="1:44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39</v>
      </c>
      <c r="L1027">
        <v>42</v>
      </c>
      <c r="M1027">
        <v>3</v>
      </c>
      <c r="N1027">
        <v>2</v>
      </c>
      <c r="O1027" t="s">
        <v>40</v>
      </c>
      <c r="P1027">
        <v>3</v>
      </c>
      <c r="Q1027" t="s">
        <v>48</v>
      </c>
      <c r="R1027">
        <v>4162</v>
      </c>
      <c r="S1027">
        <v>1</v>
      </c>
      <c r="T1027" t="s">
        <v>35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  <c r="AF1027">
        <f t="shared" ref="AF1027:AF1090" si="208">IF(B1027="Yes",1,0)</f>
        <v>0</v>
      </c>
      <c r="AG1027">
        <f t="shared" ref="AG1027:AG1090" si="209">IF(T1027="Yes",1,0)</f>
        <v>1</v>
      </c>
      <c r="AH1027" t="str">
        <f t="shared" ref="AH1027:AH1090" si="210">CHOOSE(G1027,"Below College","College","Bachelor","Master","Doctor")</f>
        <v>Below College</v>
      </c>
      <c r="AI1027" t="str">
        <f t="shared" ref="AI1027:AI1090" si="211">CHOOSE(J1027,"Low","Medium","High","Very High")</f>
        <v>Very High</v>
      </c>
      <c r="AJ1027" t="str">
        <f t="shared" ref="AJ1027:AJ1090" si="212">CHOOSE(M1027,"Low","Medium","High","Very High")</f>
        <v>High</v>
      </c>
      <c r="AK1027" t="str">
        <f t="shared" ref="AK1027:AK1090" si="213">CHOOSE(N1027,"Entry","Junior","Mid-Level","Senior","Executive")</f>
        <v>Junior</v>
      </c>
      <c r="AL1027" t="str">
        <f t="shared" ref="AL1027:AL1090" si="214">CHOOSE(P1027,"Low","Medium","High","Very High")</f>
        <v>High</v>
      </c>
      <c r="AM1027" t="str">
        <f t="shared" ref="AM1027:AM1090" si="215">CHOOSE(W1027,"Low","Medium","High","Very High")</f>
        <v>High</v>
      </c>
      <c r="AN1027" t="str">
        <f t="shared" ref="AN1027:AN1090" si="216">CHOOSE(X1027+1,"No Options","Low","Medium","High")</f>
        <v>Medium</v>
      </c>
      <c r="AO1027" t="str">
        <f t="shared" ref="AO1027:AO1090" si="217">CHOOSE(AA1027,"Bad","Good","Better","Best")</f>
        <v>Better</v>
      </c>
      <c r="AP1027" t="str">
        <f t="shared" ref="AP1027:AP1090" si="218">IF(A1027&lt;=24,"Under 25",IF(A1027&lt;=34,"25-34",IF(A1027&lt;=44,"35-44",IF(A1027&lt;=54,"45-54","55+"))))</f>
        <v>Under 25</v>
      </c>
      <c r="AQ1027" t="str">
        <f t="shared" ref="AQ1027:AQ1090" si="219">IF(R1027&lt;3000,"Low",IF(R1027&lt;7000,"Lower-Mid",IF(R1027&lt;13000,"Upper-Mid","High")))</f>
        <v>Lower-Mid</v>
      </c>
      <c r="AR1027" t="str">
        <f t="shared" ref="AR1027:AR1090" si="220">IF(AB1027&lt;=2,"0-2 Years",IF(AB1027&lt;=5,"3-5 Years",IF(AB1027&lt;=10,"6-10 Years",IF(AB1027&lt;=20,"11-20 Years","20+ Years"))))</f>
        <v>3-5 Years</v>
      </c>
    </row>
    <row r="1028" spans="1:44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t="s">
        <v>46</v>
      </c>
      <c r="L1028">
        <v>97</v>
      </c>
      <c r="M1028">
        <v>3</v>
      </c>
      <c r="N1028">
        <v>2</v>
      </c>
      <c r="O1028" t="s">
        <v>40</v>
      </c>
      <c r="P1028">
        <v>4</v>
      </c>
      <c r="Q1028" t="s">
        <v>48</v>
      </c>
      <c r="R1028">
        <v>9204</v>
      </c>
      <c r="S1028">
        <v>4</v>
      </c>
      <c r="T1028" t="s">
        <v>43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  <c r="AF1028">
        <f t="shared" si="208"/>
        <v>0</v>
      </c>
      <c r="AG1028">
        <f t="shared" si="209"/>
        <v>0</v>
      </c>
      <c r="AH1028" t="str">
        <f t="shared" si="210"/>
        <v>Doctor</v>
      </c>
      <c r="AI1028" t="str">
        <f t="shared" si="211"/>
        <v>Very High</v>
      </c>
      <c r="AJ1028" t="str">
        <f t="shared" si="212"/>
        <v>High</v>
      </c>
      <c r="AK1028" t="str">
        <f t="shared" si="213"/>
        <v>Junior</v>
      </c>
      <c r="AL1028" t="str">
        <f t="shared" si="214"/>
        <v>Very High</v>
      </c>
      <c r="AM1028" t="str">
        <f t="shared" si="215"/>
        <v>High</v>
      </c>
      <c r="AN1028" t="str">
        <f t="shared" si="216"/>
        <v>Low</v>
      </c>
      <c r="AO1028" t="str">
        <f t="shared" si="217"/>
        <v>Good</v>
      </c>
      <c r="AP1028" t="str">
        <f t="shared" si="218"/>
        <v>25-34</v>
      </c>
      <c r="AQ1028" t="str">
        <f t="shared" si="219"/>
        <v>Upper-Mid</v>
      </c>
      <c r="AR1028" t="str">
        <f t="shared" si="220"/>
        <v>3-5 Years</v>
      </c>
    </row>
    <row r="1029" spans="1:44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86</v>
      </c>
      <c r="M1029">
        <v>2</v>
      </c>
      <c r="N1029">
        <v>1</v>
      </c>
      <c r="O1029" t="s">
        <v>50</v>
      </c>
      <c r="P1029">
        <v>2</v>
      </c>
      <c r="Q1029" t="s">
        <v>48</v>
      </c>
      <c r="R1029">
        <v>3294</v>
      </c>
      <c r="S1029">
        <v>5</v>
      </c>
      <c r="T1029" t="s">
        <v>43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  <c r="AF1029">
        <f t="shared" si="208"/>
        <v>0</v>
      </c>
      <c r="AG1029">
        <f t="shared" si="209"/>
        <v>0</v>
      </c>
      <c r="AH1029" t="str">
        <f t="shared" si="210"/>
        <v>Bachelor</v>
      </c>
      <c r="AI1029" t="str">
        <f t="shared" si="211"/>
        <v>Very High</v>
      </c>
      <c r="AJ1029" t="str">
        <f t="shared" si="212"/>
        <v>Medium</v>
      </c>
      <c r="AK1029" t="str">
        <f t="shared" si="213"/>
        <v>Entry</v>
      </c>
      <c r="AL1029" t="str">
        <f t="shared" si="214"/>
        <v>Medium</v>
      </c>
      <c r="AM1029" t="str">
        <f t="shared" si="215"/>
        <v>Low</v>
      </c>
      <c r="AN1029" t="str">
        <f t="shared" si="216"/>
        <v>Low</v>
      </c>
      <c r="AO1029" t="str">
        <f t="shared" si="217"/>
        <v>Good</v>
      </c>
      <c r="AP1029" t="str">
        <f t="shared" si="218"/>
        <v>25-34</v>
      </c>
      <c r="AQ1029" t="str">
        <f t="shared" si="219"/>
        <v>Lower-Mid</v>
      </c>
      <c r="AR1029" t="str">
        <f t="shared" si="220"/>
        <v>3-5 Years</v>
      </c>
    </row>
    <row r="1030" spans="1:44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46</v>
      </c>
      <c r="L1030">
        <v>90</v>
      </c>
      <c r="M1030">
        <v>4</v>
      </c>
      <c r="N1030">
        <v>1</v>
      </c>
      <c r="O1030" t="s">
        <v>47</v>
      </c>
      <c r="P1030">
        <v>3</v>
      </c>
      <c r="Q1030" t="s">
        <v>48</v>
      </c>
      <c r="R1030">
        <v>2127</v>
      </c>
      <c r="S1030">
        <v>2</v>
      </c>
      <c r="T1030" t="s">
        <v>35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  <c r="AF1030">
        <f t="shared" si="208"/>
        <v>0</v>
      </c>
      <c r="AG1030">
        <f t="shared" si="209"/>
        <v>1</v>
      </c>
      <c r="AH1030" t="str">
        <f t="shared" si="210"/>
        <v>Doctor</v>
      </c>
      <c r="AI1030" t="str">
        <f t="shared" si="211"/>
        <v>Medium</v>
      </c>
      <c r="AJ1030" t="str">
        <f t="shared" si="212"/>
        <v>Very High</v>
      </c>
      <c r="AK1030" t="str">
        <f t="shared" si="213"/>
        <v>Entry</v>
      </c>
      <c r="AL1030" t="str">
        <f t="shared" si="214"/>
        <v>High</v>
      </c>
      <c r="AM1030" t="str">
        <f t="shared" si="215"/>
        <v>Low</v>
      </c>
      <c r="AN1030" t="str">
        <f t="shared" si="216"/>
        <v>No Options</v>
      </c>
      <c r="AO1030" t="str">
        <f t="shared" si="217"/>
        <v>Good</v>
      </c>
      <c r="AP1030" t="str">
        <f t="shared" si="218"/>
        <v>35-44</v>
      </c>
      <c r="AQ1030" t="str">
        <f t="shared" si="219"/>
        <v>Low</v>
      </c>
      <c r="AR1030" t="str">
        <f t="shared" si="220"/>
        <v>3-5 Years</v>
      </c>
    </row>
    <row r="1031" spans="1:44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81</v>
      </c>
      <c r="M1031">
        <v>3</v>
      </c>
      <c r="N1031">
        <v>2</v>
      </c>
      <c r="O1031" t="s">
        <v>50</v>
      </c>
      <c r="P1031">
        <v>3</v>
      </c>
      <c r="Q1031" t="s">
        <v>52</v>
      </c>
      <c r="R1031">
        <v>3975</v>
      </c>
      <c r="S1031">
        <v>3</v>
      </c>
      <c r="T1031" t="s">
        <v>43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  <c r="AF1031">
        <f t="shared" si="208"/>
        <v>0</v>
      </c>
      <c r="AG1031">
        <f t="shared" si="209"/>
        <v>0</v>
      </c>
      <c r="AH1031" t="str">
        <f t="shared" si="210"/>
        <v>Master</v>
      </c>
      <c r="AI1031" t="str">
        <f t="shared" si="211"/>
        <v>High</v>
      </c>
      <c r="AJ1031" t="str">
        <f t="shared" si="212"/>
        <v>High</v>
      </c>
      <c r="AK1031" t="str">
        <f t="shared" si="213"/>
        <v>Junior</v>
      </c>
      <c r="AL1031" t="str">
        <f t="shared" si="214"/>
        <v>High</v>
      </c>
      <c r="AM1031" t="str">
        <f t="shared" si="215"/>
        <v>High</v>
      </c>
      <c r="AN1031" t="str">
        <f t="shared" si="216"/>
        <v>Medium</v>
      </c>
      <c r="AO1031" t="str">
        <f t="shared" si="217"/>
        <v>Best</v>
      </c>
      <c r="AP1031" t="str">
        <f t="shared" si="218"/>
        <v>35-44</v>
      </c>
      <c r="AQ1031" t="str">
        <f t="shared" si="219"/>
        <v>Lower-Mid</v>
      </c>
      <c r="AR1031" t="str">
        <f t="shared" si="220"/>
        <v>6-10 Years</v>
      </c>
    </row>
    <row r="1032" spans="1:44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46</v>
      </c>
      <c r="L1032">
        <v>31</v>
      </c>
      <c r="M1032">
        <v>3</v>
      </c>
      <c r="N1032">
        <v>3</v>
      </c>
      <c r="O1032" t="s">
        <v>40</v>
      </c>
      <c r="P1032">
        <v>4</v>
      </c>
      <c r="Q1032" t="s">
        <v>52</v>
      </c>
      <c r="R1032">
        <v>10793</v>
      </c>
      <c r="S1032">
        <v>1</v>
      </c>
      <c r="T1032" t="s">
        <v>43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  <c r="AF1032">
        <f t="shared" si="208"/>
        <v>0</v>
      </c>
      <c r="AG1032">
        <f t="shared" si="209"/>
        <v>0</v>
      </c>
      <c r="AH1032" t="str">
        <f t="shared" si="210"/>
        <v>College</v>
      </c>
      <c r="AI1032" t="str">
        <f t="shared" si="211"/>
        <v>Low</v>
      </c>
      <c r="AJ1032" t="str">
        <f t="shared" si="212"/>
        <v>High</v>
      </c>
      <c r="AK1032" t="str">
        <f t="shared" si="213"/>
        <v>Mid-Level</v>
      </c>
      <c r="AL1032" t="str">
        <f t="shared" si="214"/>
        <v>Very High</v>
      </c>
      <c r="AM1032" t="str">
        <f t="shared" si="215"/>
        <v>Low</v>
      </c>
      <c r="AN1032" t="str">
        <f t="shared" si="216"/>
        <v>Low</v>
      </c>
      <c r="AO1032" t="str">
        <f t="shared" si="217"/>
        <v>Better</v>
      </c>
      <c r="AP1032" t="str">
        <f t="shared" si="218"/>
        <v>25-34</v>
      </c>
      <c r="AQ1032" t="str">
        <f t="shared" si="219"/>
        <v>Upper-Mid</v>
      </c>
      <c r="AR1032" t="str">
        <f t="shared" si="220"/>
        <v>11-20 Years</v>
      </c>
    </row>
    <row r="1033" spans="1:44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t="s">
        <v>46</v>
      </c>
      <c r="L1033">
        <v>52</v>
      </c>
      <c r="M1033">
        <v>3</v>
      </c>
      <c r="N1033">
        <v>3</v>
      </c>
      <c r="O1033" t="s">
        <v>40</v>
      </c>
      <c r="P1033">
        <v>4</v>
      </c>
      <c r="Q1033" t="s">
        <v>52</v>
      </c>
      <c r="R1033">
        <v>10096</v>
      </c>
      <c r="S1033">
        <v>4</v>
      </c>
      <c r="T1033" t="s">
        <v>43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  <c r="AF1033">
        <f t="shared" si="208"/>
        <v>1</v>
      </c>
      <c r="AG1033">
        <f t="shared" si="209"/>
        <v>0</v>
      </c>
      <c r="AH1033" t="str">
        <f t="shared" si="210"/>
        <v>Bachelor</v>
      </c>
      <c r="AI1033" t="str">
        <f t="shared" si="211"/>
        <v>Low</v>
      </c>
      <c r="AJ1033" t="str">
        <f t="shared" si="212"/>
        <v>High</v>
      </c>
      <c r="AK1033" t="str">
        <f t="shared" si="213"/>
        <v>Mid-Level</v>
      </c>
      <c r="AL1033" t="str">
        <f t="shared" si="214"/>
        <v>Very High</v>
      </c>
      <c r="AM1033" t="str">
        <f t="shared" si="215"/>
        <v>Low</v>
      </c>
      <c r="AN1033" t="str">
        <f t="shared" si="216"/>
        <v>Low</v>
      </c>
      <c r="AO1033" t="str">
        <f t="shared" si="217"/>
        <v>Best</v>
      </c>
      <c r="AP1033" t="str">
        <f t="shared" si="218"/>
        <v>45-54</v>
      </c>
      <c r="AQ1033" t="str">
        <f t="shared" si="219"/>
        <v>Upper-Mid</v>
      </c>
      <c r="AR1033" t="str">
        <f t="shared" si="220"/>
        <v>6-10 Years</v>
      </c>
    </row>
    <row r="1034" spans="1:44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54</v>
      </c>
      <c r="M1034">
        <v>2</v>
      </c>
      <c r="N1034">
        <v>1</v>
      </c>
      <c r="O1034" t="s">
        <v>50</v>
      </c>
      <c r="P1034">
        <v>1</v>
      </c>
      <c r="Q1034" t="s">
        <v>41</v>
      </c>
      <c r="R1034">
        <v>3646</v>
      </c>
      <c r="S1034">
        <v>2</v>
      </c>
      <c r="T1034" t="s">
        <v>35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  <c r="AF1034">
        <f t="shared" si="208"/>
        <v>1</v>
      </c>
      <c r="AG1034">
        <f t="shared" si="209"/>
        <v>1</v>
      </c>
      <c r="AH1034" t="str">
        <f t="shared" si="210"/>
        <v>Bachelor</v>
      </c>
      <c r="AI1034" t="str">
        <f t="shared" si="211"/>
        <v>Low</v>
      </c>
      <c r="AJ1034" t="str">
        <f t="shared" si="212"/>
        <v>Medium</v>
      </c>
      <c r="AK1034" t="str">
        <f t="shared" si="213"/>
        <v>Entry</v>
      </c>
      <c r="AL1034" t="str">
        <f t="shared" si="214"/>
        <v>Low</v>
      </c>
      <c r="AM1034" t="str">
        <f t="shared" si="215"/>
        <v>Medium</v>
      </c>
      <c r="AN1034" t="str">
        <f t="shared" si="216"/>
        <v>No Options</v>
      </c>
      <c r="AO1034" t="str">
        <f t="shared" si="217"/>
        <v>Best</v>
      </c>
      <c r="AP1034" t="str">
        <f t="shared" si="218"/>
        <v>35-44</v>
      </c>
      <c r="AQ1034" t="str">
        <f t="shared" si="219"/>
        <v>Lower-Mid</v>
      </c>
      <c r="AR1034" t="str">
        <f t="shared" si="220"/>
        <v>0-2 Years</v>
      </c>
    </row>
    <row r="1035" spans="1:44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100</v>
      </c>
      <c r="M1035">
        <v>4</v>
      </c>
      <c r="N1035">
        <v>3</v>
      </c>
      <c r="O1035" t="s">
        <v>53</v>
      </c>
      <c r="P1035">
        <v>2</v>
      </c>
      <c r="Q1035" t="s">
        <v>41</v>
      </c>
      <c r="R1035">
        <v>7446</v>
      </c>
      <c r="S1035">
        <v>1</v>
      </c>
      <c r="T1035" t="s">
        <v>43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  <c r="AF1035">
        <f t="shared" si="208"/>
        <v>1</v>
      </c>
      <c r="AG1035">
        <f t="shared" si="209"/>
        <v>0</v>
      </c>
      <c r="AH1035" t="str">
        <f t="shared" si="210"/>
        <v>Doctor</v>
      </c>
      <c r="AI1035" t="str">
        <f t="shared" si="211"/>
        <v>High</v>
      </c>
      <c r="AJ1035" t="str">
        <f t="shared" si="212"/>
        <v>Very High</v>
      </c>
      <c r="AK1035" t="str">
        <f t="shared" si="213"/>
        <v>Mid-Level</v>
      </c>
      <c r="AL1035" t="str">
        <f t="shared" si="214"/>
        <v>Medium</v>
      </c>
      <c r="AM1035" t="str">
        <f t="shared" si="215"/>
        <v>Low</v>
      </c>
      <c r="AN1035" t="str">
        <f t="shared" si="216"/>
        <v>No Options</v>
      </c>
      <c r="AO1035" t="str">
        <f t="shared" si="217"/>
        <v>Better</v>
      </c>
      <c r="AP1035" t="str">
        <f t="shared" si="218"/>
        <v>25-34</v>
      </c>
      <c r="AQ1035" t="str">
        <f t="shared" si="219"/>
        <v>Upper-Mid</v>
      </c>
      <c r="AR1035" t="str">
        <f t="shared" si="220"/>
        <v>6-10 Years</v>
      </c>
    </row>
    <row r="1036" spans="1:44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46</v>
      </c>
      <c r="L1036">
        <v>95</v>
      </c>
      <c r="M1036">
        <v>1</v>
      </c>
      <c r="N1036">
        <v>3</v>
      </c>
      <c r="O1036" t="s">
        <v>54</v>
      </c>
      <c r="P1036">
        <v>1</v>
      </c>
      <c r="Q1036" t="s">
        <v>52</v>
      </c>
      <c r="R1036">
        <v>10851</v>
      </c>
      <c r="S1036">
        <v>2</v>
      </c>
      <c r="T1036" t="s">
        <v>35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  <c r="AF1036">
        <f t="shared" si="208"/>
        <v>0</v>
      </c>
      <c r="AG1036">
        <f t="shared" si="209"/>
        <v>1</v>
      </c>
      <c r="AH1036" t="str">
        <f t="shared" si="210"/>
        <v>Bachelor</v>
      </c>
      <c r="AI1036" t="str">
        <f t="shared" si="211"/>
        <v>Medium</v>
      </c>
      <c r="AJ1036" t="str">
        <f t="shared" si="212"/>
        <v>Low</v>
      </c>
      <c r="AK1036" t="str">
        <f t="shared" si="213"/>
        <v>Mid-Level</v>
      </c>
      <c r="AL1036" t="str">
        <f t="shared" si="214"/>
        <v>Low</v>
      </c>
      <c r="AM1036" t="str">
        <f t="shared" si="215"/>
        <v>Medium</v>
      </c>
      <c r="AN1036" t="str">
        <f t="shared" si="216"/>
        <v>Low</v>
      </c>
      <c r="AO1036" t="str">
        <f t="shared" si="217"/>
        <v>Better</v>
      </c>
      <c r="AP1036" t="str">
        <f t="shared" si="218"/>
        <v>45-54</v>
      </c>
      <c r="AQ1036" t="str">
        <f t="shared" si="219"/>
        <v>Upper-Mid</v>
      </c>
      <c r="AR1036" t="str">
        <f t="shared" si="220"/>
        <v>6-10 Years</v>
      </c>
    </row>
    <row r="1037" spans="1:44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39</v>
      </c>
      <c r="L1037">
        <v>96</v>
      </c>
      <c r="M1037">
        <v>4</v>
      </c>
      <c r="N1037">
        <v>1</v>
      </c>
      <c r="O1037" t="s">
        <v>61</v>
      </c>
      <c r="P1037">
        <v>2</v>
      </c>
      <c r="Q1037" t="s">
        <v>41</v>
      </c>
      <c r="R1037">
        <v>2109</v>
      </c>
      <c r="S1037">
        <v>9</v>
      </c>
      <c r="T1037" t="s">
        <v>43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  <c r="AF1037">
        <f t="shared" si="208"/>
        <v>0</v>
      </c>
      <c r="AG1037">
        <f t="shared" si="209"/>
        <v>0</v>
      </c>
      <c r="AH1037" t="str">
        <f t="shared" si="210"/>
        <v>College</v>
      </c>
      <c r="AI1037" t="str">
        <f t="shared" si="211"/>
        <v>Very High</v>
      </c>
      <c r="AJ1037" t="str">
        <f t="shared" si="212"/>
        <v>Very High</v>
      </c>
      <c r="AK1037" t="str">
        <f t="shared" si="213"/>
        <v>Entry</v>
      </c>
      <c r="AL1037" t="str">
        <f t="shared" si="214"/>
        <v>Medium</v>
      </c>
      <c r="AM1037" t="str">
        <f t="shared" si="215"/>
        <v>Very High</v>
      </c>
      <c r="AN1037" t="str">
        <f t="shared" si="216"/>
        <v>No Options</v>
      </c>
      <c r="AO1037" t="str">
        <f t="shared" si="217"/>
        <v>Better</v>
      </c>
      <c r="AP1037" t="str">
        <f t="shared" si="218"/>
        <v>25-34</v>
      </c>
      <c r="AQ1037" t="str">
        <f t="shared" si="219"/>
        <v>Low</v>
      </c>
      <c r="AR1037" t="str">
        <f t="shared" si="220"/>
        <v>3-5 Years</v>
      </c>
    </row>
    <row r="1038" spans="1:44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46</v>
      </c>
      <c r="L1038">
        <v>94</v>
      </c>
      <c r="M1038">
        <v>3</v>
      </c>
      <c r="N1038">
        <v>1</v>
      </c>
      <c r="O1038" t="s">
        <v>50</v>
      </c>
      <c r="P1038">
        <v>4</v>
      </c>
      <c r="Q1038" t="s">
        <v>48</v>
      </c>
      <c r="R1038">
        <v>3722</v>
      </c>
      <c r="S1038">
        <v>6</v>
      </c>
      <c r="T1038" t="s">
        <v>35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  <c r="AF1038">
        <f t="shared" si="208"/>
        <v>1</v>
      </c>
      <c r="AG1038">
        <f t="shared" si="209"/>
        <v>1</v>
      </c>
      <c r="AH1038" t="str">
        <f t="shared" si="210"/>
        <v>Bachelor</v>
      </c>
      <c r="AI1038" t="str">
        <f t="shared" si="211"/>
        <v>Medium</v>
      </c>
      <c r="AJ1038" t="str">
        <f t="shared" si="212"/>
        <v>High</v>
      </c>
      <c r="AK1038" t="str">
        <f t="shared" si="213"/>
        <v>Entry</v>
      </c>
      <c r="AL1038" t="str">
        <f t="shared" si="214"/>
        <v>Very High</v>
      </c>
      <c r="AM1038" t="str">
        <f t="shared" si="215"/>
        <v>High</v>
      </c>
      <c r="AN1038" t="str">
        <f t="shared" si="216"/>
        <v>Low</v>
      </c>
      <c r="AO1038" t="str">
        <f t="shared" si="217"/>
        <v>Bad</v>
      </c>
      <c r="AP1038" t="str">
        <f t="shared" si="218"/>
        <v>25-34</v>
      </c>
      <c r="AQ1038" t="str">
        <f t="shared" si="219"/>
        <v>Lower-Mid</v>
      </c>
      <c r="AR1038" t="str">
        <f t="shared" si="220"/>
        <v>0-2 Years</v>
      </c>
    </row>
    <row r="1039" spans="1:44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t="s">
        <v>46</v>
      </c>
      <c r="L1039">
        <v>55</v>
      </c>
      <c r="M1039">
        <v>3</v>
      </c>
      <c r="N1039">
        <v>3</v>
      </c>
      <c r="O1039" t="s">
        <v>53</v>
      </c>
      <c r="P1039">
        <v>4</v>
      </c>
      <c r="Q1039" t="s">
        <v>48</v>
      </c>
      <c r="R1039">
        <v>9380</v>
      </c>
      <c r="S1039">
        <v>4</v>
      </c>
      <c r="T1039" t="s">
        <v>35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  <c r="AF1039">
        <f t="shared" si="208"/>
        <v>0</v>
      </c>
      <c r="AG1039">
        <f t="shared" si="209"/>
        <v>1</v>
      </c>
      <c r="AH1039" t="str">
        <f t="shared" si="210"/>
        <v>Bachelor</v>
      </c>
      <c r="AI1039" t="str">
        <f t="shared" si="211"/>
        <v>Medium</v>
      </c>
      <c r="AJ1039" t="str">
        <f t="shared" si="212"/>
        <v>High</v>
      </c>
      <c r="AK1039" t="str">
        <f t="shared" si="213"/>
        <v>Mid-Level</v>
      </c>
      <c r="AL1039" t="str">
        <f t="shared" si="214"/>
        <v>Very High</v>
      </c>
      <c r="AM1039" t="str">
        <f t="shared" si="215"/>
        <v>Very High</v>
      </c>
      <c r="AN1039" t="str">
        <f t="shared" si="216"/>
        <v>Medium</v>
      </c>
      <c r="AO1039" t="str">
        <f t="shared" si="217"/>
        <v>Best</v>
      </c>
      <c r="AP1039" t="str">
        <f t="shared" si="218"/>
        <v>45-54</v>
      </c>
      <c r="AQ1039" t="str">
        <f t="shared" si="219"/>
        <v>Upper-Mid</v>
      </c>
      <c r="AR1039" t="str">
        <f t="shared" si="220"/>
        <v>3-5 Years</v>
      </c>
    </row>
    <row r="1040" spans="1:44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t="s">
        <v>46</v>
      </c>
      <c r="L1040">
        <v>96</v>
      </c>
      <c r="M1040">
        <v>3</v>
      </c>
      <c r="N1040">
        <v>2</v>
      </c>
      <c r="O1040" t="s">
        <v>40</v>
      </c>
      <c r="P1040">
        <v>1</v>
      </c>
      <c r="Q1040" t="s">
        <v>52</v>
      </c>
      <c r="R1040">
        <v>5486</v>
      </c>
      <c r="S1040">
        <v>4</v>
      </c>
      <c r="T1040" t="s">
        <v>43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  <c r="AF1040">
        <f t="shared" si="208"/>
        <v>0</v>
      </c>
      <c r="AG1040">
        <f t="shared" si="209"/>
        <v>0</v>
      </c>
      <c r="AH1040" t="str">
        <f t="shared" si="210"/>
        <v>Bachelor</v>
      </c>
      <c r="AI1040" t="str">
        <f t="shared" si="211"/>
        <v>High</v>
      </c>
      <c r="AJ1040" t="str">
        <f t="shared" si="212"/>
        <v>High</v>
      </c>
      <c r="AK1040" t="str">
        <f t="shared" si="213"/>
        <v>Junior</v>
      </c>
      <c r="AL1040" t="str">
        <f t="shared" si="214"/>
        <v>Low</v>
      </c>
      <c r="AM1040" t="str">
        <f t="shared" si="215"/>
        <v>Low</v>
      </c>
      <c r="AN1040" t="str">
        <f t="shared" si="216"/>
        <v>High</v>
      </c>
      <c r="AO1040" t="str">
        <f t="shared" si="217"/>
        <v>Better</v>
      </c>
      <c r="AP1040" t="str">
        <f t="shared" si="218"/>
        <v>45-54</v>
      </c>
      <c r="AQ1040" t="str">
        <f t="shared" si="219"/>
        <v>Lower-Mid</v>
      </c>
      <c r="AR1040" t="str">
        <f t="shared" si="220"/>
        <v>0-2 Years</v>
      </c>
    </row>
    <row r="1041" spans="1:44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t="s">
        <v>39</v>
      </c>
      <c r="L1041">
        <v>52</v>
      </c>
      <c r="M1041">
        <v>3</v>
      </c>
      <c r="N1041">
        <v>1</v>
      </c>
      <c r="O1041" t="s">
        <v>61</v>
      </c>
      <c r="P1041">
        <v>3</v>
      </c>
      <c r="Q1041" t="s">
        <v>48</v>
      </c>
      <c r="R1041">
        <v>2742</v>
      </c>
      <c r="S1041">
        <v>1</v>
      </c>
      <c r="T1041" t="s">
        <v>43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  <c r="AF1041">
        <f t="shared" si="208"/>
        <v>1</v>
      </c>
      <c r="AG1041">
        <f t="shared" si="209"/>
        <v>0</v>
      </c>
      <c r="AH1041" t="str">
        <f t="shared" si="210"/>
        <v>Master</v>
      </c>
      <c r="AI1041" t="str">
        <f t="shared" si="211"/>
        <v>Low</v>
      </c>
      <c r="AJ1041" t="str">
        <f t="shared" si="212"/>
        <v>High</v>
      </c>
      <c r="AK1041" t="str">
        <f t="shared" si="213"/>
        <v>Entry</v>
      </c>
      <c r="AL1041" t="str">
        <f t="shared" si="214"/>
        <v>High</v>
      </c>
      <c r="AM1041" t="str">
        <f t="shared" si="215"/>
        <v>Very High</v>
      </c>
      <c r="AN1041" t="str">
        <f t="shared" si="216"/>
        <v>No Options</v>
      </c>
      <c r="AO1041" t="str">
        <f t="shared" si="217"/>
        <v>Better</v>
      </c>
      <c r="AP1041" t="str">
        <f t="shared" si="218"/>
        <v>25-34</v>
      </c>
      <c r="AQ1041" t="str">
        <f t="shared" si="219"/>
        <v>Low</v>
      </c>
      <c r="AR1041" t="str">
        <f t="shared" si="220"/>
        <v>0-2 Years</v>
      </c>
    </row>
    <row r="1042" spans="1:44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46</v>
      </c>
      <c r="L1042">
        <v>55</v>
      </c>
      <c r="M1042">
        <v>2</v>
      </c>
      <c r="N1042">
        <v>3</v>
      </c>
      <c r="O1042" t="s">
        <v>58</v>
      </c>
      <c r="P1042">
        <v>2</v>
      </c>
      <c r="Q1042" t="s">
        <v>52</v>
      </c>
      <c r="R1042">
        <v>13757</v>
      </c>
      <c r="S1042">
        <v>2</v>
      </c>
      <c r="T1042" t="s">
        <v>43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  <c r="AF1042">
        <f t="shared" si="208"/>
        <v>0</v>
      </c>
      <c r="AG1042">
        <f t="shared" si="209"/>
        <v>0</v>
      </c>
      <c r="AH1042" t="str">
        <f t="shared" si="210"/>
        <v>Below College</v>
      </c>
      <c r="AI1042" t="str">
        <f t="shared" si="211"/>
        <v>Very High</v>
      </c>
      <c r="AJ1042" t="str">
        <f t="shared" si="212"/>
        <v>Medium</v>
      </c>
      <c r="AK1042" t="str">
        <f t="shared" si="213"/>
        <v>Mid-Level</v>
      </c>
      <c r="AL1042" t="str">
        <f t="shared" si="214"/>
        <v>Medium</v>
      </c>
      <c r="AM1042" t="str">
        <f t="shared" si="215"/>
        <v>High</v>
      </c>
      <c r="AN1042" t="str">
        <f t="shared" si="216"/>
        <v>Low</v>
      </c>
      <c r="AO1042" t="str">
        <f t="shared" si="217"/>
        <v>Better</v>
      </c>
      <c r="AP1042" t="str">
        <f t="shared" si="218"/>
        <v>35-44</v>
      </c>
      <c r="AQ1042" t="str">
        <f t="shared" si="219"/>
        <v>High</v>
      </c>
      <c r="AR1042" t="str">
        <f t="shared" si="220"/>
        <v>6-10 Years</v>
      </c>
    </row>
    <row r="1043" spans="1:44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46</v>
      </c>
      <c r="L1043">
        <v>84</v>
      </c>
      <c r="M1043">
        <v>3</v>
      </c>
      <c r="N1043">
        <v>2</v>
      </c>
      <c r="O1043" t="s">
        <v>40</v>
      </c>
      <c r="P1043">
        <v>1</v>
      </c>
      <c r="Q1043" t="s">
        <v>41</v>
      </c>
      <c r="R1043">
        <v>8463</v>
      </c>
      <c r="S1043">
        <v>0</v>
      </c>
      <c r="T1043" t="s">
        <v>43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  <c r="AF1043">
        <f t="shared" si="208"/>
        <v>0</v>
      </c>
      <c r="AG1043">
        <f t="shared" si="209"/>
        <v>0</v>
      </c>
      <c r="AH1043" t="str">
        <f t="shared" si="210"/>
        <v>Bachelor</v>
      </c>
      <c r="AI1043" t="str">
        <f t="shared" si="211"/>
        <v>Very High</v>
      </c>
      <c r="AJ1043" t="str">
        <f t="shared" si="212"/>
        <v>High</v>
      </c>
      <c r="AK1043" t="str">
        <f t="shared" si="213"/>
        <v>Junior</v>
      </c>
      <c r="AL1043" t="str">
        <f t="shared" si="214"/>
        <v>Low</v>
      </c>
      <c r="AM1043" t="str">
        <f t="shared" si="215"/>
        <v>Very High</v>
      </c>
      <c r="AN1043" t="str">
        <f t="shared" si="216"/>
        <v>No Options</v>
      </c>
      <c r="AO1043" t="str">
        <f t="shared" si="217"/>
        <v>Better</v>
      </c>
      <c r="AP1043" t="str">
        <f t="shared" si="218"/>
        <v>25-34</v>
      </c>
      <c r="AQ1043" t="str">
        <f t="shared" si="219"/>
        <v>Upper-Mid</v>
      </c>
      <c r="AR1043" t="str">
        <f t="shared" si="220"/>
        <v>3-5 Years</v>
      </c>
    </row>
    <row r="1044" spans="1:44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46</v>
      </c>
      <c r="L1044">
        <v>90</v>
      </c>
      <c r="M1044">
        <v>2</v>
      </c>
      <c r="N1044">
        <v>1</v>
      </c>
      <c r="O1044" t="s">
        <v>50</v>
      </c>
      <c r="P1044">
        <v>3</v>
      </c>
      <c r="Q1044" t="s">
        <v>41</v>
      </c>
      <c r="R1044">
        <v>3162</v>
      </c>
      <c r="S1044">
        <v>3</v>
      </c>
      <c r="T1044" t="s">
        <v>43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  <c r="AF1044">
        <f t="shared" si="208"/>
        <v>0</v>
      </c>
      <c r="AG1044">
        <f t="shared" si="209"/>
        <v>0</v>
      </c>
      <c r="AH1044" t="str">
        <f t="shared" si="210"/>
        <v>Bachelor</v>
      </c>
      <c r="AI1044" t="str">
        <f t="shared" si="211"/>
        <v>High</v>
      </c>
      <c r="AJ1044" t="str">
        <f t="shared" si="212"/>
        <v>Medium</v>
      </c>
      <c r="AK1044" t="str">
        <f t="shared" si="213"/>
        <v>Entry</v>
      </c>
      <c r="AL1044" t="str">
        <f t="shared" si="214"/>
        <v>High</v>
      </c>
      <c r="AM1044" t="str">
        <f t="shared" si="215"/>
        <v>Very High</v>
      </c>
      <c r="AN1044" t="str">
        <f t="shared" si="216"/>
        <v>No Options</v>
      </c>
      <c r="AO1044" t="str">
        <f t="shared" si="217"/>
        <v>Better</v>
      </c>
      <c r="AP1044" t="str">
        <f t="shared" si="218"/>
        <v>35-44</v>
      </c>
      <c r="AQ1044" t="str">
        <f t="shared" si="219"/>
        <v>Lower-Mid</v>
      </c>
      <c r="AR1044" t="str">
        <f t="shared" si="220"/>
        <v>3-5 Years</v>
      </c>
    </row>
    <row r="1045" spans="1:44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46</v>
      </c>
      <c r="L1045">
        <v>39</v>
      </c>
      <c r="M1045">
        <v>4</v>
      </c>
      <c r="N1045">
        <v>4</v>
      </c>
      <c r="O1045" t="s">
        <v>58</v>
      </c>
      <c r="P1045">
        <v>2</v>
      </c>
      <c r="Q1045" t="s">
        <v>41</v>
      </c>
      <c r="R1045">
        <v>16598</v>
      </c>
      <c r="S1045">
        <v>4</v>
      </c>
      <c r="T1045" t="s">
        <v>43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  <c r="AF1045">
        <f t="shared" si="208"/>
        <v>0</v>
      </c>
      <c r="AG1045">
        <f t="shared" si="209"/>
        <v>0</v>
      </c>
      <c r="AH1045" t="str">
        <f t="shared" si="210"/>
        <v>Bachelor</v>
      </c>
      <c r="AI1045" t="str">
        <f t="shared" si="211"/>
        <v>Very High</v>
      </c>
      <c r="AJ1045" t="str">
        <f t="shared" si="212"/>
        <v>Very High</v>
      </c>
      <c r="AK1045" t="str">
        <f t="shared" si="213"/>
        <v>Senior</v>
      </c>
      <c r="AL1045" t="str">
        <f t="shared" si="214"/>
        <v>Medium</v>
      </c>
      <c r="AM1045" t="str">
        <f t="shared" si="215"/>
        <v>Medium</v>
      </c>
      <c r="AN1045" t="str">
        <f t="shared" si="216"/>
        <v>No Options</v>
      </c>
      <c r="AO1045" t="str">
        <f t="shared" si="217"/>
        <v>Good</v>
      </c>
      <c r="AP1045" t="str">
        <f t="shared" si="218"/>
        <v>45-54</v>
      </c>
      <c r="AQ1045" t="str">
        <f t="shared" si="219"/>
        <v>High</v>
      </c>
      <c r="AR1045" t="str">
        <f t="shared" si="220"/>
        <v>6-10 Years</v>
      </c>
    </row>
    <row r="1046" spans="1:44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t="s">
        <v>46</v>
      </c>
      <c r="L1046">
        <v>96</v>
      </c>
      <c r="M1046">
        <v>3</v>
      </c>
      <c r="N1046">
        <v>2</v>
      </c>
      <c r="O1046" t="s">
        <v>54</v>
      </c>
      <c r="P1046">
        <v>3</v>
      </c>
      <c r="Q1046" t="s">
        <v>48</v>
      </c>
      <c r="R1046">
        <v>6651</v>
      </c>
      <c r="S1046">
        <v>2</v>
      </c>
      <c r="T1046" t="s">
        <v>43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  <c r="AF1046">
        <f t="shared" si="208"/>
        <v>0</v>
      </c>
      <c r="AG1046">
        <f t="shared" si="209"/>
        <v>0</v>
      </c>
      <c r="AH1046" t="str">
        <f t="shared" si="210"/>
        <v>Master</v>
      </c>
      <c r="AI1046" t="str">
        <f t="shared" si="211"/>
        <v>Low</v>
      </c>
      <c r="AJ1046" t="str">
        <f t="shared" si="212"/>
        <v>High</v>
      </c>
      <c r="AK1046" t="str">
        <f t="shared" si="213"/>
        <v>Junior</v>
      </c>
      <c r="AL1046" t="str">
        <f t="shared" si="214"/>
        <v>High</v>
      </c>
      <c r="AM1046" t="str">
        <f t="shared" si="215"/>
        <v>Medium</v>
      </c>
      <c r="AN1046" t="str">
        <f t="shared" si="216"/>
        <v>Low</v>
      </c>
      <c r="AO1046" t="str">
        <f t="shared" si="217"/>
        <v>Good</v>
      </c>
      <c r="AP1046" t="str">
        <f t="shared" si="218"/>
        <v>45-54</v>
      </c>
      <c r="AQ1046" t="str">
        <f t="shared" si="219"/>
        <v>Lower-Mid</v>
      </c>
      <c r="AR1046" t="str">
        <f t="shared" si="220"/>
        <v>3-5 Years</v>
      </c>
    </row>
    <row r="1047" spans="1:44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46</v>
      </c>
      <c r="L1047">
        <v>68</v>
      </c>
      <c r="M1047">
        <v>3</v>
      </c>
      <c r="N1047">
        <v>1</v>
      </c>
      <c r="O1047" t="s">
        <v>47</v>
      </c>
      <c r="P1047">
        <v>3</v>
      </c>
      <c r="Q1047" t="s">
        <v>52</v>
      </c>
      <c r="R1047">
        <v>2345</v>
      </c>
      <c r="S1047">
        <v>2</v>
      </c>
      <c r="T1047" t="s">
        <v>43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  <c r="AF1047">
        <f t="shared" si="208"/>
        <v>0</v>
      </c>
      <c r="AG1047">
        <f t="shared" si="209"/>
        <v>0</v>
      </c>
      <c r="AH1047" t="str">
        <f t="shared" si="210"/>
        <v>Bachelor</v>
      </c>
      <c r="AI1047" t="str">
        <f t="shared" si="211"/>
        <v>High</v>
      </c>
      <c r="AJ1047" t="str">
        <f t="shared" si="212"/>
        <v>High</v>
      </c>
      <c r="AK1047" t="str">
        <f t="shared" si="213"/>
        <v>Entry</v>
      </c>
      <c r="AL1047" t="str">
        <f t="shared" si="214"/>
        <v>High</v>
      </c>
      <c r="AM1047" t="str">
        <f t="shared" si="215"/>
        <v>High</v>
      </c>
      <c r="AN1047" t="str">
        <f t="shared" si="216"/>
        <v>Low</v>
      </c>
      <c r="AO1047" t="str">
        <f t="shared" si="217"/>
        <v>Best</v>
      </c>
      <c r="AP1047" t="str">
        <f t="shared" si="218"/>
        <v>35-44</v>
      </c>
      <c r="AQ1047" t="str">
        <f t="shared" si="219"/>
        <v>Low</v>
      </c>
      <c r="AR1047" t="str">
        <f t="shared" si="220"/>
        <v>3-5 Years</v>
      </c>
    </row>
    <row r="1048" spans="1:44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46</v>
      </c>
      <c r="L1048">
        <v>49</v>
      </c>
      <c r="M1048">
        <v>3</v>
      </c>
      <c r="N1048">
        <v>1</v>
      </c>
      <c r="O1048" t="s">
        <v>47</v>
      </c>
      <c r="P1048">
        <v>2</v>
      </c>
      <c r="Q1048" t="s">
        <v>41</v>
      </c>
      <c r="R1048">
        <v>3420</v>
      </c>
      <c r="S1048">
        <v>1</v>
      </c>
      <c r="T1048" t="s">
        <v>43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  <c r="AF1048">
        <f t="shared" si="208"/>
        <v>0</v>
      </c>
      <c r="AG1048">
        <f t="shared" si="209"/>
        <v>0</v>
      </c>
      <c r="AH1048" t="str">
        <f t="shared" si="210"/>
        <v>Bachelor</v>
      </c>
      <c r="AI1048" t="str">
        <f t="shared" si="211"/>
        <v>Very High</v>
      </c>
      <c r="AJ1048" t="str">
        <f t="shared" si="212"/>
        <v>High</v>
      </c>
      <c r="AK1048" t="str">
        <f t="shared" si="213"/>
        <v>Entry</v>
      </c>
      <c r="AL1048" t="str">
        <f t="shared" si="214"/>
        <v>Medium</v>
      </c>
      <c r="AM1048" t="str">
        <f t="shared" si="215"/>
        <v>High</v>
      </c>
      <c r="AN1048" t="str">
        <f t="shared" si="216"/>
        <v>No Options</v>
      </c>
      <c r="AO1048" t="str">
        <f t="shared" si="217"/>
        <v>Good</v>
      </c>
      <c r="AP1048" t="str">
        <f t="shared" si="218"/>
        <v>35-44</v>
      </c>
      <c r="AQ1048" t="str">
        <f t="shared" si="219"/>
        <v>Lower-Mid</v>
      </c>
      <c r="AR1048" t="str">
        <f t="shared" si="220"/>
        <v>3-5 Years</v>
      </c>
    </row>
    <row r="1049" spans="1:44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46</v>
      </c>
      <c r="L1049">
        <v>54</v>
      </c>
      <c r="M1049">
        <v>3</v>
      </c>
      <c r="N1049">
        <v>2</v>
      </c>
      <c r="O1049" t="s">
        <v>40</v>
      </c>
      <c r="P1049">
        <v>1</v>
      </c>
      <c r="Q1049" t="s">
        <v>48</v>
      </c>
      <c r="R1049">
        <v>4373</v>
      </c>
      <c r="S1049">
        <v>0</v>
      </c>
      <c r="T1049" t="s">
        <v>43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  <c r="AF1049">
        <f t="shared" si="208"/>
        <v>0</v>
      </c>
      <c r="AG1049">
        <f t="shared" si="209"/>
        <v>0</v>
      </c>
      <c r="AH1049" t="str">
        <f t="shared" si="210"/>
        <v>Bachelor</v>
      </c>
      <c r="AI1049" t="str">
        <f t="shared" si="211"/>
        <v>Very High</v>
      </c>
      <c r="AJ1049" t="str">
        <f t="shared" si="212"/>
        <v>High</v>
      </c>
      <c r="AK1049" t="str">
        <f t="shared" si="213"/>
        <v>Junior</v>
      </c>
      <c r="AL1049" t="str">
        <f t="shared" si="214"/>
        <v>Low</v>
      </c>
      <c r="AM1049" t="str">
        <f t="shared" si="215"/>
        <v>Low</v>
      </c>
      <c r="AN1049" t="str">
        <f t="shared" si="216"/>
        <v>Medium</v>
      </c>
      <c r="AO1049" t="str">
        <f t="shared" si="217"/>
        <v>Better</v>
      </c>
      <c r="AP1049" t="str">
        <f t="shared" si="218"/>
        <v>25-34</v>
      </c>
      <c r="AQ1049" t="str">
        <f t="shared" si="219"/>
        <v>Lower-Mid</v>
      </c>
      <c r="AR1049" t="str">
        <f t="shared" si="220"/>
        <v>3-5 Years</v>
      </c>
    </row>
    <row r="1050" spans="1:44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81</v>
      </c>
      <c r="M1050">
        <v>1</v>
      </c>
      <c r="N1050">
        <v>2</v>
      </c>
      <c r="O1050" t="s">
        <v>40</v>
      </c>
      <c r="P1050">
        <v>1</v>
      </c>
      <c r="Q1050" t="s">
        <v>41</v>
      </c>
      <c r="R1050">
        <v>4759</v>
      </c>
      <c r="S1050">
        <v>3</v>
      </c>
      <c r="T1050" t="s">
        <v>43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  <c r="AF1050">
        <f t="shared" si="208"/>
        <v>0</v>
      </c>
      <c r="AG1050">
        <f t="shared" si="209"/>
        <v>0</v>
      </c>
      <c r="AH1050" t="str">
        <f t="shared" si="210"/>
        <v>Bachelor</v>
      </c>
      <c r="AI1050" t="str">
        <f t="shared" si="211"/>
        <v>Very High</v>
      </c>
      <c r="AJ1050" t="str">
        <f t="shared" si="212"/>
        <v>Low</v>
      </c>
      <c r="AK1050" t="str">
        <f t="shared" si="213"/>
        <v>Junior</v>
      </c>
      <c r="AL1050" t="str">
        <f t="shared" si="214"/>
        <v>Low</v>
      </c>
      <c r="AM1050" t="str">
        <f t="shared" si="215"/>
        <v>Very High</v>
      </c>
      <c r="AN1050" t="str">
        <f t="shared" si="216"/>
        <v>No Options</v>
      </c>
      <c r="AO1050" t="str">
        <f t="shared" si="217"/>
        <v>Better</v>
      </c>
      <c r="AP1050" t="str">
        <f t="shared" si="218"/>
        <v>25-34</v>
      </c>
      <c r="AQ1050" t="str">
        <f t="shared" si="219"/>
        <v>Lower-Mid</v>
      </c>
      <c r="AR1050" t="str">
        <f t="shared" si="220"/>
        <v>11-20 Years</v>
      </c>
    </row>
    <row r="1051" spans="1:44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46</v>
      </c>
      <c r="L1051">
        <v>96</v>
      </c>
      <c r="M1051">
        <v>3</v>
      </c>
      <c r="N1051">
        <v>2</v>
      </c>
      <c r="O1051" t="s">
        <v>40</v>
      </c>
      <c r="P1051">
        <v>3</v>
      </c>
      <c r="Q1051" t="s">
        <v>48</v>
      </c>
      <c r="R1051">
        <v>5301</v>
      </c>
      <c r="S1051">
        <v>8</v>
      </c>
      <c r="T1051" t="s">
        <v>43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  <c r="AF1051">
        <f t="shared" si="208"/>
        <v>0</v>
      </c>
      <c r="AG1051">
        <f t="shared" si="209"/>
        <v>0</v>
      </c>
      <c r="AH1051" t="str">
        <f t="shared" si="210"/>
        <v>Below College</v>
      </c>
      <c r="AI1051" t="str">
        <f t="shared" si="211"/>
        <v>Very High</v>
      </c>
      <c r="AJ1051" t="str">
        <f t="shared" si="212"/>
        <v>High</v>
      </c>
      <c r="AK1051" t="str">
        <f t="shared" si="213"/>
        <v>Junior</v>
      </c>
      <c r="AL1051" t="str">
        <f t="shared" si="214"/>
        <v>High</v>
      </c>
      <c r="AM1051" t="str">
        <f t="shared" si="215"/>
        <v>High</v>
      </c>
      <c r="AN1051" t="str">
        <f t="shared" si="216"/>
        <v>Medium</v>
      </c>
      <c r="AO1051" t="str">
        <f t="shared" si="217"/>
        <v>Good</v>
      </c>
      <c r="AP1051" t="str">
        <f t="shared" si="218"/>
        <v>25-34</v>
      </c>
      <c r="AQ1051" t="str">
        <f t="shared" si="219"/>
        <v>Lower-Mid</v>
      </c>
      <c r="AR1051" t="str">
        <f t="shared" si="220"/>
        <v>0-2 Years</v>
      </c>
    </row>
    <row r="1052" spans="1:44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39</v>
      </c>
      <c r="L1052">
        <v>74</v>
      </c>
      <c r="M1052">
        <v>3</v>
      </c>
      <c r="N1052">
        <v>1</v>
      </c>
      <c r="O1052" t="s">
        <v>50</v>
      </c>
      <c r="P1052">
        <v>4</v>
      </c>
      <c r="Q1052" t="s">
        <v>41</v>
      </c>
      <c r="R1052">
        <v>3673</v>
      </c>
      <c r="S1052">
        <v>1</v>
      </c>
      <c r="T1052" t="s">
        <v>43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  <c r="AF1052">
        <f t="shared" si="208"/>
        <v>0</v>
      </c>
      <c r="AG1052">
        <f t="shared" si="209"/>
        <v>0</v>
      </c>
      <c r="AH1052" t="str">
        <f t="shared" si="210"/>
        <v>College</v>
      </c>
      <c r="AI1052" t="str">
        <f t="shared" si="211"/>
        <v>Low</v>
      </c>
      <c r="AJ1052" t="str">
        <f t="shared" si="212"/>
        <v>High</v>
      </c>
      <c r="AK1052" t="str">
        <f t="shared" si="213"/>
        <v>Entry</v>
      </c>
      <c r="AL1052" t="str">
        <f t="shared" si="214"/>
        <v>Very High</v>
      </c>
      <c r="AM1052" t="str">
        <f t="shared" si="215"/>
        <v>High</v>
      </c>
      <c r="AN1052" t="str">
        <f t="shared" si="216"/>
        <v>No Options</v>
      </c>
      <c r="AO1052" t="str">
        <f t="shared" si="217"/>
        <v>Better</v>
      </c>
      <c r="AP1052" t="str">
        <f t="shared" si="218"/>
        <v>35-44</v>
      </c>
      <c r="AQ1052" t="str">
        <f t="shared" si="219"/>
        <v>Lower-Mid</v>
      </c>
      <c r="AR1052" t="str">
        <f t="shared" si="220"/>
        <v>11-20 Years</v>
      </c>
    </row>
    <row r="1053" spans="1:44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t="s">
        <v>39</v>
      </c>
      <c r="L1053">
        <v>79</v>
      </c>
      <c r="M1053">
        <v>3</v>
      </c>
      <c r="N1053">
        <v>2</v>
      </c>
      <c r="O1053" t="s">
        <v>40</v>
      </c>
      <c r="P1053">
        <v>3</v>
      </c>
      <c r="Q1053" t="s">
        <v>48</v>
      </c>
      <c r="R1053">
        <v>4768</v>
      </c>
      <c r="S1053">
        <v>7</v>
      </c>
      <c r="T1053" t="s">
        <v>43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  <c r="AF1053">
        <f t="shared" si="208"/>
        <v>0</v>
      </c>
      <c r="AG1053">
        <f t="shared" si="209"/>
        <v>0</v>
      </c>
      <c r="AH1053" t="str">
        <f t="shared" si="210"/>
        <v>Doctor</v>
      </c>
      <c r="AI1053" t="str">
        <f t="shared" si="211"/>
        <v>Low</v>
      </c>
      <c r="AJ1053" t="str">
        <f t="shared" si="212"/>
        <v>High</v>
      </c>
      <c r="AK1053" t="str">
        <f t="shared" si="213"/>
        <v>Junior</v>
      </c>
      <c r="AL1053" t="str">
        <f t="shared" si="214"/>
        <v>High</v>
      </c>
      <c r="AM1053" t="str">
        <f t="shared" si="215"/>
        <v>High</v>
      </c>
      <c r="AN1053" t="str">
        <f t="shared" si="216"/>
        <v>Low</v>
      </c>
      <c r="AO1053" t="str">
        <f t="shared" si="217"/>
        <v>Good</v>
      </c>
      <c r="AP1053" t="str">
        <f t="shared" si="218"/>
        <v>35-44</v>
      </c>
      <c r="AQ1053" t="str">
        <f t="shared" si="219"/>
        <v>Lower-Mid</v>
      </c>
      <c r="AR1053" t="str">
        <f t="shared" si="220"/>
        <v>0-2 Years</v>
      </c>
    </row>
    <row r="1054" spans="1:44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t="s">
        <v>46</v>
      </c>
      <c r="L1054">
        <v>64</v>
      </c>
      <c r="M1054">
        <v>3</v>
      </c>
      <c r="N1054">
        <v>1</v>
      </c>
      <c r="O1054" t="s">
        <v>47</v>
      </c>
      <c r="P1054">
        <v>3</v>
      </c>
      <c r="Q1054" t="s">
        <v>52</v>
      </c>
      <c r="R1054">
        <v>1274</v>
      </c>
      <c r="S1054">
        <v>1</v>
      </c>
      <c r="T1054" t="s">
        <v>43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  <c r="AF1054">
        <f t="shared" si="208"/>
        <v>0</v>
      </c>
      <c r="AG1054">
        <f t="shared" si="209"/>
        <v>0</v>
      </c>
      <c r="AH1054" t="str">
        <f t="shared" si="210"/>
        <v>Bachelor</v>
      </c>
      <c r="AI1054" t="str">
        <f t="shared" si="211"/>
        <v>High</v>
      </c>
      <c r="AJ1054" t="str">
        <f t="shared" si="212"/>
        <v>High</v>
      </c>
      <c r="AK1054" t="str">
        <f t="shared" si="213"/>
        <v>Entry</v>
      </c>
      <c r="AL1054" t="str">
        <f t="shared" si="214"/>
        <v>High</v>
      </c>
      <c r="AM1054" t="str">
        <f t="shared" si="215"/>
        <v>Medium</v>
      </c>
      <c r="AN1054" t="str">
        <f t="shared" si="216"/>
        <v>Medium</v>
      </c>
      <c r="AO1054" t="str">
        <f t="shared" si="217"/>
        <v>Good</v>
      </c>
      <c r="AP1054" t="str">
        <f t="shared" si="218"/>
        <v>25-34</v>
      </c>
      <c r="AQ1054" t="str">
        <f t="shared" si="219"/>
        <v>Low</v>
      </c>
      <c r="AR1054" t="str">
        <f t="shared" si="220"/>
        <v>0-2 Years</v>
      </c>
    </row>
    <row r="1055" spans="1:44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46</v>
      </c>
      <c r="L1055">
        <v>93</v>
      </c>
      <c r="M1055">
        <v>4</v>
      </c>
      <c r="N1055">
        <v>2</v>
      </c>
      <c r="O1055" t="s">
        <v>47</v>
      </c>
      <c r="P1055">
        <v>3</v>
      </c>
      <c r="Q1055" t="s">
        <v>48</v>
      </c>
      <c r="R1055">
        <v>4900</v>
      </c>
      <c r="S1055">
        <v>0</v>
      </c>
      <c r="T1055" t="s">
        <v>43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  <c r="AF1055">
        <f t="shared" si="208"/>
        <v>0</v>
      </c>
      <c r="AG1055">
        <f t="shared" si="209"/>
        <v>0</v>
      </c>
      <c r="AH1055" t="str">
        <f t="shared" si="210"/>
        <v>College</v>
      </c>
      <c r="AI1055" t="str">
        <f t="shared" si="211"/>
        <v>Medium</v>
      </c>
      <c r="AJ1055" t="str">
        <f t="shared" si="212"/>
        <v>Very High</v>
      </c>
      <c r="AK1055" t="str">
        <f t="shared" si="213"/>
        <v>Junior</v>
      </c>
      <c r="AL1055" t="str">
        <f t="shared" si="214"/>
        <v>High</v>
      </c>
      <c r="AM1055" t="str">
        <f t="shared" si="215"/>
        <v>Low</v>
      </c>
      <c r="AN1055" t="str">
        <f t="shared" si="216"/>
        <v>Low</v>
      </c>
      <c r="AO1055" t="str">
        <f t="shared" si="217"/>
        <v>Good</v>
      </c>
      <c r="AP1055" t="str">
        <f t="shared" si="218"/>
        <v>55+</v>
      </c>
      <c r="AQ1055" t="str">
        <f t="shared" si="219"/>
        <v>Lower-Mid</v>
      </c>
      <c r="AR1055" t="str">
        <f t="shared" si="220"/>
        <v>11-20 Years</v>
      </c>
    </row>
    <row r="1056" spans="1:44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46</v>
      </c>
      <c r="L1056">
        <v>35</v>
      </c>
      <c r="M1056">
        <v>3</v>
      </c>
      <c r="N1056">
        <v>3</v>
      </c>
      <c r="O1056" t="s">
        <v>54</v>
      </c>
      <c r="P1056">
        <v>2</v>
      </c>
      <c r="Q1056" t="s">
        <v>52</v>
      </c>
      <c r="R1056">
        <v>10466</v>
      </c>
      <c r="S1056">
        <v>3</v>
      </c>
      <c r="T1056" t="s">
        <v>43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  <c r="AF1056">
        <f t="shared" si="208"/>
        <v>0</v>
      </c>
      <c r="AG1056">
        <f t="shared" si="209"/>
        <v>0</v>
      </c>
      <c r="AH1056" t="str">
        <f t="shared" si="210"/>
        <v>Master</v>
      </c>
      <c r="AI1056" t="str">
        <f t="shared" si="211"/>
        <v>High</v>
      </c>
      <c r="AJ1056" t="str">
        <f t="shared" si="212"/>
        <v>High</v>
      </c>
      <c r="AK1056" t="str">
        <f t="shared" si="213"/>
        <v>Mid-Level</v>
      </c>
      <c r="AL1056" t="str">
        <f t="shared" si="214"/>
        <v>Medium</v>
      </c>
      <c r="AM1056" t="str">
        <f t="shared" si="215"/>
        <v>Medium</v>
      </c>
      <c r="AN1056" t="str">
        <f t="shared" si="216"/>
        <v>Medium</v>
      </c>
      <c r="AO1056" t="str">
        <f t="shared" si="217"/>
        <v>Better</v>
      </c>
      <c r="AP1056" t="str">
        <f t="shared" si="218"/>
        <v>45-54</v>
      </c>
      <c r="AQ1056" t="str">
        <f t="shared" si="219"/>
        <v>Upper-Mid</v>
      </c>
      <c r="AR1056" t="str">
        <f t="shared" si="220"/>
        <v>6-10 Years</v>
      </c>
    </row>
    <row r="1057" spans="1:44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46</v>
      </c>
      <c r="L1057">
        <v>71</v>
      </c>
      <c r="M1057">
        <v>3</v>
      </c>
      <c r="N1057">
        <v>4</v>
      </c>
      <c r="O1057" t="s">
        <v>58</v>
      </c>
      <c r="P1057">
        <v>1</v>
      </c>
      <c r="Q1057" t="s">
        <v>52</v>
      </c>
      <c r="R1057">
        <v>17007</v>
      </c>
      <c r="S1057">
        <v>7</v>
      </c>
      <c r="T1057" t="s">
        <v>43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  <c r="AF1057">
        <f t="shared" si="208"/>
        <v>0</v>
      </c>
      <c r="AG1057">
        <f t="shared" si="209"/>
        <v>0</v>
      </c>
      <c r="AH1057" t="str">
        <f t="shared" si="210"/>
        <v>Bachelor</v>
      </c>
      <c r="AI1057" t="str">
        <f t="shared" si="211"/>
        <v>Medium</v>
      </c>
      <c r="AJ1057" t="str">
        <f t="shared" si="212"/>
        <v>High</v>
      </c>
      <c r="AK1057" t="str">
        <f t="shared" si="213"/>
        <v>Senior</v>
      </c>
      <c r="AL1057" t="str">
        <f t="shared" si="214"/>
        <v>Low</v>
      </c>
      <c r="AM1057" t="str">
        <f t="shared" si="215"/>
        <v>Very High</v>
      </c>
      <c r="AN1057" t="str">
        <f t="shared" si="216"/>
        <v>Medium</v>
      </c>
      <c r="AO1057" t="str">
        <f t="shared" si="217"/>
        <v>Good</v>
      </c>
      <c r="AP1057" t="str">
        <f t="shared" si="218"/>
        <v>25-34</v>
      </c>
      <c r="AQ1057" t="str">
        <f t="shared" si="219"/>
        <v>High</v>
      </c>
      <c r="AR1057" t="str">
        <f t="shared" si="220"/>
        <v>11-20 Years</v>
      </c>
    </row>
    <row r="1058" spans="1:44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t="s">
        <v>46</v>
      </c>
      <c r="L1058">
        <v>92</v>
      </c>
      <c r="M1058">
        <v>3</v>
      </c>
      <c r="N1058">
        <v>1</v>
      </c>
      <c r="O1058" t="s">
        <v>57</v>
      </c>
      <c r="P1058">
        <v>3</v>
      </c>
      <c r="Q1058" t="s">
        <v>48</v>
      </c>
      <c r="R1058">
        <v>2909</v>
      </c>
      <c r="S1058">
        <v>3</v>
      </c>
      <c r="T1058" t="s">
        <v>43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  <c r="AF1058">
        <f t="shared" si="208"/>
        <v>1</v>
      </c>
      <c r="AG1058">
        <f t="shared" si="209"/>
        <v>0</v>
      </c>
      <c r="AH1058" t="str">
        <f t="shared" si="210"/>
        <v>Bachelor</v>
      </c>
      <c r="AI1058" t="str">
        <f t="shared" si="211"/>
        <v>Low</v>
      </c>
      <c r="AJ1058" t="str">
        <f t="shared" si="212"/>
        <v>High</v>
      </c>
      <c r="AK1058" t="str">
        <f t="shared" si="213"/>
        <v>Entry</v>
      </c>
      <c r="AL1058" t="str">
        <f t="shared" si="214"/>
        <v>High</v>
      </c>
      <c r="AM1058" t="str">
        <f t="shared" si="215"/>
        <v>Very High</v>
      </c>
      <c r="AN1058" t="str">
        <f t="shared" si="216"/>
        <v>Low</v>
      </c>
      <c r="AO1058" t="str">
        <f t="shared" si="217"/>
        <v>Best</v>
      </c>
      <c r="AP1058" t="str">
        <f t="shared" si="218"/>
        <v>25-34</v>
      </c>
      <c r="AQ1058" t="str">
        <f t="shared" si="219"/>
        <v>Low</v>
      </c>
      <c r="AR1058" t="str">
        <f t="shared" si="220"/>
        <v>3-5 Years</v>
      </c>
    </row>
    <row r="1059" spans="1:44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t="s">
        <v>39</v>
      </c>
      <c r="L1059">
        <v>51</v>
      </c>
      <c r="M1059">
        <v>3</v>
      </c>
      <c r="N1059">
        <v>2</v>
      </c>
      <c r="O1059" t="s">
        <v>40</v>
      </c>
      <c r="P1059">
        <v>2</v>
      </c>
      <c r="Q1059" t="s">
        <v>41</v>
      </c>
      <c r="R1059">
        <v>5765</v>
      </c>
      <c r="S1059">
        <v>5</v>
      </c>
      <c r="T1059" t="s">
        <v>43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  <c r="AF1059">
        <f t="shared" si="208"/>
        <v>1</v>
      </c>
      <c r="AG1059">
        <f t="shared" si="209"/>
        <v>0</v>
      </c>
      <c r="AH1059" t="str">
        <f t="shared" si="210"/>
        <v>Bachelor</v>
      </c>
      <c r="AI1059" t="str">
        <f t="shared" si="211"/>
        <v>Low</v>
      </c>
      <c r="AJ1059" t="str">
        <f t="shared" si="212"/>
        <v>High</v>
      </c>
      <c r="AK1059" t="str">
        <f t="shared" si="213"/>
        <v>Junior</v>
      </c>
      <c r="AL1059" t="str">
        <f t="shared" si="214"/>
        <v>Medium</v>
      </c>
      <c r="AM1059" t="str">
        <f t="shared" si="215"/>
        <v>Low</v>
      </c>
      <c r="AN1059" t="str">
        <f t="shared" si="216"/>
        <v>No Options</v>
      </c>
      <c r="AO1059" t="str">
        <f t="shared" si="217"/>
        <v>Bad</v>
      </c>
      <c r="AP1059" t="str">
        <f t="shared" si="218"/>
        <v>25-34</v>
      </c>
      <c r="AQ1059" t="str">
        <f t="shared" si="219"/>
        <v>Lower-Mid</v>
      </c>
      <c r="AR1059" t="str">
        <f t="shared" si="220"/>
        <v>3-5 Years</v>
      </c>
    </row>
    <row r="1060" spans="1:44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39</v>
      </c>
      <c r="L1060">
        <v>40</v>
      </c>
      <c r="M1060">
        <v>2</v>
      </c>
      <c r="N1060">
        <v>2</v>
      </c>
      <c r="O1060" t="s">
        <v>40</v>
      </c>
      <c r="P1060">
        <v>2</v>
      </c>
      <c r="Q1060" t="s">
        <v>41</v>
      </c>
      <c r="R1060">
        <v>4599</v>
      </c>
      <c r="S1060">
        <v>0</v>
      </c>
      <c r="T1060" t="s">
        <v>35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  <c r="AF1060">
        <f t="shared" si="208"/>
        <v>1</v>
      </c>
      <c r="AG1060">
        <f t="shared" si="209"/>
        <v>1</v>
      </c>
      <c r="AH1060" t="str">
        <f t="shared" si="210"/>
        <v>Master</v>
      </c>
      <c r="AI1060" t="str">
        <f t="shared" si="211"/>
        <v>Low</v>
      </c>
      <c r="AJ1060" t="str">
        <f t="shared" si="212"/>
        <v>Medium</v>
      </c>
      <c r="AK1060" t="str">
        <f t="shared" si="213"/>
        <v>Junior</v>
      </c>
      <c r="AL1060" t="str">
        <f t="shared" si="214"/>
        <v>Medium</v>
      </c>
      <c r="AM1060" t="str">
        <f t="shared" si="215"/>
        <v>High</v>
      </c>
      <c r="AN1060" t="str">
        <f t="shared" si="216"/>
        <v>No Options</v>
      </c>
      <c r="AO1060" t="str">
        <f t="shared" si="217"/>
        <v>Best</v>
      </c>
      <c r="AP1060" t="str">
        <f t="shared" si="218"/>
        <v>25-34</v>
      </c>
      <c r="AQ1060" t="str">
        <f t="shared" si="219"/>
        <v>Lower-Mid</v>
      </c>
      <c r="AR1060" t="str">
        <f t="shared" si="220"/>
        <v>11-20 Years</v>
      </c>
    </row>
    <row r="1061" spans="1:44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46</v>
      </c>
      <c r="L1061">
        <v>76</v>
      </c>
      <c r="M1061">
        <v>3</v>
      </c>
      <c r="N1061">
        <v>1</v>
      </c>
      <c r="O1061" t="s">
        <v>57</v>
      </c>
      <c r="P1061">
        <v>3</v>
      </c>
      <c r="Q1061" t="s">
        <v>48</v>
      </c>
      <c r="R1061">
        <v>2404</v>
      </c>
      <c r="S1061">
        <v>1</v>
      </c>
      <c r="T1061" t="s">
        <v>43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  <c r="AF1061">
        <f t="shared" si="208"/>
        <v>0</v>
      </c>
      <c r="AG1061">
        <f t="shared" si="209"/>
        <v>0</v>
      </c>
      <c r="AH1061" t="str">
        <f t="shared" si="210"/>
        <v>Below College</v>
      </c>
      <c r="AI1061" t="str">
        <f t="shared" si="211"/>
        <v>Very High</v>
      </c>
      <c r="AJ1061" t="str">
        <f t="shared" si="212"/>
        <v>High</v>
      </c>
      <c r="AK1061" t="str">
        <f t="shared" si="213"/>
        <v>Entry</v>
      </c>
      <c r="AL1061" t="str">
        <f t="shared" si="214"/>
        <v>High</v>
      </c>
      <c r="AM1061" t="str">
        <f t="shared" si="215"/>
        <v>Low</v>
      </c>
      <c r="AN1061" t="str">
        <f t="shared" si="216"/>
        <v>Low</v>
      </c>
      <c r="AO1061" t="str">
        <f t="shared" si="217"/>
        <v>Better</v>
      </c>
      <c r="AP1061" t="str">
        <f t="shared" si="218"/>
        <v>35-44</v>
      </c>
      <c r="AQ1061" t="str">
        <f t="shared" si="219"/>
        <v>Low</v>
      </c>
      <c r="AR1061" t="str">
        <f t="shared" si="220"/>
        <v>0-2 Years</v>
      </c>
    </row>
    <row r="1062" spans="1:44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46</v>
      </c>
      <c r="L1062">
        <v>89</v>
      </c>
      <c r="M1062">
        <v>3</v>
      </c>
      <c r="N1062">
        <v>1</v>
      </c>
      <c r="O1062" t="s">
        <v>50</v>
      </c>
      <c r="P1062">
        <v>1</v>
      </c>
      <c r="Q1062" t="s">
        <v>41</v>
      </c>
      <c r="R1062">
        <v>3172</v>
      </c>
      <c r="S1062">
        <v>2</v>
      </c>
      <c r="T1062" t="s">
        <v>35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  <c r="AF1062">
        <f t="shared" si="208"/>
        <v>1</v>
      </c>
      <c r="AG1062">
        <f t="shared" si="209"/>
        <v>1</v>
      </c>
      <c r="AH1062" t="str">
        <f t="shared" si="210"/>
        <v>Bachelor</v>
      </c>
      <c r="AI1062" t="str">
        <f t="shared" si="211"/>
        <v>Medium</v>
      </c>
      <c r="AJ1062" t="str">
        <f t="shared" si="212"/>
        <v>High</v>
      </c>
      <c r="AK1062" t="str">
        <f t="shared" si="213"/>
        <v>Entry</v>
      </c>
      <c r="AL1062" t="str">
        <f t="shared" si="214"/>
        <v>Low</v>
      </c>
      <c r="AM1062" t="str">
        <f t="shared" si="215"/>
        <v>High</v>
      </c>
      <c r="AN1062" t="str">
        <f t="shared" si="216"/>
        <v>No Options</v>
      </c>
      <c r="AO1062" t="str">
        <f t="shared" si="217"/>
        <v>Good</v>
      </c>
      <c r="AP1062" t="str">
        <f t="shared" si="218"/>
        <v>Under 25</v>
      </c>
      <c r="AQ1062" t="str">
        <f t="shared" si="219"/>
        <v>Lower-Mid</v>
      </c>
      <c r="AR1062" t="str">
        <f t="shared" si="220"/>
        <v>0-2 Years</v>
      </c>
    </row>
    <row r="1063" spans="1:44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78</v>
      </c>
      <c r="M1063">
        <v>3</v>
      </c>
      <c r="N1063">
        <v>1</v>
      </c>
      <c r="O1063" t="s">
        <v>57</v>
      </c>
      <c r="P1063">
        <v>2</v>
      </c>
      <c r="Q1063" t="s">
        <v>48</v>
      </c>
      <c r="R1063">
        <v>2033</v>
      </c>
      <c r="S1063">
        <v>1</v>
      </c>
      <c r="T1063" t="s">
        <v>43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  <c r="AF1063">
        <f t="shared" si="208"/>
        <v>0</v>
      </c>
      <c r="AG1063">
        <f t="shared" si="209"/>
        <v>0</v>
      </c>
      <c r="AH1063" t="str">
        <f t="shared" si="210"/>
        <v>College</v>
      </c>
      <c r="AI1063" t="str">
        <f t="shared" si="211"/>
        <v>Very High</v>
      </c>
      <c r="AJ1063" t="str">
        <f t="shared" si="212"/>
        <v>High</v>
      </c>
      <c r="AK1063" t="str">
        <f t="shared" si="213"/>
        <v>Entry</v>
      </c>
      <c r="AL1063" t="str">
        <f t="shared" si="214"/>
        <v>Medium</v>
      </c>
      <c r="AM1063" t="str">
        <f t="shared" si="215"/>
        <v>High</v>
      </c>
      <c r="AN1063" t="str">
        <f t="shared" si="216"/>
        <v>Low</v>
      </c>
      <c r="AO1063" t="str">
        <f t="shared" si="217"/>
        <v>Better</v>
      </c>
      <c r="AP1063" t="str">
        <f t="shared" si="218"/>
        <v>Under 25</v>
      </c>
      <c r="AQ1063" t="str">
        <f t="shared" si="219"/>
        <v>Low</v>
      </c>
      <c r="AR1063" t="str">
        <f t="shared" si="220"/>
        <v>0-2 Years</v>
      </c>
    </row>
    <row r="1064" spans="1:44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46</v>
      </c>
      <c r="L1064">
        <v>86</v>
      </c>
      <c r="M1064">
        <v>3</v>
      </c>
      <c r="N1064">
        <v>3</v>
      </c>
      <c r="O1064" t="s">
        <v>53</v>
      </c>
      <c r="P1064">
        <v>3</v>
      </c>
      <c r="Q1064" t="s">
        <v>41</v>
      </c>
      <c r="R1064">
        <v>10209</v>
      </c>
      <c r="S1064">
        <v>5</v>
      </c>
      <c r="T1064" t="s">
        <v>35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f t="shared" si="208"/>
        <v>0</v>
      </c>
      <c r="AG1064">
        <f t="shared" si="209"/>
        <v>1</v>
      </c>
      <c r="AH1064" t="str">
        <f t="shared" si="210"/>
        <v>Below College</v>
      </c>
      <c r="AI1064" t="str">
        <f t="shared" si="211"/>
        <v>Medium</v>
      </c>
      <c r="AJ1064" t="str">
        <f t="shared" si="212"/>
        <v>High</v>
      </c>
      <c r="AK1064" t="str">
        <f t="shared" si="213"/>
        <v>Mid-Level</v>
      </c>
      <c r="AL1064" t="str">
        <f t="shared" si="214"/>
        <v>High</v>
      </c>
      <c r="AM1064" t="str">
        <f t="shared" si="215"/>
        <v>Medium</v>
      </c>
      <c r="AN1064" t="str">
        <f t="shared" si="216"/>
        <v>No Options</v>
      </c>
      <c r="AO1064" t="str">
        <f t="shared" si="217"/>
        <v>Good</v>
      </c>
      <c r="AP1064" t="str">
        <f t="shared" si="218"/>
        <v>35-44</v>
      </c>
      <c r="AQ1064" t="str">
        <f t="shared" si="219"/>
        <v>Upper-Mid</v>
      </c>
      <c r="AR1064" t="str">
        <f t="shared" si="220"/>
        <v>0-2 Years</v>
      </c>
    </row>
    <row r="1065" spans="1:44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46</v>
      </c>
      <c r="L1065">
        <v>77</v>
      </c>
      <c r="M1065">
        <v>2</v>
      </c>
      <c r="N1065">
        <v>2</v>
      </c>
      <c r="O1065" t="s">
        <v>40</v>
      </c>
      <c r="P1065">
        <v>3</v>
      </c>
      <c r="Q1065" t="s">
        <v>52</v>
      </c>
      <c r="R1065">
        <v>8620</v>
      </c>
      <c r="S1065">
        <v>1</v>
      </c>
      <c r="T1065" t="s">
        <v>43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  <c r="AF1065">
        <f t="shared" si="208"/>
        <v>0</v>
      </c>
      <c r="AG1065">
        <f t="shared" si="209"/>
        <v>0</v>
      </c>
      <c r="AH1065" t="str">
        <f t="shared" si="210"/>
        <v>Bachelor</v>
      </c>
      <c r="AI1065" t="str">
        <f t="shared" si="211"/>
        <v>High</v>
      </c>
      <c r="AJ1065" t="str">
        <f t="shared" si="212"/>
        <v>Medium</v>
      </c>
      <c r="AK1065" t="str">
        <f t="shared" si="213"/>
        <v>Junior</v>
      </c>
      <c r="AL1065" t="str">
        <f t="shared" si="214"/>
        <v>High</v>
      </c>
      <c r="AM1065" t="str">
        <f t="shared" si="215"/>
        <v>High</v>
      </c>
      <c r="AN1065" t="str">
        <f t="shared" si="216"/>
        <v>Medium</v>
      </c>
      <c r="AO1065" t="str">
        <f t="shared" si="217"/>
        <v>Better</v>
      </c>
      <c r="AP1065" t="str">
        <f t="shared" si="218"/>
        <v>25-34</v>
      </c>
      <c r="AQ1065" t="str">
        <f t="shared" si="219"/>
        <v>Upper-Mid</v>
      </c>
      <c r="AR1065" t="str">
        <f t="shared" si="220"/>
        <v>6-10 Years</v>
      </c>
    </row>
    <row r="1066" spans="1:44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46</v>
      </c>
      <c r="L1066">
        <v>46</v>
      </c>
      <c r="M1066">
        <v>3</v>
      </c>
      <c r="N1066">
        <v>1</v>
      </c>
      <c r="O1066" t="s">
        <v>61</v>
      </c>
      <c r="P1066">
        <v>3</v>
      </c>
      <c r="Q1066" t="s">
        <v>52</v>
      </c>
      <c r="R1066">
        <v>2064</v>
      </c>
      <c r="S1066">
        <v>0</v>
      </c>
      <c r="T1066" t="s">
        <v>43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  <c r="AF1066">
        <f t="shared" si="208"/>
        <v>0</v>
      </c>
      <c r="AG1066">
        <f t="shared" si="209"/>
        <v>0</v>
      </c>
      <c r="AH1066" t="str">
        <f t="shared" si="210"/>
        <v>Bachelor</v>
      </c>
      <c r="AI1066" t="str">
        <f t="shared" si="211"/>
        <v>High</v>
      </c>
      <c r="AJ1066" t="str">
        <f t="shared" si="212"/>
        <v>High</v>
      </c>
      <c r="AK1066" t="str">
        <f t="shared" si="213"/>
        <v>Entry</v>
      </c>
      <c r="AL1066" t="str">
        <f t="shared" si="214"/>
        <v>High</v>
      </c>
      <c r="AM1066" t="str">
        <f t="shared" si="215"/>
        <v>Low</v>
      </c>
      <c r="AN1066" t="str">
        <f t="shared" si="216"/>
        <v>Low</v>
      </c>
      <c r="AO1066" t="str">
        <f t="shared" si="217"/>
        <v>Best</v>
      </c>
      <c r="AP1066" t="str">
        <f t="shared" si="218"/>
        <v>25-34</v>
      </c>
      <c r="AQ1066" t="str">
        <f t="shared" si="219"/>
        <v>Low</v>
      </c>
      <c r="AR1066" t="str">
        <f t="shared" si="220"/>
        <v>3-5 Years</v>
      </c>
    </row>
    <row r="1067" spans="1:44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46</v>
      </c>
      <c r="L1067">
        <v>30</v>
      </c>
      <c r="M1067">
        <v>3</v>
      </c>
      <c r="N1067">
        <v>2</v>
      </c>
      <c r="O1067" t="s">
        <v>54</v>
      </c>
      <c r="P1067">
        <v>3</v>
      </c>
      <c r="Q1067" t="s">
        <v>48</v>
      </c>
      <c r="R1067">
        <v>4035</v>
      </c>
      <c r="S1067">
        <v>0</v>
      </c>
      <c r="T1067" t="s">
        <v>35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  <c r="AF1067">
        <f t="shared" si="208"/>
        <v>0</v>
      </c>
      <c r="AG1067">
        <f t="shared" si="209"/>
        <v>1</v>
      </c>
      <c r="AH1067" t="str">
        <f t="shared" si="210"/>
        <v>Master</v>
      </c>
      <c r="AI1067" t="str">
        <f t="shared" si="211"/>
        <v>Very High</v>
      </c>
      <c r="AJ1067" t="str">
        <f t="shared" si="212"/>
        <v>High</v>
      </c>
      <c r="AK1067" t="str">
        <f t="shared" si="213"/>
        <v>Junior</v>
      </c>
      <c r="AL1067" t="str">
        <f t="shared" si="214"/>
        <v>High</v>
      </c>
      <c r="AM1067" t="str">
        <f t="shared" si="215"/>
        <v>Medium</v>
      </c>
      <c r="AN1067" t="str">
        <f t="shared" si="216"/>
        <v>No Options</v>
      </c>
      <c r="AO1067" t="str">
        <f t="shared" si="217"/>
        <v>Better</v>
      </c>
      <c r="AP1067" t="str">
        <f t="shared" si="218"/>
        <v>55+</v>
      </c>
      <c r="AQ1067" t="str">
        <f t="shared" si="219"/>
        <v>Lower-Mid</v>
      </c>
      <c r="AR1067" t="str">
        <f t="shared" si="220"/>
        <v>3-5 Years</v>
      </c>
    </row>
    <row r="1068" spans="1:44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39</v>
      </c>
      <c r="L1068">
        <v>82</v>
      </c>
      <c r="M1068">
        <v>2</v>
      </c>
      <c r="N1068">
        <v>1</v>
      </c>
      <c r="O1068" t="s">
        <v>50</v>
      </c>
      <c r="P1068">
        <v>2</v>
      </c>
      <c r="Q1068" t="s">
        <v>48</v>
      </c>
      <c r="R1068">
        <v>3838</v>
      </c>
      <c r="S1068">
        <v>8</v>
      </c>
      <c r="T1068" t="s">
        <v>43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  <c r="AF1068">
        <f t="shared" si="208"/>
        <v>0</v>
      </c>
      <c r="AG1068">
        <f t="shared" si="209"/>
        <v>0</v>
      </c>
      <c r="AH1068" t="str">
        <f t="shared" si="210"/>
        <v>Master</v>
      </c>
      <c r="AI1068" t="str">
        <f t="shared" si="211"/>
        <v>Low</v>
      </c>
      <c r="AJ1068" t="str">
        <f t="shared" si="212"/>
        <v>Medium</v>
      </c>
      <c r="AK1068" t="str">
        <f t="shared" si="213"/>
        <v>Entry</v>
      </c>
      <c r="AL1068" t="str">
        <f t="shared" si="214"/>
        <v>Medium</v>
      </c>
      <c r="AM1068" t="str">
        <f t="shared" si="215"/>
        <v>Very High</v>
      </c>
      <c r="AN1068" t="str">
        <f t="shared" si="216"/>
        <v>No Options</v>
      </c>
      <c r="AO1068" t="str">
        <f t="shared" si="217"/>
        <v>Better</v>
      </c>
      <c r="AP1068" t="str">
        <f t="shared" si="218"/>
        <v>25-34</v>
      </c>
      <c r="AQ1068" t="str">
        <f t="shared" si="219"/>
        <v>Lower-Mid</v>
      </c>
      <c r="AR1068" t="str">
        <f t="shared" si="220"/>
        <v>3-5 Years</v>
      </c>
    </row>
    <row r="1069" spans="1:44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39</v>
      </c>
      <c r="L1069">
        <v>78</v>
      </c>
      <c r="M1069">
        <v>3</v>
      </c>
      <c r="N1069">
        <v>2</v>
      </c>
      <c r="O1069" t="s">
        <v>40</v>
      </c>
      <c r="P1069">
        <v>3</v>
      </c>
      <c r="Q1069" t="s">
        <v>48</v>
      </c>
      <c r="R1069">
        <v>4591</v>
      </c>
      <c r="S1069">
        <v>3</v>
      </c>
      <c r="T1069" t="s">
        <v>35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  <c r="AF1069">
        <f t="shared" si="208"/>
        <v>0</v>
      </c>
      <c r="AG1069">
        <f t="shared" si="209"/>
        <v>1</v>
      </c>
      <c r="AH1069" t="str">
        <f t="shared" si="210"/>
        <v>Bachelor</v>
      </c>
      <c r="AI1069" t="str">
        <f t="shared" si="211"/>
        <v>High</v>
      </c>
      <c r="AJ1069" t="str">
        <f t="shared" si="212"/>
        <v>High</v>
      </c>
      <c r="AK1069" t="str">
        <f t="shared" si="213"/>
        <v>Junior</v>
      </c>
      <c r="AL1069" t="str">
        <f t="shared" si="214"/>
        <v>High</v>
      </c>
      <c r="AM1069" t="str">
        <f t="shared" si="215"/>
        <v>High</v>
      </c>
      <c r="AN1069" t="str">
        <f t="shared" si="216"/>
        <v>Low</v>
      </c>
      <c r="AO1069" t="str">
        <f t="shared" si="217"/>
        <v>Good</v>
      </c>
      <c r="AP1069" t="str">
        <f t="shared" si="218"/>
        <v>45-54</v>
      </c>
      <c r="AQ1069" t="str">
        <f t="shared" si="219"/>
        <v>Lower-Mid</v>
      </c>
      <c r="AR1069" t="str">
        <f t="shared" si="220"/>
        <v>3-5 Years</v>
      </c>
    </row>
    <row r="1070" spans="1:44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46</v>
      </c>
      <c r="L1070">
        <v>38</v>
      </c>
      <c r="M1070">
        <v>2</v>
      </c>
      <c r="N1070">
        <v>1</v>
      </c>
      <c r="O1070" t="s">
        <v>50</v>
      </c>
      <c r="P1070">
        <v>1</v>
      </c>
      <c r="Q1070" t="s">
        <v>41</v>
      </c>
      <c r="R1070">
        <v>2561</v>
      </c>
      <c r="S1070">
        <v>7</v>
      </c>
      <c r="T1070" t="s">
        <v>43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  <c r="AF1070">
        <f t="shared" si="208"/>
        <v>1</v>
      </c>
      <c r="AG1070">
        <f t="shared" si="209"/>
        <v>0</v>
      </c>
      <c r="AH1070" t="str">
        <f t="shared" si="210"/>
        <v>College</v>
      </c>
      <c r="AI1070" t="str">
        <f t="shared" si="211"/>
        <v>High</v>
      </c>
      <c r="AJ1070" t="str">
        <f t="shared" si="212"/>
        <v>Medium</v>
      </c>
      <c r="AK1070" t="str">
        <f t="shared" si="213"/>
        <v>Entry</v>
      </c>
      <c r="AL1070" t="str">
        <f t="shared" si="214"/>
        <v>Low</v>
      </c>
      <c r="AM1070" t="str">
        <f t="shared" si="215"/>
        <v>High</v>
      </c>
      <c r="AN1070" t="str">
        <f t="shared" si="216"/>
        <v>No Options</v>
      </c>
      <c r="AO1070" t="str">
        <f t="shared" si="217"/>
        <v>Good</v>
      </c>
      <c r="AP1070" t="str">
        <f t="shared" si="218"/>
        <v>25-34</v>
      </c>
      <c r="AQ1070" t="str">
        <f t="shared" si="219"/>
        <v>Low</v>
      </c>
      <c r="AR1070" t="str">
        <f t="shared" si="220"/>
        <v>0-2 Years</v>
      </c>
    </row>
    <row r="1071" spans="1:44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46</v>
      </c>
      <c r="L1071">
        <v>72</v>
      </c>
      <c r="M1071">
        <v>2</v>
      </c>
      <c r="N1071">
        <v>1</v>
      </c>
      <c r="O1071" t="s">
        <v>47</v>
      </c>
      <c r="P1071">
        <v>3</v>
      </c>
      <c r="Q1071" t="s">
        <v>52</v>
      </c>
      <c r="R1071">
        <v>1563</v>
      </c>
      <c r="S1071">
        <v>1</v>
      </c>
      <c r="T1071" t="s">
        <v>43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  <c r="AF1071">
        <f t="shared" si="208"/>
        <v>0</v>
      </c>
      <c r="AG1071">
        <f t="shared" si="209"/>
        <v>0</v>
      </c>
      <c r="AH1071" t="str">
        <f t="shared" si="210"/>
        <v>Bachelor</v>
      </c>
      <c r="AI1071" t="str">
        <f t="shared" si="211"/>
        <v>Low</v>
      </c>
      <c r="AJ1071" t="str">
        <f t="shared" si="212"/>
        <v>Medium</v>
      </c>
      <c r="AK1071" t="str">
        <f t="shared" si="213"/>
        <v>Entry</v>
      </c>
      <c r="AL1071" t="str">
        <f t="shared" si="214"/>
        <v>High</v>
      </c>
      <c r="AM1071" t="str">
        <f t="shared" si="215"/>
        <v>Very High</v>
      </c>
      <c r="AN1071" t="str">
        <f t="shared" si="216"/>
        <v>Low</v>
      </c>
      <c r="AO1071" t="str">
        <f t="shared" si="217"/>
        <v>Bad</v>
      </c>
      <c r="AP1071" t="str">
        <f t="shared" si="218"/>
        <v>25-34</v>
      </c>
      <c r="AQ1071" t="str">
        <f t="shared" si="219"/>
        <v>Low</v>
      </c>
      <c r="AR1071" t="str">
        <f t="shared" si="220"/>
        <v>0-2 Years</v>
      </c>
    </row>
    <row r="1072" spans="1:44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46</v>
      </c>
      <c r="L1072">
        <v>55</v>
      </c>
      <c r="M1072">
        <v>3</v>
      </c>
      <c r="N1072">
        <v>2</v>
      </c>
      <c r="O1072" t="s">
        <v>40</v>
      </c>
      <c r="P1072">
        <v>1</v>
      </c>
      <c r="Q1072" t="s">
        <v>41</v>
      </c>
      <c r="R1072">
        <v>4898</v>
      </c>
      <c r="S1072">
        <v>0</v>
      </c>
      <c r="T1072" t="s">
        <v>43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  <c r="AF1072">
        <f t="shared" si="208"/>
        <v>0</v>
      </c>
      <c r="AG1072">
        <f t="shared" si="209"/>
        <v>0</v>
      </c>
      <c r="AH1072" t="str">
        <f t="shared" si="210"/>
        <v>Bachelor</v>
      </c>
      <c r="AI1072" t="str">
        <f t="shared" si="211"/>
        <v>High</v>
      </c>
      <c r="AJ1072" t="str">
        <f t="shared" si="212"/>
        <v>High</v>
      </c>
      <c r="AK1072" t="str">
        <f t="shared" si="213"/>
        <v>Junior</v>
      </c>
      <c r="AL1072" t="str">
        <f t="shared" si="214"/>
        <v>Low</v>
      </c>
      <c r="AM1072" t="str">
        <f t="shared" si="215"/>
        <v>Very High</v>
      </c>
      <c r="AN1072" t="str">
        <f t="shared" si="216"/>
        <v>No Options</v>
      </c>
      <c r="AO1072" t="str">
        <f t="shared" si="217"/>
        <v>Better</v>
      </c>
      <c r="AP1072" t="str">
        <f t="shared" si="218"/>
        <v>25-34</v>
      </c>
      <c r="AQ1072" t="str">
        <f t="shared" si="219"/>
        <v>Lower-Mid</v>
      </c>
      <c r="AR1072" t="str">
        <f t="shared" si="220"/>
        <v>3-5 Years</v>
      </c>
    </row>
    <row r="1073" spans="1:44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39</v>
      </c>
      <c r="L1073">
        <v>43</v>
      </c>
      <c r="M1073">
        <v>2</v>
      </c>
      <c r="N1073">
        <v>2</v>
      </c>
      <c r="O1073" t="s">
        <v>50</v>
      </c>
      <c r="P1073">
        <v>1</v>
      </c>
      <c r="Q1073" t="s">
        <v>48</v>
      </c>
      <c r="R1073">
        <v>4789</v>
      </c>
      <c r="S1073">
        <v>4</v>
      </c>
      <c r="T1073" t="s">
        <v>43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  <c r="AF1073">
        <f t="shared" si="208"/>
        <v>0</v>
      </c>
      <c r="AG1073">
        <f t="shared" si="209"/>
        <v>0</v>
      </c>
      <c r="AH1073" t="str">
        <f t="shared" si="210"/>
        <v>College</v>
      </c>
      <c r="AI1073" t="str">
        <f t="shared" si="211"/>
        <v>High</v>
      </c>
      <c r="AJ1073" t="str">
        <f t="shared" si="212"/>
        <v>Medium</v>
      </c>
      <c r="AK1073" t="str">
        <f t="shared" si="213"/>
        <v>Junior</v>
      </c>
      <c r="AL1073" t="str">
        <f t="shared" si="214"/>
        <v>Low</v>
      </c>
      <c r="AM1073" t="str">
        <f t="shared" si="215"/>
        <v>Low</v>
      </c>
      <c r="AN1073" t="str">
        <f t="shared" si="216"/>
        <v>Low</v>
      </c>
      <c r="AO1073" t="str">
        <f t="shared" si="217"/>
        <v>Better</v>
      </c>
      <c r="AP1073" t="str">
        <f t="shared" si="218"/>
        <v>45-54</v>
      </c>
      <c r="AQ1073" t="str">
        <f t="shared" si="219"/>
        <v>Lower-Mid</v>
      </c>
      <c r="AR1073" t="str">
        <f t="shared" si="220"/>
        <v>3-5 Years</v>
      </c>
    </row>
    <row r="1074" spans="1:44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97</v>
      </c>
      <c r="M1074">
        <v>3</v>
      </c>
      <c r="N1074">
        <v>1</v>
      </c>
      <c r="O1074" t="s">
        <v>50</v>
      </c>
      <c r="P1074">
        <v>2</v>
      </c>
      <c r="Q1074" t="s">
        <v>48</v>
      </c>
      <c r="R1074">
        <v>3180</v>
      </c>
      <c r="S1074">
        <v>0</v>
      </c>
      <c r="T1074" t="s">
        <v>43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  <c r="AF1074">
        <f t="shared" si="208"/>
        <v>0</v>
      </c>
      <c r="AG1074">
        <f t="shared" si="209"/>
        <v>0</v>
      </c>
      <c r="AH1074" t="str">
        <f t="shared" si="210"/>
        <v>Below College</v>
      </c>
      <c r="AI1074" t="str">
        <f t="shared" si="211"/>
        <v>Very High</v>
      </c>
      <c r="AJ1074" t="str">
        <f t="shared" si="212"/>
        <v>High</v>
      </c>
      <c r="AK1074" t="str">
        <f t="shared" si="213"/>
        <v>Entry</v>
      </c>
      <c r="AL1074" t="str">
        <f t="shared" si="214"/>
        <v>Medium</v>
      </c>
      <c r="AM1074" t="str">
        <f t="shared" si="215"/>
        <v>High</v>
      </c>
      <c r="AN1074" t="str">
        <f t="shared" si="216"/>
        <v>High</v>
      </c>
      <c r="AO1074" t="str">
        <f t="shared" si="217"/>
        <v>Better</v>
      </c>
      <c r="AP1074" t="str">
        <f t="shared" si="218"/>
        <v>25-34</v>
      </c>
      <c r="AQ1074" t="str">
        <f t="shared" si="219"/>
        <v>Lower-Mid</v>
      </c>
      <c r="AR1074" t="str">
        <f t="shared" si="220"/>
        <v>3-5 Years</v>
      </c>
    </row>
    <row r="1075" spans="1:44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46</v>
      </c>
      <c r="L1075">
        <v>96</v>
      </c>
      <c r="M1075">
        <v>1</v>
      </c>
      <c r="N1075">
        <v>2</v>
      </c>
      <c r="O1075" t="s">
        <v>53</v>
      </c>
      <c r="P1075">
        <v>2</v>
      </c>
      <c r="Q1075" t="s">
        <v>48</v>
      </c>
      <c r="R1075">
        <v>6549</v>
      </c>
      <c r="S1075">
        <v>1</v>
      </c>
      <c r="T1075" t="s">
        <v>43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  <c r="AF1075">
        <f t="shared" si="208"/>
        <v>0</v>
      </c>
      <c r="AG1075">
        <f t="shared" si="209"/>
        <v>0</v>
      </c>
      <c r="AH1075" t="str">
        <f t="shared" si="210"/>
        <v>Below College</v>
      </c>
      <c r="AI1075" t="str">
        <f t="shared" si="211"/>
        <v>High</v>
      </c>
      <c r="AJ1075" t="str">
        <f t="shared" si="212"/>
        <v>Low</v>
      </c>
      <c r="AK1075" t="str">
        <f t="shared" si="213"/>
        <v>Junior</v>
      </c>
      <c r="AL1075" t="str">
        <f t="shared" si="214"/>
        <v>Medium</v>
      </c>
      <c r="AM1075" t="str">
        <f t="shared" si="215"/>
        <v>Medium</v>
      </c>
      <c r="AN1075" t="str">
        <f t="shared" si="216"/>
        <v>Medium</v>
      </c>
      <c r="AO1075" t="str">
        <f t="shared" si="217"/>
        <v>Good</v>
      </c>
      <c r="AP1075" t="str">
        <f t="shared" si="218"/>
        <v>25-34</v>
      </c>
      <c r="AQ1075" t="str">
        <f t="shared" si="219"/>
        <v>Lower-Mid</v>
      </c>
      <c r="AR1075" t="str">
        <f t="shared" si="220"/>
        <v>6-10 Years</v>
      </c>
    </row>
    <row r="1076" spans="1:44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46</v>
      </c>
      <c r="L1076">
        <v>69</v>
      </c>
      <c r="M1076">
        <v>3</v>
      </c>
      <c r="N1076">
        <v>2</v>
      </c>
      <c r="O1076" t="s">
        <v>54</v>
      </c>
      <c r="P1076">
        <v>3</v>
      </c>
      <c r="Q1076" t="s">
        <v>41</v>
      </c>
      <c r="R1076">
        <v>6388</v>
      </c>
      <c r="S1076">
        <v>2</v>
      </c>
      <c r="T1076" t="s">
        <v>35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  <c r="AF1076">
        <f t="shared" si="208"/>
        <v>0</v>
      </c>
      <c r="AG1076">
        <f t="shared" si="209"/>
        <v>1</v>
      </c>
      <c r="AH1076" t="str">
        <f t="shared" si="210"/>
        <v>Doctor</v>
      </c>
      <c r="AI1076" t="str">
        <f t="shared" si="211"/>
        <v>Very High</v>
      </c>
      <c r="AJ1076" t="str">
        <f t="shared" si="212"/>
        <v>High</v>
      </c>
      <c r="AK1076" t="str">
        <f t="shared" si="213"/>
        <v>Junior</v>
      </c>
      <c r="AL1076" t="str">
        <f t="shared" si="214"/>
        <v>High</v>
      </c>
      <c r="AM1076" t="str">
        <f t="shared" si="215"/>
        <v>Low</v>
      </c>
      <c r="AN1076" t="str">
        <f t="shared" si="216"/>
        <v>No Options</v>
      </c>
      <c r="AO1076" t="str">
        <f t="shared" si="217"/>
        <v>Better</v>
      </c>
      <c r="AP1076" t="str">
        <f t="shared" si="218"/>
        <v>25-34</v>
      </c>
      <c r="AQ1076" t="str">
        <f t="shared" si="219"/>
        <v>Lower-Mid</v>
      </c>
      <c r="AR1076" t="str">
        <f t="shared" si="220"/>
        <v>0-2 Years</v>
      </c>
    </row>
    <row r="1077" spans="1:44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46</v>
      </c>
      <c r="L1077">
        <v>64</v>
      </c>
      <c r="M1077">
        <v>3</v>
      </c>
      <c r="N1077">
        <v>3</v>
      </c>
      <c r="O1077" t="s">
        <v>56</v>
      </c>
      <c r="P1077">
        <v>4</v>
      </c>
      <c r="Q1077" t="s">
        <v>41</v>
      </c>
      <c r="R1077">
        <v>11244</v>
      </c>
      <c r="S1077">
        <v>2</v>
      </c>
      <c r="T1077" t="s">
        <v>43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  <c r="AF1077">
        <f t="shared" si="208"/>
        <v>0</v>
      </c>
      <c r="AG1077">
        <f t="shared" si="209"/>
        <v>0</v>
      </c>
      <c r="AH1077" t="str">
        <f t="shared" si="210"/>
        <v>Bachelor</v>
      </c>
      <c r="AI1077" t="str">
        <f t="shared" si="211"/>
        <v>High</v>
      </c>
      <c r="AJ1077" t="str">
        <f t="shared" si="212"/>
        <v>High</v>
      </c>
      <c r="AK1077" t="str">
        <f t="shared" si="213"/>
        <v>Mid-Level</v>
      </c>
      <c r="AL1077" t="str">
        <f t="shared" si="214"/>
        <v>Very High</v>
      </c>
      <c r="AM1077" t="str">
        <f t="shared" si="215"/>
        <v>Medium</v>
      </c>
      <c r="AN1077" t="str">
        <f t="shared" si="216"/>
        <v>No Options</v>
      </c>
      <c r="AO1077" t="str">
        <f t="shared" si="217"/>
        <v>Best</v>
      </c>
      <c r="AP1077" t="str">
        <f t="shared" si="218"/>
        <v>25-34</v>
      </c>
      <c r="AQ1077" t="str">
        <f t="shared" si="219"/>
        <v>Upper-Mid</v>
      </c>
      <c r="AR1077" t="str">
        <f t="shared" si="220"/>
        <v>3-5 Years</v>
      </c>
    </row>
    <row r="1078" spans="1:44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39</v>
      </c>
      <c r="L1078">
        <v>87</v>
      </c>
      <c r="M1078">
        <v>3</v>
      </c>
      <c r="N1078">
        <v>4</v>
      </c>
      <c r="O1078" t="s">
        <v>56</v>
      </c>
      <c r="P1078">
        <v>4</v>
      </c>
      <c r="Q1078" t="s">
        <v>52</v>
      </c>
      <c r="R1078">
        <v>16032</v>
      </c>
      <c r="S1078">
        <v>3</v>
      </c>
      <c r="T1078" t="s">
        <v>43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  <c r="AF1078">
        <f t="shared" si="208"/>
        <v>0</v>
      </c>
      <c r="AG1078">
        <f t="shared" si="209"/>
        <v>0</v>
      </c>
      <c r="AH1078" t="str">
        <f t="shared" si="210"/>
        <v>Master</v>
      </c>
      <c r="AI1078" t="str">
        <f t="shared" si="211"/>
        <v>Medium</v>
      </c>
      <c r="AJ1078" t="str">
        <f t="shared" si="212"/>
        <v>High</v>
      </c>
      <c r="AK1078" t="str">
        <f t="shared" si="213"/>
        <v>Senior</v>
      </c>
      <c r="AL1078" t="str">
        <f t="shared" si="214"/>
        <v>Very High</v>
      </c>
      <c r="AM1078" t="str">
        <f t="shared" si="215"/>
        <v>Low</v>
      </c>
      <c r="AN1078" t="str">
        <f t="shared" si="216"/>
        <v>Low</v>
      </c>
      <c r="AO1078" t="str">
        <f t="shared" si="217"/>
        <v>Better</v>
      </c>
      <c r="AP1078" t="str">
        <f t="shared" si="218"/>
        <v>45-54</v>
      </c>
      <c r="AQ1078" t="str">
        <f t="shared" si="219"/>
        <v>High</v>
      </c>
      <c r="AR1078" t="str">
        <f t="shared" si="220"/>
        <v>11-20 Years</v>
      </c>
    </row>
    <row r="1079" spans="1:44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t="s">
        <v>46</v>
      </c>
      <c r="L1079">
        <v>100</v>
      </c>
      <c r="M1079">
        <v>2</v>
      </c>
      <c r="N1079">
        <v>1</v>
      </c>
      <c r="O1079" t="s">
        <v>47</v>
      </c>
      <c r="P1079">
        <v>1</v>
      </c>
      <c r="Q1079" t="s">
        <v>41</v>
      </c>
      <c r="R1079">
        <v>2362</v>
      </c>
      <c r="S1079">
        <v>6</v>
      </c>
      <c r="T1079" t="s">
        <v>43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  <c r="AF1079">
        <f t="shared" si="208"/>
        <v>1</v>
      </c>
      <c r="AG1079">
        <f t="shared" si="209"/>
        <v>0</v>
      </c>
      <c r="AH1079" t="str">
        <f t="shared" si="210"/>
        <v>Master</v>
      </c>
      <c r="AI1079" t="str">
        <f t="shared" si="211"/>
        <v>Low</v>
      </c>
      <c r="AJ1079" t="str">
        <f t="shared" si="212"/>
        <v>Medium</v>
      </c>
      <c r="AK1079" t="str">
        <f t="shared" si="213"/>
        <v>Entry</v>
      </c>
      <c r="AL1079" t="str">
        <f t="shared" si="214"/>
        <v>Low</v>
      </c>
      <c r="AM1079" t="str">
        <f t="shared" si="215"/>
        <v>High</v>
      </c>
      <c r="AN1079" t="str">
        <f t="shared" si="216"/>
        <v>No Options</v>
      </c>
      <c r="AO1079" t="str">
        <f t="shared" si="217"/>
        <v>Bad</v>
      </c>
      <c r="AP1079" t="str">
        <f t="shared" si="218"/>
        <v>25-34</v>
      </c>
      <c r="AQ1079" t="str">
        <f t="shared" si="219"/>
        <v>Low</v>
      </c>
      <c r="AR1079" t="str">
        <f t="shared" si="220"/>
        <v>6-10 Years</v>
      </c>
    </row>
    <row r="1080" spans="1:44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46</v>
      </c>
      <c r="L1080">
        <v>32</v>
      </c>
      <c r="M1080">
        <v>3</v>
      </c>
      <c r="N1080">
        <v>4</v>
      </c>
      <c r="O1080" t="s">
        <v>58</v>
      </c>
      <c r="P1080">
        <v>1</v>
      </c>
      <c r="Q1080" t="s">
        <v>48</v>
      </c>
      <c r="R1080">
        <v>16328</v>
      </c>
      <c r="S1080">
        <v>3</v>
      </c>
      <c r="T1080" t="s">
        <v>43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  <c r="AF1080">
        <f t="shared" si="208"/>
        <v>0</v>
      </c>
      <c r="AG1080">
        <f t="shared" si="209"/>
        <v>0</v>
      </c>
      <c r="AH1080" t="str">
        <f t="shared" si="210"/>
        <v>Bachelor</v>
      </c>
      <c r="AI1080" t="str">
        <f t="shared" si="211"/>
        <v>Very High</v>
      </c>
      <c r="AJ1080" t="str">
        <f t="shared" si="212"/>
        <v>High</v>
      </c>
      <c r="AK1080" t="str">
        <f t="shared" si="213"/>
        <v>Senior</v>
      </c>
      <c r="AL1080" t="str">
        <f t="shared" si="214"/>
        <v>Low</v>
      </c>
      <c r="AM1080" t="str">
        <f t="shared" si="215"/>
        <v>High</v>
      </c>
      <c r="AN1080" t="str">
        <f t="shared" si="216"/>
        <v>Low</v>
      </c>
      <c r="AO1080" t="str">
        <f t="shared" si="217"/>
        <v>Best</v>
      </c>
      <c r="AP1080" t="str">
        <f t="shared" si="218"/>
        <v>35-44</v>
      </c>
      <c r="AQ1080" t="str">
        <f t="shared" si="219"/>
        <v>High</v>
      </c>
      <c r="AR1080" t="str">
        <f t="shared" si="220"/>
        <v>11-20 Years</v>
      </c>
    </row>
    <row r="1081" spans="1:44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32</v>
      </c>
      <c r="M1081">
        <v>3</v>
      </c>
      <c r="N1081">
        <v>3</v>
      </c>
      <c r="O1081" t="s">
        <v>53</v>
      </c>
      <c r="P1081">
        <v>2</v>
      </c>
      <c r="Q1081" t="s">
        <v>41</v>
      </c>
      <c r="R1081">
        <v>8376</v>
      </c>
      <c r="S1081">
        <v>4</v>
      </c>
      <c r="T1081" t="s">
        <v>43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  <c r="AF1081">
        <f t="shared" si="208"/>
        <v>0</v>
      </c>
      <c r="AG1081">
        <f t="shared" si="209"/>
        <v>0</v>
      </c>
      <c r="AH1081" t="str">
        <f t="shared" si="210"/>
        <v>Bachelor</v>
      </c>
      <c r="AI1081" t="str">
        <f t="shared" si="211"/>
        <v>Medium</v>
      </c>
      <c r="AJ1081" t="str">
        <f t="shared" si="212"/>
        <v>High</v>
      </c>
      <c r="AK1081" t="str">
        <f t="shared" si="213"/>
        <v>Mid-Level</v>
      </c>
      <c r="AL1081" t="str">
        <f t="shared" si="214"/>
        <v>Medium</v>
      </c>
      <c r="AM1081" t="str">
        <f t="shared" si="215"/>
        <v>Very High</v>
      </c>
      <c r="AN1081" t="str">
        <f t="shared" si="216"/>
        <v>No Options</v>
      </c>
      <c r="AO1081" t="str">
        <f t="shared" si="217"/>
        <v>Better</v>
      </c>
      <c r="AP1081" t="str">
        <f t="shared" si="218"/>
        <v>35-44</v>
      </c>
      <c r="AQ1081" t="str">
        <f t="shared" si="219"/>
        <v>Upper-Mid</v>
      </c>
      <c r="AR1081" t="str">
        <f t="shared" si="220"/>
        <v>0-2 Years</v>
      </c>
    </row>
    <row r="1082" spans="1:44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51</v>
      </c>
      <c r="M1082">
        <v>3</v>
      </c>
      <c r="N1082">
        <v>4</v>
      </c>
      <c r="O1082" t="s">
        <v>56</v>
      </c>
      <c r="P1082">
        <v>2</v>
      </c>
      <c r="Q1082" t="s">
        <v>48</v>
      </c>
      <c r="R1082">
        <v>16606</v>
      </c>
      <c r="S1082">
        <v>8</v>
      </c>
      <c r="T1082" t="s">
        <v>43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  <c r="AF1082">
        <f t="shared" si="208"/>
        <v>0</v>
      </c>
      <c r="AG1082">
        <f t="shared" si="209"/>
        <v>0</v>
      </c>
      <c r="AH1082" t="str">
        <f t="shared" si="210"/>
        <v>Bachelor</v>
      </c>
      <c r="AI1082" t="str">
        <f t="shared" si="211"/>
        <v>High</v>
      </c>
      <c r="AJ1082" t="str">
        <f t="shared" si="212"/>
        <v>High</v>
      </c>
      <c r="AK1082" t="str">
        <f t="shared" si="213"/>
        <v>Senior</v>
      </c>
      <c r="AL1082" t="str">
        <f t="shared" si="214"/>
        <v>Medium</v>
      </c>
      <c r="AM1082" t="str">
        <f t="shared" si="215"/>
        <v>Very High</v>
      </c>
      <c r="AN1082" t="str">
        <f t="shared" si="216"/>
        <v>Low</v>
      </c>
      <c r="AO1082" t="str">
        <f t="shared" si="217"/>
        <v>Best</v>
      </c>
      <c r="AP1082" t="str">
        <f t="shared" si="218"/>
        <v>45-54</v>
      </c>
      <c r="AQ1082" t="str">
        <f t="shared" si="219"/>
        <v>High</v>
      </c>
      <c r="AR1082" t="str">
        <f t="shared" si="220"/>
        <v>11-20 Years</v>
      </c>
    </row>
    <row r="1083" spans="1:44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91</v>
      </c>
      <c r="M1083">
        <v>2</v>
      </c>
      <c r="N1083">
        <v>3</v>
      </c>
      <c r="O1083" t="s">
        <v>54</v>
      </c>
      <c r="P1083">
        <v>2</v>
      </c>
      <c r="Q1083" t="s">
        <v>41</v>
      </c>
      <c r="R1083">
        <v>8606</v>
      </c>
      <c r="S1083">
        <v>1</v>
      </c>
      <c r="T1083" t="s">
        <v>43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  <c r="AF1083">
        <f t="shared" si="208"/>
        <v>0</v>
      </c>
      <c r="AG1083">
        <f t="shared" si="209"/>
        <v>0</v>
      </c>
      <c r="AH1083" t="str">
        <f t="shared" si="210"/>
        <v>Bachelor</v>
      </c>
      <c r="AI1083" t="str">
        <f t="shared" si="211"/>
        <v>Very High</v>
      </c>
      <c r="AJ1083" t="str">
        <f t="shared" si="212"/>
        <v>Medium</v>
      </c>
      <c r="AK1083" t="str">
        <f t="shared" si="213"/>
        <v>Mid-Level</v>
      </c>
      <c r="AL1083" t="str">
        <f t="shared" si="214"/>
        <v>Medium</v>
      </c>
      <c r="AM1083" t="str">
        <f t="shared" si="215"/>
        <v>Very High</v>
      </c>
      <c r="AN1083" t="str">
        <f t="shared" si="216"/>
        <v>No Options</v>
      </c>
      <c r="AO1083" t="str">
        <f t="shared" si="217"/>
        <v>Bad</v>
      </c>
      <c r="AP1083" t="str">
        <f t="shared" si="218"/>
        <v>35-44</v>
      </c>
      <c r="AQ1083" t="str">
        <f t="shared" si="219"/>
        <v>Upper-Mid</v>
      </c>
      <c r="AR1083" t="str">
        <f t="shared" si="220"/>
        <v>11-20 Years</v>
      </c>
    </row>
    <row r="1084" spans="1:44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46</v>
      </c>
      <c r="L1084">
        <v>97</v>
      </c>
      <c r="M1084">
        <v>3</v>
      </c>
      <c r="N1084">
        <v>2</v>
      </c>
      <c r="O1084" t="s">
        <v>50</v>
      </c>
      <c r="P1084">
        <v>3</v>
      </c>
      <c r="Q1084" t="s">
        <v>41</v>
      </c>
      <c r="R1084">
        <v>2272</v>
      </c>
      <c r="S1084">
        <v>0</v>
      </c>
      <c r="T1084" t="s">
        <v>43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  <c r="AF1084">
        <f t="shared" si="208"/>
        <v>0</v>
      </c>
      <c r="AG1084">
        <f t="shared" si="209"/>
        <v>0</v>
      </c>
      <c r="AH1084" t="str">
        <f t="shared" si="210"/>
        <v>Below College</v>
      </c>
      <c r="AI1084" t="str">
        <f t="shared" si="211"/>
        <v>Low</v>
      </c>
      <c r="AJ1084" t="str">
        <f t="shared" si="212"/>
        <v>High</v>
      </c>
      <c r="AK1084" t="str">
        <f t="shared" si="213"/>
        <v>Junior</v>
      </c>
      <c r="AL1084" t="str">
        <f t="shared" si="214"/>
        <v>High</v>
      </c>
      <c r="AM1084" t="str">
        <f t="shared" si="215"/>
        <v>Medium</v>
      </c>
      <c r="AN1084" t="str">
        <f t="shared" si="216"/>
        <v>No Options</v>
      </c>
      <c r="AO1084" t="str">
        <f t="shared" si="217"/>
        <v>Better</v>
      </c>
      <c r="AP1084" t="str">
        <f t="shared" si="218"/>
        <v>Under 25</v>
      </c>
      <c r="AQ1084" t="str">
        <f t="shared" si="219"/>
        <v>Low</v>
      </c>
      <c r="AR1084" t="str">
        <f t="shared" si="220"/>
        <v>3-5 Years</v>
      </c>
    </row>
    <row r="1085" spans="1:44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46</v>
      </c>
      <c r="L1085">
        <v>86</v>
      </c>
      <c r="M1085">
        <v>3</v>
      </c>
      <c r="N1085">
        <v>1</v>
      </c>
      <c r="O1085" t="s">
        <v>50</v>
      </c>
      <c r="P1085">
        <v>1</v>
      </c>
      <c r="Q1085" t="s">
        <v>41</v>
      </c>
      <c r="R1085">
        <v>2018</v>
      </c>
      <c r="S1085">
        <v>3</v>
      </c>
      <c r="T1085" t="s">
        <v>43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  <c r="AF1085">
        <f t="shared" si="208"/>
        <v>1</v>
      </c>
      <c r="AG1085">
        <f t="shared" si="209"/>
        <v>0</v>
      </c>
      <c r="AH1085" t="str">
        <f t="shared" si="210"/>
        <v>Master</v>
      </c>
      <c r="AI1085" t="str">
        <f t="shared" si="211"/>
        <v>Very High</v>
      </c>
      <c r="AJ1085" t="str">
        <f t="shared" si="212"/>
        <v>High</v>
      </c>
      <c r="AK1085" t="str">
        <f t="shared" si="213"/>
        <v>Entry</v>
      </c>
      <c r="AL1085" t="str">
        <f t="shared" si="214"/>
        <v>Low</v>
      </c>
      <c r="AM1085" t="str">
        <f t="shared" si="215"/>
        <v>Medium</v>
      </c>
      <c r="AN1085" t="str">
        <f t="shared" si="216"/>
        <v>No Options</v>
      </c>
      <c r="AO1085" t="str">
        <f t="shared" si="217"/>
        <v>Bad</v>
      </c>
      <c r="AP1085" t="str">
        <f t="shared" si="218"/>
        <v>35-44</v>
      </c>
      <c r="AQ1085" t="str">
        <f t="shared" si="219"/>
        <v>Low</v>
      </c>
      <c r="AR1085" t="str">
        <f t="shared" si="220"/>
        <v>3-5 Years</v>
      </c>
    </row>
    <row r="1086" spans="1:44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t="s">
        <v>46</v>
      </c>
      <c r="L1086">
        <v>64</v>
      </c>
      <c r="M1086">
        <v>2</v>
      </c>
      <c r="N1086">
        <v>3</v>
      </c>
      <c r="O1086" t="s">
        <v>40</v>
      </c>
      <c r="P1086">
        <v>3</v>
      </c>
      <c r="Q1086" t="s">
        <v>48</v>
      </c>
      <c r="R1086">
        <v>7083</v>
      </c>
      <c r="S1086">
        <v>1</v>
      </c>
      <c r="T1086" t="s">
        <v>35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  <c r="AF1086">
        <f t="shared" si="208"/>
        <v>0</v>
      </c>
      <c r="AG1086">
        <f t="shared" si="209"/>
        <v>1</v>
      </c>
      <c r="AH1086" t="str">
        <f t="shared" si="210"/>
        <v>Bachelor</v>
      </c>
      <c r="AI1086" t="str">
        <f t="shared" si="211"/>
        <v>Very High</v>
      </c>
      <c r="AJ1086" t="str">
        <f t="shared" si="212"/>
        <v>Medium</v>
      </c>
      <c r="AK1086" t="str">
        <f t="shared" si="213"/>
        <v>Mid-Level</v>
      </c>
      <c r="AL1086" t="str">
        <f t="shared" si="214"/>
        <v>High</v>
      </c>
      <c r="AM1086" t="str">
        <f t="shared" si="215"/>
        <v>Very High</v>
      </c>
      <c r="AN1086" t="str">
        <f t="shared" si="216"/>
        <v>No Options</v>
      </c>
      <c r="AO1086" t="str">
        <f t="shared" si="217"/>
        <v>Better</v>
      </c>
      <c r="AP1086" t="str">
        <f t="shared" si="218"/>
        <v>25-34</v>
      </c>
      <c r="AQ1086" t="str">
        <f t="shared" si="219"/>
        <v>Upper-Mid</v>
      </c>
      <c r="AR1086" t="str">
        <f t="shared" si="220"/>
        <v>6-10 Years</v>
      </c>
    </row>
    <row r="1087" spans="1:44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33</v>
      </c>
      <c r="M1087">
        <v>3</v>
      </c>
      <c r="N1087">
        <v>1</v>
      </c>
      <c r="O1087" t="s">
        <v>47</v>
      </c>
      <c r="P1087">
        <v>3</v>
      </c>
      <c r="Q1087" t="s">
        <v>41</v>
      </c>
      <c r="R1087">
        <v>4084</v>
      </c>
      <c r="S1087">
        <v>1</v>
      </c>
      <c r="T1087" t="s">
        <v>43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  <c r="AF1087">
        <f t="shared" si="208"/>
        <v>1</v>
      </c>
      <c r="AG1087">
        <f t="shared" si="209"/>
        <v>0</v>
      </c>
      <c r="AH1087" t="str">
        <f t="shared" si="210"/>
        <v>Bachelor</v>
      </c>
      <c r="AI1087" t="str">
        <f t="shared" si="211"/>
        <v>Very High</v>
      </c>
      <c r="AJ1087" t="str">
        <f t="shared" si="212"/>
        <v>High</v>
      </c>
      <c r="AK1087" t="str">
        <f t="shared" si="213"/>
        <v>Entry</v>
      </c>
      <c r="AL1087" t="str">
        <f t="shared" si="214"/>
        <v>High</v>
      </c>
      <c r="AM1087" t="str">
        <f t="shared" si="215"/>
        <v>Low</v>
      </c>
      <c r="AN1087" t="str">
        <f t="shared" si="216"/>
        <v>No Options</v>
      </c>
      <c r="AO1087" t="str">
        <f t="shared" si="217"/>
        <v>Bad</v>
      </c>
      <c r="AP1087" t="str">
        <f t="shared" si="218"/>
        <v>25-34</v>
      </c>
      <c r="AQ1087" t="str">
        <f t="shared" si="219"/>
        <v>Lower-Mid</v>
      </c>
      <c r="AR1087" t="str">
        <f t="shared" si="220"/>
        <v>6-10 Years</v>
      </c>
    </row>
    <row r="1088" spans="1:44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46</v>
      </c>
      <c r="L1088">
        <v>88</v>
      </c>
      <c r="M1088">
        <v>1</v>
      </c>
      <c r="N1088">
        <v>4</v>
      </c>
      <c r="O1088" t="s">
        <v>58</v>
      </c>
      <c r="P1088">
        <v>4</v>
      </c>
      <c r="Q1088" t="s">
        <v>41</v>
      </c>
      <c r="R1088">
        <v>14411</v>
      </c>
      <c r="S1088">
        <v>1</v>
      </c>
      <c r="T1088" t="s">
        <v>35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  <c r="AF1088">
        <f t="shared" si="208"/>
        <v>0</v>
      </c>
      <c r="AG1088">
        <f t="shared" si="209"/>
        <v>1</v>
      </c>
      <c r="AH1088" t="str">
        <f t="shared" si="210"/>
        <v>Doctor</v>
      </c>
      <c r="AI1088" t="str">
        <f t="shared" si="211"/>
        <v>High</v>
      </c>
      <c r="AJ1088" t="str">
        <f t="shared" si="212"/>
        <v>Low</v>
      </c>
      <c r="AK1088" t="str">
        <f t="shared" si="213"/>
        <v>Senior</v>
      </c>
      <c r="AL1088" t="str">
        <f t="shared" si="214"/>
        <v>Very High</v>
      </c>
      <c r="AM1088" t="str">
        <f t="shared" si="215"/>
        <v>Very High</v>
      </c>
      <c r="AN1088" t="str">
        <f t="shared" si="216"/>
        <v>No Options</v>
      </c>
      <c r="AO1088" t="str">
        <f t="shared" si="217"/>
        <v>Better</v>
      </c>
      <c r="AP1088" t="str">
        <f t="shared" si="218"/>
        <v>45-54</v>
      </c>
      <c r="AQ1088" t="str">
        <f t="shared" si="219"/>
        <v>High</v>
      </c>
      <c r="AR1088" t="str">
        <f t="shared" si="220"/>
        <v>20+ Years</v>
      </c>
    </row>
    <row r="1089" spans="1:44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t="s">
        <v>46</v>
      </c>
      <c r="L1089">
        <v>55</v>
      </c>
      <c r="M1089">
        <v>3</v>
      </c>
      <c r="N1089">
        <v>1</v>
      </c>
      <c r="O1089" t="s">
        <v>57</v>
      </c>
      <c r="P1089">
        <v>3</v>
      </c>
      <c r="Q1089" t="s">
        <v>48</v>
      </c>
      <c r="R1089">
        <v>2308</v>
      </c>
      <c r="S1089">
        <v>0</v>
      </c>
      <c r="T1089" t="s">
        <v>35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  <c r="AF1089">
        <f t="shared" si="208"/>
        <v>0</v>
      </c>
      <c r="AG1089">
        <f t="shared" si="209"/>
        <v>1</v>
      </c>
      <c r="AH1089" t="str">
        <f t="shared" si="210"/>
        <v>College</v>
      </c>
      <c r="AI1089" t="str">
        <f t="shared" si="211"/>
        <v>Medium</v>
      </c>
      <c r="AJ1089" t="str">
        <f t="shared" si="212"/>
        <v>High</v>
      </c>
      <c r="AK1089" t="str">
        <f t="shared" si="213"/>
        <v>Entry</v>
      </c>
      <c r="AL1089" t="str">
        <f t="shared" si="214"/>
        <v>High</v>
      </c>
      <c r="AM1089" t="str">
        <f t="shared" si="215"/>
        <v>Medium</v>
      </c>
      <c r="AN1089" t="str">
        <f t="shared" si="216"/>
        <v>Low</v>
      </c>
      <c r="AO1089" t="str">
        <f t="shared" si="217"/>
        <v>Better</v>
      </c>
      <c r="AP1089" t="str">
        <f t="shared" si="218"/>
        <v>25-34</v>
      </c>
      <c r="AQ1089" t="str">
        <f t="shared" si="219"/>
        <v>Low</v>
      </c>
      <c r="AR1089" t="str">
        <f t="shared" si="220"/>
        <v>11-20 Years</v>
      </c>
    </row>
    <row r="1090" spans="1:44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46</v>
      </c>
      <c r="L1090">
        <v>68</v>
      </c>
      <c r="M1090">
        <v>2</v>
      </c>
      <c r="N1090">
        <v>1</v>
      </c>
      <c r="O1090" t="s">
        <v>50</v>
      </c>
      <c r="P1090">
        <v>2</v>
      </c>
      <c r="Q1090" t="s">
        <v>48</v>
      </c>
      <c r="R1090">
        <v>4841</v>
      </c>
      <c r="S1090">
        <v>4</v>
      </c>
      <c r="T1090" t="s">
        <v>43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  <c r="AF1090">
        <f t="shared" si="208"/>
        <v>0</v>
      </c>
      <c r="AG1090">
        <f t="shared" si="209"/>
        <v>0</v>
      </c>
      <c r="AH1090" t="str">
        <f t="shared" si="210"/>
        <v>Bachelor</v>
      </c>
      <c r="AI1090" t="str">
        <f t="shared" si="211"/>
        <v>High</v>
      </c>
      <c r="AJ1090" t="str">
        <f t="shared" si="212"/>
        <v>Medium</v>
      </c>
      <c r="AK1090" t="str">
        <f t="shared" si="213"/>
        <v>Entry</v>
      </c>
      <c r="AL1090" t="str">
        <f t="shared" si="214"/>
        <v>Medium</v>
      </c>
      <c r="AM1090" t="str">
        <f t="shared" si="215"/>
        <v>Medium</v>
      </c>
      <c r="AN1090" t="str">
        <f t="shared" si="216"/>
        <v>Low</v>
      </c>
      <c r="AO1090" t="str">
        <f t="shared" si="217"/>
        <v>Better</v>
      </c>
      <c r="AP1090" t="str">
        <f t="shared" si="218"/>
        <v>35-44</v>
      </c>
      <c r="AQ1090" t="str">
        <f t="shared" si="219"/>
        <v>Lower-Mid</v>
      </c>
      <c r="AR1090" t="str">
        <f t="shared" si="220"/>
        <v>0-2 Years</v>
      </c>
    </row>
    <row r="1091" spans="1:44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46</v>
      </c>
      <c r="L1091">
        <v>47</v>
      </c>
      <c r="M1091">
        <v>3</v>
      </c>
      <c r="N1091">
        <v>2</v>
      </c>
      <c r="O1091" t="s">
        <v>47</v>
      </c>
      <c r="P1091">
        <v>4</v>
      </c>
      <c r="Q1091" t="s">
        <v>48</v>
      </c>
      <c r="R1091">
        <v>4285</v>
      </c>
      <c r="S1091">
        <v>1</v>
      </c>
      <c r="T1091" t="s">
        <v>43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  <c r="AF1091">
        <f t="shared" ref="AF1091:AF1154" si="221">IF(B1091="Yes",1,0)</f>
        <v>0</v>
      </c>
      <c r="AG1091">
        <f t="shared" ref="AG1091:AG1154" si="222">IF(T1091="Yes",1,0)</f>
        <v>0</v>
      </c>
      <c r="AH1091" t="str">
        <f t="shared" ref="AH1091:AH1154" si="223">CHOOSE(G1091,"Below College","College","Bachelor","Master","Doctor")</f>
        <v>Bachelor</v>
      </c>
      <c r="AI1091" t="str">
        <f t="shared" ref="AI1091:AI1154" si="224">CHOOSE(J1091,"Low","Medium","High","Very High")</f>
        <v>Low</v>
      </c>
      <c r="AJ1091" t="str">
        <f t="shared" ref="AJ1091:AJ1154" si="225">CHOOSE(M1091,"Low","Medium","High","Very High")</f>
        <v>High</v>
      </c>
      <c r="AK1091" t="str">
        <f t="shared" ref="AK1091:AK1154" si="226">CHOOSE(N1091,"Entry","Junior","Mid-Level","Senior","Executive")</f>
        <v>Junior</v>
      </c>
      <c r="AL1091" t="str">
        <f t="shared" ref="AL1091:AL1154" si="227">CHOOSE(P1091,"Low","Medium","High","Very High")</f>
        <v>Very High</v>
      </c>
      <c r="AM1091" t="str">
        <f t="shared" ref="AM1091:AM1154" si="228">CHOOSE(W1091,"Low","Medium","High","Very High")</f>
        <v>Low</v>
      </c>
      <c r="AN1091" t="str">
        <f t="shared" ref="AN1091:AN1154" si="229">CHOOSE(X1091+1,"No Options","Low","Medium","High")</f>
        <v>No Options</v>
      </c>
      <c r="AO1091" t="str">
        <f t="shared" ref="AO1091:AO1154" si="230">CHOOSE(AA1091,"Bad","Good","Better","Best")</f>
        <v>Better</v>
      </c>
      <c r="AP1091" t="str">
        <f t="shared" ref="AP1091:AP1154" si="231">IF(A1091&lt;=24,"Under 25",IF(A1091&lt;=34,"25-34",IF(A1091&lt;=44,"35-44",IF(A1091&lt;=54,"45-54","55+"))))</f>
        <v>35-44</v>
      </c>
      <c r="AQ1091" t="str">
        <f t="shared" ref="AQ1091:AQ1154" si="232">IF(R1091&lt;3000,"Low",IF(R1091&lt;7000,"Lower-Mid",IF(R1091&lt;13000,"Upper-Mid","High")))</f>
        <v>Lower-Mid</v>
      </c>
      <c r="AR1091" t="str">
        <f t="shared" ref="AR1091:AR1154" si="233">IF(AB1091&lt;=2,"0-2 Years",IF(AB1091&lt;=5,"3-5 Years",IF(AB1091&lt;=10,"6-10 Years",IF(AB1091&lt;=20,"11-20 Years","20+ Years"))))</f>
        <v>6-10 Years</v>
      </c>
    </row>
    <row r="1092" spans="1:44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39</v>
      </c>
      <c r="L1092">
        <v>39</v>
      </c>
      <c r="M1092">
        <v>1</v>
      </c>
      <c r="N1092">
        <v>2</v>
      </c>
      <c r="O1092" t="s">
        <v>54</v>
      </c>
      <c r="P1092">
        <v>1</v>
      </c>
      <c r="Q1092" t="s">
        <v>48</v>
      </c>
      <c r="R1092">
        <v>9715</v>
      </c>
      <c r="S1092">
        <v>3</v>
      </c>
      <c r="T1092" t="s">
        <v>43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  <c r="AF1092">
        <f t="shared" si="221"/>
        <v>0</v>
      </c>
      <c r="AG1092">
        <f t="shared" si="222"/>
        <v>0</v>
      </c>
      <c r="AH1092" t="str">
        <f t="shared" si="223"/>
        <v>Below College</v>
      </c>
      <c r="AI1092" t="str">
        <f t="shared" si="224"/>
        <v>High</v>
      </c>
      <c r="AJ1092" t="str">
        <f t="shared" si="225"/>
        <v>Low</v>
      </c>
      <c r="AK1092" t="str">
        <f t="shared" si="226"/>
        <v>Junior</v>
      </c>
      <c r="AL1092" t="str">
        <f t="shared" si="227"/>
        <v>Low</v>
      </c>
      <c r="AM1092" t="str">
        <f t="shared" si="228"/>
        <v>High</v>
      </c>
      <c r="AN1092" t="str">
        <f t="shared" si="229"/>
        <v>Low</v>
      </c>
      <c r="AO1092" t="str">
        <f t="shared" si="230"/>
        <v>Better</v>
      </c>
      <c r="AP1092" t="str">
        <f t="shared" si="231"/>
        <v>25-34</v>
      </c>
      <c r="AQ1092" t="str">
        <f t="shared" si="232"/>
        <v>Upper-Mid</v>
      </c>
      <c r="AR1092" t="str">
        <f t="shared" si="233"/>
        <v>6-10 Years</v>
      </c>
    </row>
    <row r="1093" spans="1:44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46</v>
      </c>
      <c r="L1093">
        <v>44</v>
      </c>
      <c r="M1093">
        <v>2</v>
      </c>
      <c r="N1093">
        <v>2</v>
      </c>
      <c r="O1093" t="s">
        <v>53</v>
      </c>
      <c r="P1093">
        <v>2</v>
      </c>
      <c r="Q1093" t="s">
        <v>41</v>
      </c>
      <c r="R1093">
        <v>4320</v>
      </c>
      <c r="S1093">
        <v>1</v>
      </c>
      <c r="T1093" t="s">
        <v>43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  <c r="AF1093">
        <f t="shared" si="221"/>
        <v>0</v>
      </c>
      <c r="AG1093">
        <f t="shared" si="222"/>
        <v>0</v>
      </c>
      <c r="AH1093" t="str">
        <f t="shared" si="223"/>
        <v>Bachelor</v>
      </c>
      <c r="AI1093" t="str">
        <f t="shared" si="224"/>
        <v>Very High</v>
      </c>
      <c r="AJ1093" t="str">
        <f t="shared" si="225"/>
        <v>Medium</v>
      </c>
      <c r="AK1093" t="str">
        <f t="shared" si="226"/>
        <v>Junior</v>
      </c>
      <c r="AL1093" t="str">
        <f t="shared" si="227"/>
        <v>Medium</v>
      </c>
      <c r="AM1093" t="str">
        <f t="shared" si="228"/>
        <v>Very High</v>
      </c>
      <c r="AN1093" t="str">
        <f t="shared" si="229"/>
        <v>No Options</v>
      </c>
      <c r="AO1093" t="str">
        <f t="shared" si="230"/>
        <v>Better</v>
      </c>
      <c r="AP1093" t="str">
        <f t="shared" si="231"/>
        <v>25-34</v>
      </c>
      <c r="AQ1093" t="str">
        <f t="shared" si="232"/>
        <v>Lower-Mid</v>
      </c>
      <c r="AR1093" t="str">
        <f t="shared" si="233"/>
        <v>3-5 Years</v>
      </c>
    </row>
    <row r="1094" spans="1:44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t="s">
        <v>46</v>
      </c>
      <c r="L1094">
        <v>97</v>
      </c>
      <c r="M1094">
        <v>3</v>
      </c>
      <c r="N1094">
        <v>1</v>
      </c>
      <c r="O1094" t="s">
        <v>47</v>
      </c>
      <c r="P1094">
        <v>4</v>
      </c>
      <c r="Q1094" t="s">
        <v>48</v>
      </c>
      <c r="R1094">
        <v>2132</v>
      </c>
      <c r="S1094">
        <v>4</v>
      </c>
      <c r="T1094" t="s">
        <v>43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  <c r="AF1094">
        <f t="shared" si="221"/>
        <v>0</v>
      </c>
      <c r="AG1094">
        <f t="shared" si="222"/>
        <v>0</v>
      </c>
      <c r="AH1094" t="str">
        <f t="shared" si="223"/>
        <v>Bachelor</v>
      </c>
      <c r="AI1094" t="str">
        <f t="shared" si="224"/>
        <v>Very High</v>
      </c>
      <c r="AJ1094" t="str">
        <f t="shared" si="225"/>
        <v>High</v>
      </c>
      <c r="AK1094" t="str">
        <f t="shared" si="226"/>
        <v>Entry</v>
      </c>
      <c r="AL1094" t="str">
        <f t="shared" si="227"/>
        <v>Very High</v>
      </c>
      <c r="AM1094" t="str">
        <f t="shared" si="228"/>
        <v>Very High</v>
      </c>
      <c r="AN1094" t="str">
        <f t="shared" si="229"/>
        <v>Low</v>
      </c>
      <c r="AO1094" t="str">
        <f t="shared" si="230"/>
        <v>Better</v>
      </c>
      <c r="AP1094" t="str">
        <f t="shared" si="231"/>
        <v>45-54</v>
      </c>
      <c r="AQ1094" t="str">
        <f t="shared" si="232"/>
        <v>Low</v>
      </c>
      <c r="AR1094" t="str">
        <f t="shared" si="233"/>
        <v>3-5 Years</v>
      </c>
    </row>
    <row r="1095" spans="1:44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46</v>
      </c>
      <c r="L1095">
        <v>40</v>
      </c>
      <c r="M1095">
        <v>3</v>
      </c>
      <c r="N1095">
        <v>3</v>
      </c>
      <c r="O1095" t="s">
        <v>54</v>
      </c>
      <c r="P1095">
        <v>4</v>
      </c>
      <c r="Q1095" t="s">
        <v>48</v>
      </c>
      <c r="R1095">
        <v>10124</v>
      </c>
      <c r="S1095">
        <v>2</v>
      </c>
      <c r="T1095" t="s">
        <v>35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  <c r="AF1095">
        <f t="shared" si="221"/>
        <v>0</v>
      </c>
      <c r="AG1095">
        <f t="shared" si="222"/>
        <v>1</v>
      </c>
      <c r="AH1095" t="str">
        <f t="shared" si="223"/>
        <v>Bachelor</v>
      </c>
      <c r="AI1095" t="str">
        <f t="shared" si="224"/>
        <v>Very High</v>
      </c>
      <c r="AJ1095" t="str">
        <f t="shared" si="225"/>
        <v>High</v>
      </c>
      <c r="AK1095" t="str">
        <f t="shared" si="226"/>
        <v>Mid-Level</v>
      </c>
      <c r="AL1095" t="str">
        <f t="shared" si="227"/>
        <v>Very High</v>
      </c>
      <c r="AM1095" t="str">
        <f t="shared" si="228"/>
        <v>High</v>
      </c>
      <c r="AN1095" t="str">
        <f t="shared" si="229"/>
        <v>Low</v>
      </c>
      <c r="AO1095" t="str">
        <f t="shared" si="230"/>
        <v>Bad</v>
      </c>
      <c r="AP1095" t="str">
        <f t="shared" si="231"/>
        <v>35-44</v>
      </c>
      <c r="AQ1095" t="str">
        <f t="shared" si="232"/>
        <v>Upper-Mid</v>
      </c>
      <c r="AR1095" t="str">
        <f t="shared" si="233"/>
        <v>11-20 Years</v>
      </c>
    </row>
    <row r="1096" spans="1:44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46</v>
      </c>
      <c r="L1096">
        <v>47</v>
      </c>
      <c r="M1096">
        <v>3</v>
      </c>
      <c r="N1096">
        <v>2</v>
      </c>
      <c r="O1096" t="s">
        <v>40</v>
      </c>
      <c r="P1096">
        <v>1</v>
      </c>
      <c r="Q1096" t="s">
        <v>48</v>
      </c>
      <c r="R1096">
        <v>5473</v>
      </c>
      <c r="S1096">
        <v>0</v>
      </c>
      <c r="T1096" t="s">
        <v>43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  <c r="AF1096">
        <f t="shared" si="221"/>
        <v>0</v>
      </c>
      <c r="AG1096">
        <f t="shared" si="222"/>
        <v>0</v>
      </c>
      <c r="AH1096" t="str">
        <f t="shared" si="223"/>
        <v>College</v>
      </c>
      <c r="AI1096" t="str">
        <f t="shared" si="224"/>
        <v>Low</v>
      </c>
      <c r="AJ1096" t="str">
        <f t="shared" si="225"/>
        <v>High</v>
      </c>
      <c r="AK1096" t="str">
        <f t="shared" si="226"/>
        <v>Junior</v>
      </c>
      <c r="AL1096" t="str">
        <f t="shared" si="227"/>
        <v>Low</v>
      </c>
      <c r="AM1096" t="str">
        <f t="shared" si="228"/>
        <v>Very High</v>
      </c>
      <c r="AN1096" t="str">
        <f t="shared" si="229"/>
        <v>No Options</v>
      </c>
      <c r="AO1096" t="str">
        <f t="shared" si="230"/>
        <v>Best</v>
      </c>
      <c r="AP1096" t="str">
        <f t="shared" si="231"/>
        <v>35-44</v>
      </c>
      <c r="AQ1096" t="str">
        <f t="shared" si="232"/>
        <v>Lower-Mid</v>
      </c>
      <c r="AR1096" t="str">
        <f t="shared" si="233"/>
        <v>6-10 Years</v>
      </c>
    </row>
    <row r="1097" spans="1:44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46</v>
      </c>
      <c r="L1097">
        <v>79</v>
      </c>
      <c r="M1097">
        <v>3</v>
      </c>
      <c r="N1097">
        <v>2</v>
      </c>
      <c r="O1097" t="s">
        <v>50</v>
      </c>
      <c r="P1097">
        <v>3</v>
      </c>
      <c r="Q1097" t="s">
        <v>48</v>
      </c>
      <c r="R1097">
        <v>5207</v>
      </c>
      <c r="S1097">
        <v>1</v>
      </c>
      <c r="T1097" t="s">
        <v>35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  <c r="AF1097">
        <f t="shared" si="221"/>
        <v>0</v>
      </c>
      <c r="AG1097">
        <f t="shared" si="222"/>
        <v>1</v>
      </c>
      <c r="AH1097" t="str">
        <f t="shared" si="223"/>
        <v>Master</v>
      </c>
      <c r="AI1097" t="str">
        <f t="shared" si="224"/>
        <v>Medium</v>
      </c>
      <c r="AJ1097" t="str">
        <f t="shared" si="225"/>
        <v>High</v>
      </c>
      <c r="AK1097" t="str">
        <f t="shared" si="226"/>
        <v>Junior</v>
      </c>
      <c r="AL1097" t="str">
        <f t="shared" si="227"/>
        <v>High</v>
      </c>
      <c r="AM1097" t="str">
        <f t="shared" si="228"/>
        <v>Medium</v>
      </c>
      <c r="AN1097" t="str">
        <f t="shared" si="229"/>
        <v>Low</v>
      </c>
      <c r="AO1097" t="str">
        <f t="shared" si="230"/>
        <v>Better</v>
      </c>
      <c r="AP1097" t="str">
        <f t="shared" si="231"/>
        <v>25-34</v>
      </c>
      <c r="AQ1097" t="str">
        <f t="shared" si="232"/>
        <v>Lower-Mid</v>
      </c>
      <c r="AR1097" t="str">
        <f t="shared" si="233"/>
        <v>11-20 Years</v>
      </c>
    </row>
    <row r="1098" spans="1:44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46</v>
      </c>
      <c r="L1098">
        <v>38</v>
      </c>
      <c r="M1098">
        <v>3</v>
      </c>
      <c r="N1098">
        <v>4</v>
      </c>
      <c r="O1098" t="s">
        <v>56</v>
      </c>
      <c r="P1098">
        <v>4</v>
      </c>
      <c r="Q1098" t="s">
        <v>41</v>
      </c>
      <c r="R1098">
        <v>16437</v>
      </c>
      <c r="S1098">
        <v>1</v>
      </c>
      <c r="T1098" t="s">
        <v>35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  <c r="AF1098">
        <f t="shared" si="221"/>
        <v>0</v>
      </c>
      <c r="AG1098">
        <f t="shared" si="222"/>
        <v>1</v>
      </c>
      <c r="AH1098" t="str">
        <f t="shared" si="223"/>
        <v>College</v>
      </c>
      <c r="AI1098" t="str">
        <f t="shared" si="224"/>
        <v>High</v>
      </c>
      <c r="AJ1098" t="str">
        <f t="shared" si="225"/>
        <v>High</v>
      </c>
      <c r="AK1098" t="str">
        <f t="shared" si="226"/>
        <v>Senior</v>
      </c>
      <c r="AL1098" t="str">
        <f t="shared" si="227"/>
        <v>Very High</v>
      </c>
      <c r="AM1098" t="str">
        <f t="shared" si="228"/>
        <v>Very High</v>
      </c>
      <c r="AN1098" t="str">
        <f t="shared" si="229"/>
        <v>No Options</v>
      </c>
      <c r="AO1098" t="str">
        <f t="shared" si="230"/>
        <v>Better</v>
      </c>
      <c r="AP1098" t="str">
        <f t="shared" si="231"/>
        <v>35-44</v>
      </c>
      <c r="AQ1098" t="str">
        <f t="shared" si="232"/>
        <v>High</v>
      </c>
      <c r="AR1098" t="str">
        <f t="shared" si="233"/>
        <v>20+ Years</v>
      </c>
    </row>
    <row r="1099" spans="1:44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t="s">
        <v>46</v>
      </c>
      <c r="L1099">
        <v>57</v>
      </c>
      <c r="M1099">
        <v>2</v>
      </c>
      <c r="N1099">
        <v>1</v>
      </c>
      <c r="O1099" t="s">
        <v>50</v>
      </c>
      <c r="P1099">
        <v>1</v>
      </c>
      <c r="Q1099" t="s">
        <v>52</v>
      </c>
      <c r="R1099">
        <v>2296</v>
      </c>
      <c r="S1099">
        <v>0</v>
      </c>
      <c r="T1099" t="s">
        <v>43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  <c r="AF1099">
        <f t="shared" si="221"/>
        <v>0</v>
      </c>
      <c r="AG1099">
        <f t="shared" si="222"/>
        <v>0</v>
      </c>
      <c r="AH1099" t="str">
        <f t="shared" si="223"/>
        <v>College</v>
      </c>
      <c r="AI1099" t="str">
        <f t="shared" si="224"/>
        <v>High</v>
      </c>
      <c r="AJ1099" t="str">
        <f t="shared" si="225"/>
        <v>Medium</v>
      </c>
      <c r="AK1099" t="str">
        <f t="shared" si="226"/>
        <v>Entry</v>
      </c>
      <c r="AL1099" t="str">
        <f t="shared" si="227"/>
        <v>Low</v>
      </c>
      <c r="AM1099" t="str">
        <f t="shared" si="228"/>
        <v>Medium</v>
      </c>
      <c r="AN1099" t="str">
        <f t="shared" si="229"/>
        <v>High</v>
      </c>
      <c r="AO1099" t="str">
        <f t="shared" si="230"/>
        <v>Better</v>
      </c>
      <c r="AP1099" t="str">
        <f t="shared" si="231"/>
        <v>Under 25</v>
      </c>
      <c r="AQ1099" t="str">
        <f t="shared" si="232"/>
        <v>Low</v>
      </c>
      <c r="AR1099" t="str">
        <f t="shared" si="233"/>
        <v>0-2 Years</v>
      </c>
    </row>
    <row r="1100" spans="1:44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46</v>
      </c>
      <c r="L1100">
        <v>72</v>
      </c>
      <c r="M1100">
        <v>3</v>
      </c>
      <c r="N1100">
        <v>2</v>
      </c>
      <c r="O1100" t="s">
        <v>54</v>
      </c>
      <c r="P1100">
        <v>4</v>
      </c>
      <c r="Q1100" t="s">
        <v>52</v>
      </c>
      <c r="R1100">
        <v>4069</v>
      </c>
      <c r="S1100">
        <v>3</v>
      </c>
      <c r="T1100" t="s">
        <v>35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  <c r="AF1100">
        <f t="shared" si="221"/>
        <v>0</v>
      </c>
      <c r="AG1100">
        <f t="shared" si="222"/>
        <v>1</v>
      </c>
      <c r="AH1100" t="str">
        <f t="shared" si="223"/>
        <v>College</v>
      </c>
      <c r="AI1100" t="str">
        <f t="shared" si="224"/>
        <v>Very High</v>
      </c>
      <c r="AJ1100" t="str">
        <f t="shared" si="225"/>
        <v>High</v>
      </c>
      <c r="AK1100" t="str">
        <f t="shared" si="226"/>
        <v>Junior</v>
      </c>
      <c r="AL1100" t="str">
        <f t="shared" si="227"/>
        <v>Very High</v>
      </c>
      <c r="AM1100" t="str">
        <f t="shared" si="228"/>
        <v>High</v>
      </c>
      <c r="AN1100" t="str">
        <f t="shared" si="229"/>
        <v>No Options</v>
      </c>
      <c r="AO1100" t="str">
        <f t="shared" si="230"/>
        <v>Better</v>
      </c>
      <c r="AP1100" t="str">
        <f t="shared" si="231"/>
        <v>35-44</v>
      </c>
      <c r="AQ1100" t="str">
        <f t="shared" si="232"/>
        <v>Lower-Mid</v>
      </c>
      <c r="AR1100" t="str">
        <f t="shared" si="233"/>
        <v>0-2 Years</v>
      </c>
    </row>
    <row r="1101" spans="1:44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t="s">
        <v>46</v>
      </c>
      <c r="L1101">
        <v>66</v>
      </c>
      <c r="M1101">
        <v>3</v>
      </c>
      <c r="N1101">
        <v>3</v>
      </c>
      <c r="O1101" t="s">
        <v>54</v>
      </c>
      <c r="P1101">
        <v>2</v>
      </c>
      <c r="Q1101" t="s">
        <v>52</v>
      </c>
      <c r="R1101">
        <v>7441</v>
      </c>
      <c r="S1101">
        <v>1</v>
      </c>
      <c r="T1101" t="s">
        <v>43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  <c r="AF1101">
        <f t="shared" si="221"/>
        <v>0</v>
      </c>
      <c r="AG1101">
        <f t="shared" si="222"/>
        <v>0</v>
      </c>
      <c r="AH1101" t="str">
        <f t="shared" si="223"/>
        <v>Master</v>
      </c>
      <c r="AI1101" t="str">
        <f t="shared" si="224"/>
        <v>Low</v>
      </c>
      <c r="AJ1101" t="str">
        <f t="shared" si="225"/>
        <v>High</v>
      </c>
      <c r="AK1101" t="str">
        <f t="shared" si="226"/>
        <v>Mid-Level</v>
      </c>
      <c r="AL1101" t="str">
        <f t="shared" si="227"/>
        <v>Medium</v>
      </c>
      <c r="AM1101" t="str">
        <f t="shared" si="228"/>
        <v>Low</v>
      </c>
      <c r="AN1101" t="str">
        <f t="shared" si="229"/>
        <v>High</v>
      </c>
      <c r="AO1101" t="str">
        <f t="shared" si="230"/>
        <v>Better</v>
      </c>
      <c r="AP1101" t="str">
        <f t="shared" si="231"/>
        <v>45-54</v>
      </c>
      <c r="AQ1101" t="str">
        <f t="shared" si="232"/>
        <v>Upper-Mid</v>
      </c>
      <c r="AR1101" t="str">
        <f t="shared" si="233"/>
        <v>6-10 Years</v>
      </c>
    </row>
    <row r="1102" spans="1:44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98</v>
      </c>
      <c r="M1102">
        <v>2</v>
      </c>
      <c r="N1102">
        <v>1</v>
      </c>
      <c r="O1102" t="s">
        <v>57</v>
      </c>
      <c r="P1102">
        <v>3</v>
      </c>
      <c r="Q1102" t="s">
        <v>48</v>
      </c>
      <c r="R1102">
        <v>2430</v>
      </c>
      <c r="S1102">
        <v>0</v>
      </c>
      <c r="T1102" t="s">
        <v>43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  <c r="AF1102">
        <f t="shared" si="221"/>
        <v>0</v>
      </c>
      <c r="AG1102">
        <f t="shared" si="222"/>
        <v>0</v>
      </c>
      <c r="AH1102" t="str">
        <f t="shared" si="223"/>
        <v>Master</v>
      </c>
      <c r="AI1102" t="str">
        <f t="shared" si="224"/>
        <v>Medium</v>
      </c>
      <c r="AJ1102" t="str">
        <f t="shared" si="225"/>
        <v>Medium</v>
      </c>
      <c r="AK1102" t="str">
        <f t="shared" si="226"/>
        <v>Entry</v>
      </c>
      <c r="AL1102" t="str">
        <f t="shared" si="227"/>
        <v>High</v>
      </c>
      <c r="AM1102" t="str">
        <f t="shared" si="228"/>
        <v>Low</v>
      </c>
      <c r="AN1102" t="str">
        <f t="shared" si="229"/>
        <v>Medium</v>
      </c>
      <c r="AO1102" t="str">
        <f t="shared" si="230"/>
        <v>Better</v>
      </c>
      <c r="AP1102" t="str">
        <f t="shared" si="231"/>
        <v>35-44</v>
      </c>
      <c r="AQ1102" t="str">
        <f t="shared" si="232"/>
        <v>Low</v>
      </c>
      <c r="AR1102" t="str">
        <f t="shared" si="233"/>
        <v>3-5 Years</v>
      </c>
    </row>
    <row r="1103" spans="1:44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67</v>
      </c>
      <c r="M1103">
        <v>2</v>
      </c>
      <c r="N1103">
        <v>2</v>
      </c>
      <c r="O1103" t="s">
        <v>47</v>
      </c>
      <c r="P1103">
        <v>2</v>
      </c>
      <c r="Q1103" t="s">
        <v>48</v>
      </c>
      <c r="R1103">
        <v>5878</v>
      </c>
      <c r="S1103">
        <v>3</v>
      </c>
      <c r="T1103" t="s">
        <v>43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  <c r="AF1103">
        <f t="shared" si="221"/>
        <v>0</v>
      </c>
      <c r="AG1103">
        <f t="shared" si="222"/>
        <v>0</v>
      </c>
      <c r="AH1103" t="str">
        <f t="shared" si="223"/>
        <v>College</v>
      </c>
      <c r="AI1103" t="str">
        <f t="shared" si="224"/>
        <v>Very High</v>
      </c>
      <c r="AJ1103" t="str">
        <f t="shared" si="225"/>
        <v>Medium</v>
      </c>
      <c r="AK1103" t="str">
        <f t="shared" si="226"/>
        <v>Junior</v>
      </c>
      <c r="AL1103" t="str">
        <f t="shared" si="227"/>
        <v>Medium</v>
      </c>
      <c r="AM1103" t="str">
        <f t="shared" si="228"/>
        <v>Low</v>
      </c>
      <c r="AN1103" t="str">
        <f t="shared" si="229"/>
        <v>Low</v>
      </c>
      <c r="AO1103" t="str">
        <f t="shared" si="230"/>
        <v>Better</v>
      </c>
      <c r="AP1103" t="str">
        <f t="shared" si="231"/>
        <v>25-34</v>
      </c>
      <c r="AQ1103" t="str">
        <f t="shared" si="232"/>
        <v>Lower-Mid</v>
      </c>
      <c r="AR1103" t="str">
        <f t="shared" si="233"/>
        <v>6-10 Years</v>
      </c>
    </row>
    <row r="1104" spans="1:44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46</v>
      </c>
      <c r="L1104">
        <v>70</v>
      </c>
      <c r="M1104">
        <v>3</v>
      </c>
      <c r="N1104">
        <v>1</v>
      </c>
      <c r="O1104" t="s">
        <v>57</v>
      </c>
      <c r="P1104">
        <v>4</v>
      </c>
      <c r="Q1104" t="s">
        <v>41</v>
      </c>
      <c r="R1104">
        <v>2644</v>
      </c>
      <c r="S1104">
        <v>3</v>
      </c>
      <c r="T1104" t="s">
        <v>35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  <c r="AF1104">
        <f t="shared" si="221"/>
        <v>0</v>
      </c>
      <c r="AG1104">
        <f t="shared" si="222"/>
        <v>1</v>
      </c>
      <c r="AH1104" t="str">
        <f t="shared" si="223"/>
        <v>Master</v>
      </c>
      <c r="AI1104" t="str">
        <f t="shared" si="224"/>
        <v>High</v>
      </c>
      <c r="AJ1104" t="str">
        <f t="shared" si="225"/>
        <v>High</v>
      </c>
      <c r="AK1104" t="str">
        <f t="shared" si="226"/>
        <v>Entry</v>
      </c>
      <c r="AL1104" t="str">
        <f t="shared" si="227"/>
        <v>Very High</v>
      </c>
      <c r="AM1104" t="str">
        <f t="shared" si="228"/>
        <v>Very High</v>
      </c>
      <c r="AN1104" t="str">
        <f t="shared" si="229"/>
        <v>No Options</v>
      </c>
      <c r="AO1104" t="str">
        <f t="shared" si="230"/>
        <v>Good</v>
      </c>
      <c r="AP1104" t="str">
        <f t="shared" si="231"/>
        <v>35-44</v>
      </c>
      <c r="AQ1104" t="str">
        <f t="shared" si="232"/>
        <v>Low</v>
      </c>
      <c r="AR1104" t="str">
        <f t="shared" si="233"/>
        <v>3-5 Years</v>
      </c>
    </row>
    <row r="1105" spans="1:44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96</v>
      </c>
      <c r="M1105">
        <v>3</v>
      </c>
      <c r="N1105">
        <v>2</v>
      </c>
      <c r="O1105" t="s">
        <v>40</v>
      </c>
      <c r="P1105">
        <v>3</v>
      </c>
      <c r="Q1105" t="s">
        <v>52</v>
      </c>
      <c r="R1105">
        <v>6439</v>
      </c>
      <c r="S1105">
        <v>8</v>
      </c>
      <c r="T1105" t="s">
        <v>43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  <c r="AF1105">
        <f t="shared" si="221"/>
        <v>0</v>
      </c>
      <c r="AG1105">
        <f t="shared" si="222"/>
        <v>0</v>
      </c>
      <c r="AH1105" t="str">
        <f t="shared" si="223"/>
        <v>Master</v>
      </c>
      <c r="AI1105" t="str">
        <f t="shared" si="224"/>
        <v>High</v>
      </c>
      <c r="AJ1105" t="str">
        <f t="shared" si="225"/>
        <v>High</v>
      </c>
      <c r="AK1105" t="str">
        <f t="shared" si="226"/>
        <v>Junior</v>
      </c>
      <c r="AL1105" t="str">
        <f t="shared" si="227"/>
        <v>High</v>
      </c>
      <c r="AM1105" t="str">
        <f t="shared" si="228"/>
        <v>High</v>
      </c>
      <c r="AN1105" t="str">
        <f t="shared" si="229"/>
        <v>Low</v>
      </c>
      <c r="AO1105" t="str">
        <f t="shared" si="230"/>
        <v>Better</v>
      </c>
      <c r="AP1105" t="str">
        <f t="shared" si="231"/>
        <v>45-54</v>
      </c>
      <c r="AQ1105" t="str">
        <f t="shared" si="232"/>
        <v>Lower-Mid</v>
      </c>
      <c r="AR1105" t="str">
        <f t="shared" si="233"/>
        <v>6-10 Years</v>
      </c>
    </row>
    <row r="1106" spans="1:44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46</v>
      </c>
      <c r="L1106">
        <v>91</v>
      </c>
      <c r="M1106">
        <v>4</v>
      </c>
      <c r="N1106">
        <v>1</v>
      </c>
      <c r="O1106" t="s">
        <v>47</v>
      </c>
      <c r="P1106">
        <v>3</v>
      </c>
      <c r="Q1106" t="s">
        <v>48</v>
      </c>
      <c r="R1106">
        <v>2451</v>
      </c>
      <c r="S1106">
        <v>6</v>
      </c>
      <c r="T1106" t="s">
        <v>43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  <c r="AF1106">
        <f t="shared" si="221"/>
        <v>0</v>
      </c>
      <c r="AG1106">
        <f t="shared" si="222"/>
        <v>0</v>
      </c>
      <c r="AH1106" t="str">
        <f t="shared" si="223"/>
        <v>Bachelor</v>
      </c>
      <c r="AI1106" t="str">
        <f t="shared" si="224"/>
        <v>High</v>
      </c>
      <c r="AJ1106" t="str">
        <f t="shared" si="225"/>
        <v>Very High</v>
      </c>
      <c r="AK1106" t="str">
        <f t="shared" si="226"/>
        <v>Entry</v>
      </c>
      <c r="AL1106" t="str">
        <f t="shared" si="227"/>
        <v>High</v>
      </c>
      <c r="AM1106" t="str">
        <f t="shared" si="228"/>
        <v>Low</v>
      </c>
      <c r="AN1106" t="str">
        <f t="shared" si="229"/>
        <v>Medium</v>
      </c>
      <c r="AO1106" t="str">
        <f t="shared" si="230"/>
        <v>Good</v>
      </c>
      <c r="AP1106" t="str">
        <f t="shared" si="231"/>
        <v>25-34</v>
      </c>
      <c r="AQ1106" t="str">
        <f t="shared" si="232"/>
        <v>Low</v>
      </c>
      <c r="AR1106" t="str">
        <f t="shared" si="233"/>
        <v>0-2 Years</v>
      </c>
    </row>
    <row r="1107" spans="1:44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46</v>
      </c>
      <c r="L1107">
        <v>46</v>
      </c>
      <c r="M1107">
        <v>3</v>
      </c>
      <c r="N1107">
        <v>2</v>
      </c>
      <c r="O1107" t="s">
        <v>40</v>
      </c>
      <c r="P1107">
        <v>1</v>
      </c>
      <c r="Q1107" t="s">
        <v>48</v>
      </c>
      <c r="R1107">
        <v>6392</v>
      </c>
      <c r="S1107">
        <v>2</v>
      </c>
      <c r="T1107" t="s">
        <v>43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  <c r="AF1107">
        <f t="shared" si="221"/>
        <v>0</v>
      </c>
      <c r="AG1107">
        <f t="shared" si="222"/>
        <v>0</v>
      </c>
      <c r="AH1107" t="str">
        <f t="shared" si="223"/>
        <v>Master</v>
      </c>
      <c r="AI1107" t="str">
        <f t="shared" si="224"/>
        <v>Low</v>
      </c>
      <c r="AJ1107" t="str">
        <f t="shared" si="225"/>
        <v>High</v>
      </c>
      <c r="AK1107" t="str">
        <f t="shared" si="226"/>
        <v>Junior</v>
      </c>
      <c r="AL1107" t="str">
        <f t="shared" si="227"/>
        <v>Low</v>
      </c>
      <c r="AM1107" t="str">
        <f t="shared" si="228"/>
        <v>Very High</v>
      </c>
      <c r="AN1107" t="str">
        <f t="shared" si="229"/>
        <v>Low</v>
      </c>
      <c r="AO1107" t="str">
        <f t="shared" si="230"/>
        <v>Bad</v>
      </c>
      <c r="AP1107" t="str">
        <f t="shared" si="231"/>
        <v>25-34</v>
      </c>
      <c r="AQ1107" t="str">
        <f t="shared" si="232"/>
        <v>Lower-Mid</v>
      </c>
      <c r="AR1107" t="str">
        <f t="shared" si="233"/>
        <v>0-2 Years</v>
      </c>
    </row>
    <row r="1108" spans="1:44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46</v>
      </c>
      <c r="L1108">
        <v>64</v>
      </c>
      <c r="M1108">
        <v>2</v>
      </c>
      <c r="N1108">
        <v>2</v>
      </c>
      <c r="O1108" t="s">
        <v>40</v>
      </c>
      <c r="P1108">
        <v>1</v>
      </c>
      <c r="Q1108" t="s">
        <v>48</v>
      </c>
      <c r="R1108">
        <v>9714</v>
      </c>
      <c r="S1108">
        <v>1</v>
      </c>
      <c r="T1108" t="s">
        <v>43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  <c r="AF1108">
        <f t="shared" si="221"/>
        <v>1</v>
      </c>
      <c r="AG1108">
        <f t="shared" si="222"/>
        <v>0</v>
      </c>
      <c r="AH1108" t="str">
        <f t="shared" si="223"/>
        <v>Bachelor</v>
      </c>
      <c r="AI1108" t="str">
        <f t="shared" si="224"/>
        <v>Medium</v>
      </c>
      <c r="AJ1108" t="str">
        <f t="shared" si="225"/>
        <v>Medium</v>
      </c>
      <c r="AK1108" t="str">
        <f t="shared" si="226"/>
        <v>Junior</v>
      </c>
      <c r="AL1108" t="str">
        <f t="shared" si="227"/>
        <v>Low</v>
      </c>
      <c r="AM1108" t="str">
        <f t="shared" si="228"/>
        <v>Very High</v>
      </c>
      <c r="AN1108" t="str">
        <f t="shared" si="229"/>
        <v>Low</v>
      </c>
      <c r="AO1108" t="str">
        <f t="shared" si="230"/>
        <v>Better</v>
      </c>
      <c r="AP1108" t="str">
        <f t="shared" si="231"/>
        <v>25-34</v>
      </c>
      <c r="AQ1108" t="str">
        <f t="shared" si="232"/>
        <v>Upper-Mid</v>
      </c>
      <c r="AR1108" t="str">
        <f t="shared" si="233"/>
        <v>6-10 Years</v>
      </c>
    </row>
    <row r="1109" spans="1:44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t="s">
        <v>46</v>
      </c>
      <c r="L1109">
        <v>71</v>
      </c>
      <c r="M1109">
        <v>3</v>
      </c>
      <c r="N1109">
        <v>2</v>
      </c>
      <c r="O1109" t="s">
        <v>61</v>
      </c>
      <c r="P1109">
        <v>3</v>
      </c>
      <c r="Q1109" t="s">
        <v>48</v>
      </c>
      <c r="R1109">
        <v>6077</v>
      </c>
      <c r="S1109">
        <v>3</v>
      </c>
      <c r="T1109" t="s">
        <v>43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  <c r="AF1109">
        <f t="shared" si="221"/>
        <v>0</v>
      </c>
      <c r="AG1109">
        <f t="shared" si="222"/>
        <v>0</v>
      </c>
      <c r="AH1109" t="str">
        <f t="shared" si="223"/>
        <v>Master</v>
      </c>
      <c r="AI1109" t="str">
        <f t="shared" si="224"/>
        <v>High</v>
      </c>
      <c r="AJ1109" t="str">
        <f t="shared" si="225"/>
        <v>High</v>
      </c>
      <c r="AK1109" t="str">
        <f t="shared" si="226"/>
        <v>Junior</v>
      </c>
      <c r="AL1109" t="str">
        <f t="shared" si="227"/>
        <v>High</v>
      </c>
      <c r="AM1109" t="str">
        <f t="shared" si="228"/>
        <v>High</v>
      </c>
      <c r="AN1109" t="str">
        <f t="shared" si="229"/>
        <v>No Options</v>
      </c>
      <c r="AO1109" t="str">
        <f t="shared" si="230"/>
        <v>Better</v>
      </c>
      <c r="AP1109" t="str">
        <f t="shared" si="231"/>
        <v>35-44</v>
      </c>
      <c r="AQ1109" t="str">
        <f t="shared" si="232"/>
        <v>Lower-Mid</v>
      </c>
      <c r="AR1109" t="str">
        <f t="shared" si="233"/>
        <v>6-10 Years</v>
      </c>
    </row>
    <row r="1110" spans="1:44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46</v>
      </c>
      <c r="L1110">
        <v>68</v>
      </c>
      <c r="M1110">
        <v>2</v>
      </c>
      <c r="N1110">
        <v>1</v>
      </c>
      <c r="O1110" t="s">
        <v>50</v>
      </c>
      <c r="P1110">
        <v>1</v>
      </c>
      <c r="Q1110" t="s">
        <v>41</v>
      </c>
      <c r="R1110">
        <v>2450</v>
      </c>
      <c r="S1110">
        <v>1</v>
      </c>
      <c r="T1110" t="s">
        <v>43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  <c r="AF1110">
        <f t="shared" si="221"/>
        <v>0</v>
      </c>
      <c r="AG1110">
        <f t="shared" si="222"/>
        <v>0</v>
      </c>
      <c r="AH1110" t="str">
        <f t="shared" si="223"/>
        <v>Bachelor</v>
      </c>
      <c r="AI1110" t="str">
        <f t="shared" si="224"/>
        <v>Very High</v>
      </c>
      <c r="AJ1110" t="str">
        <f t="shared" si="225"/>
        <v>Medium</v>
      </c>
      <c r="AK1110" t="str">
        <f t="shared" si="226"/>
        <v>Entry</v>
      </c>
      <c r="AL1110" t="str">
        <f t="shared" si="227"/>
        <v>Low</v>
      </c>
      <c r="AM1110" t="str">
        <f t="shared" si="228"/>
        <v>Medium</v>
      </c>
      <c r="AN1110" t="str">
        <f t="shared" si="229"/>
        <v>No Options</v>
      </c>
      <c r="AO1110" t="str">
        <f t="shared" si="230"/>
        <v>Better</v>
      </c>
      <c r="AP1110" t="str">
        <f t="shared" si="231"/>
        <v>35-44</v>
      </c>
      <c r="AQ1110" t="str">
        <f t="shared" si="232"/>
        <v>Low</v>
      </c>
      <c r="AR1110" t="str">
        <f t="shared" si="233"/>
        <v>3-5 Years</v>
      </c>
    </row>
    <row r="1111" spans="1:44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t="s">
        <v>46</v>
      </c>
      <c r="L1111">
        <v>33</v>
      </c>
      <c r="M1111">
        <v>3</v>
      </c>
      <c r="N1111">
        <v>3</v>
      </c>
      <c r="O1111" t="s">
        <v>40</v>
      </c>
      <c r="P1111">
        <v>2</v>
      </c>
      <c r="Q1111" t="s">
        <v>48</v>
      </c>
      <c r="R1111">
        <v>9250</v>
      </c>
      <c r="S1111">
        <v>3</v>
      </c>
      <c r="T1111" t="s">
        <v>43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  <c r="AF1111">
        <f t="shared" si="221"/>
        <v>0</v>
      </c>
      <c r="AG1111">
        <f t="shared" si="222"/>
        <v>0</v>
      </c>
      <c r="AH1111" t="str">
        <f t="shared" si="223"/>
        <v>Master</v>
      </c>
      <c r="AI1111" t="str">
        <f t="shared" si="224"/>
        <v>High</v>
      </c>
      <c r="AJ1111" t="str">
        <f t="shared" si="225"/>
        <v>High</v>
      </c>
      <c r="AK1111" t="str">
        <f t="shared" si="226"/>
        <v>Mid-Level</v>
      </c>
      <c r="AL1111" t="str">
        <f t="shared" si="227"/>
        <v>Medium</v>
      </c>
      <c r="AM1111" t="str">
        <f t="shared" si="228"/>
        <v>Medium</v>
      </c>
      <c r="AN1111" t="str">
        <f t="shared" si="229"/>
        <v>Low</v>
      </c>
      <c r="AO1111" t="str">
        <f t="shared" si="230"/>
        <v>Better</v>
      </c>
      <c r="AP1111" t="str">
        <f t="shared" si="231"/>
        <v>25-34</v>
      </c>
      <c r="AQ1111" t="str">
        <f t="shared" si="232"/>
        <v>Upper-Mid</v>
      </c>
      <c r="AR1111" t="str">
        <f t="shared" si="233"/>
        <v>3-5 Years</v>
      </c>
    </row>
    <row r="1112" spans="1:44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69</v>
      </c>
      <c r="M1112">
        <v>3</v>
      </c>
      <c r="N1112">
        <v>1</v>
      </c>
      <c r="O1112" t="s">
        <v>50</v>
      </c>
      <c r="P1112">
        <v>1</v>
      </c>
      <c r="Q1112" t="s">
        <v>52</v>
      </c>
      <c r="R1112">
        <v>2074</v>
      </c>
      <c r="S1112">
        <v>1</v>
      </c>
      <c r="T1112" t="s">
        <v>35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  <c r="AF1112">
        <f t="shared" si="221"/>
        <v>1</v>
      </c>
      <c r="AG1112">
        <f t="shared" si="222"/>
        <v>1</v>
      </c>
      <c r="AH1112" t="str">
        <f t="shared" si="223"/>
        <v>Bachelor</v>
      </c>
      <c r="AI1112" t="str">
        <f t="shared" si="224"/>
        <v>Low</v>
      </c>
      <c r="AJ1112" t="str">
        <f t="shared" si="225"/>
        <v>High</v>
      </c>
      <c r="AK1112" t="str">
        <f t="shared" si="226"/>
        <v>Entry</v>
      </c>
      <c r="AL1112" t="str">
        <f t="shared" si="227"/>
        <v>Low</v>
      </c>
      <c r="AM1112" t="str">
        <f t="shared" si="228"/>
        <v>Very High</v>
      </c>
      <c r="AN1112" t="str">
        <f t="shared" si="229"/>
        <v>Low</v>
      </c>
      <c r="AO1112" t="str">
        <f t="shared" si="230"/>
        <v>Better</v>
      </c>
      <c r="AP1112" t="str">
        <f t="shared" si="231"/>
        <v>35-44</v>
      </c>
      <c r="AQ1112" t="str">
        <f t="shared" si="232"/>
        <v>Low</v>
      </c>
      <c r="AR1112" t="str">
        <f t="shared" si="233"/>
        <v>0-2 Years</v>
      </c>
    </row>
    <row r="1113" spans="1:44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t="s">
        <v>39</v>
      </c>
      <c r="L1113">
        <v>78</v>
      </c>
      <c r="M1113">
        <v>2</v>
      </c>
      <c r="N1113">
        <v>3</v>
      </c>
      <c r="O1113" t="s">
        <v>53</v>
      </c>
      <c r="P1113">
        <v>4</v>
      </c>
      <c r="Q1113" t="s">
        <v>48</v>
      </c>
      <c r="R1113">
        <v>10169</v>
      </c>
      <c r="S1113">
        <v>0</v>
      </c>
      <c r="T1113" t="s">
        <v>43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  <c r="AF1113">
        <f t="shared" si="221"/>
        <v>1</v>
      </c>
      <c r="AG1113">
        <f t="shared" si="222"/>
        <v>0</v>
      </c>
      <c r="AH1113" t="str">
        <f t="shared" si="223"/>
        <v>Doctor</v>
      </c>
      <c r="AI1113" t="str">
        <f t="shared" si="224"/>
        <v>High</v>
      </c>
      <c r="AJ1113" t="str">
        <f t="shared" si="225"/>
        <v>Medium</v>
      </c>
      <c r="AK1113" t="str">
        <f t="shared" si="226"/>
        <v>Mid-Level</v>
      </c>
      <c r="AL1113" t="str">
        <f t="shared" si="227"/>
        <v>Very High</v>
      </c>
      <c r="AM1113" t="str">
        <f t="shared" si="228"/>
        <v>Medium</v>
      </c>
      <c r="AN1113" t="str">
        <f t="shared" si="229"/>
        <v>Low</v>
      </c>
      <c r="AO1113" t="str">
        <f t="shared" si="230"/>
        <v>Better</v>
      </c>
      <c r="AP1113" t="str">
        <f t="shared" si="231"/>
        <v>45-54</v>
      </c>
      <c r="AQ1113" t="str">
        <f t="shared" si="232"/>
        <v>Upper-Mid</v>
      </c>
      <c r="AR1113" t="str">
        <f t="shared" si="233"/>
        <v>20+ Years</v>
      </c>
    </row>
    <row r="1114" spans="1:44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46</v>
      </c>
      <c r="L1114">
        <v>81</v>
      </c>
      <c r="M1114">
        <v>3</v>
      </c>
      <c r="N1114">
        <v>2</v>
      </c>
      <c r="O1114" t="s">
        <v>53</v>
      </c>
      <c r="P1114">
        <v>2</v>
      </c>
      <c r="Q1114" t="s">
        <v>48</v>
      </c>
      <c r="R1114">
        <v>4855</v>
      </c>
      <c r="S1114">
        <v>4</v>
      </c>
      <c r="T1114" t="s">
        <v>43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  <c r="AF1114">
        <f t="shared" si="221"/>
        <v>1</v>
      </c>
      <c r="AG1114">
        <f t="shared" si="222"/>
        <v>0</v>
      </c>
      <c r="AH1114" t="str">
        <f t="shared" si="223"/>
        <v>Bachelor</v>
      </c>
      <c r="AI1114" t="str">
        <f t="shared" si="224"/>
        <v>High</v>
      </c>
      <c r="AJ1114" t="str">
        <f t="shared" si="225"/>
        <v>High</v>
      </c>
      <c r="AK1114" t="str">
        <f t="shared" si="226"/>
        <v>Junior</v>
      </c>
      <c r="AL1114" t="str">
        <f t="shared" si="227"/>
        <v>Medium</v>
      </c>
      <c r="AM1114" t="str">
        <f t="shared" si="228"/>
        <v>Low</v>
      </c>
      <c r="AN1114" t="str">
        <f t="shared" si="229"/>
        <v>Medium</v>
      </c>
      <c r="AO1114" t="str">
        <f t="shared" si="230"/>
        <v>Better</v>
      </c>
      <c r="AP1114" t="str">
        <f t="shared" si="231"/>
        <v>35-44</v>
      </c>
      <c r="AQ1114" t="str">
        <f t="shared" si="232"/>
        <v>Lower-Mid</v>
      </c>
      <c r="AR1114" t="str">
        <f t="shared" si="233"/>
        <v>3-5 Years</v>
      </c>
    </row>
    <row r="1115" spans="1:44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t="s">
        <v>46</v>
      </c>
      <c r="L1115">
        <v>62</v>
      </c>
      <c r="M1115">
        <v>3</v>
      </c>
      <c r="N1115">
        <v>2</v>
      </c>
      <c r="O1115" t="s">
        <v>47</v>
      </c>
      <c r="P1115">
        <v>1</v>
      </c>
      <c r="Q1115" t="s">
        <v>48</v>
      </c>
      <c r="R1115">
        <v>4087</v>
      </c>
      <c r="S1115">
        <v>4</v>
      </c>
      <c r="T1115" t="s">
        <v>43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  <c r="AF1115">
        <f t="shared" si="221"/>
        <v>0</v>
      </c>
      <c r="AG1115">
        <f t="shared" si="222"/>
        <v>0</v>
      </c>
      <c r="AH1115" t="str">
        <f t="shared" si="223"/>
        <v>Master</v>
      </c>
      <c r="AI1115" t="str">
        <f t="shared" si="224"/>
        <v>Very High</v>
      </c>
      <c r="AJ1115" t="str">
        <f t="shared" si="225"/>
        <v>High</v>
      </c>
      <c r="AK1115" t="str">
        <f t="shared" si="226"/>
        <v>Junior</v>
      </c>
      <c r="AL1115" t="str">
        <f t="shared" si="227"/>
        <v>Low</v>
      </c>
      <c r="AM1115" t="str">
        <f t="shared" si="228"/>
        <v>Medium</v>
      </c>
      <c r="AN1115" t="str">
        <f t="shared" si="229"/>
        <v>Low</v>
      </c>
      <c r="AO1115" t="str">
        <f t="shared" si="230"/>
        <v>Good</v>
      </c>
      <c r="AP1115" t="str">
        <f t="shared" si="231"/>
        <v>25-34</v>
      </c>
      <c r="AQ1115" t="str">
        <f t="shared" si="232"/>
        <v>Lower-Mid</v>
      </c>
      <c r="AR1115" t="str">
        <f t="shared" si="233"/>
        <v>6-10 Years</v>
      </c>
    </row>
    <row r="1116" spans="1:44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39</v>
      </c>
      <c r="L1116">
        <v>65</v>
      </c>
      <c r="M1116">
        <v>3</v>
      </c>
      <c r="N1116">
        <v>1</v>
      </c>
      <c r="O1116" t="s">
        <v>47</v>
      </c>
      <c r="P1116">
        <v>1</v>
      </c>
      <c r="Q1116" t="s">
        <v>48</v>
      </c>
      <c r="R1116">
        <v>2367</v>
      </c>
      <c r="S1116">
        <v>8</v>
      </c>
      <c r="T1116" t="s">
        <v>43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  <c r="AF1116">
        <f t="shared" si="221"/>
        <v>0</v>
      </c>
      <c r="AG1116">
        <f t="shared" si="222"/>
        <v>0</v>
      </c>
      <c r="AH1116" t="str">
        <f t="shared" si="223"/>
        <v>Master</v>
      </c>
      <c r="AI1116" t="str">
        <f t="shared" si="224"/>
        <v>High</v>
      </c>
      <c r="AJ1116" t="str">
        <f t="shared" si="225"/>
        <v>High</v>
      </c>
      <c r="AK1116" t="str">
        <f t="shared" si="226"/>
        <v>Entry</v>
      </c>
      <c r="AL1116" t="str">
        <f t="shared" si="227"/>
        <v>Low</v>
      </c>
      <c r="AM1116" t="str">
        <f t="shared" si="228"/>
        <v>Very High</v>
      </c>
      <c r="AN1116" t="str">
        <f t="shared" si="229"/>
        <v>Low</v>
      </c>
      <c r="AO1116" t="str">
        <f t="shared" si="230"/>
        <v>Good</v>
      </c>
      <c r="AP1116" t="str">
        <f t="shared" si="231"/>
        <v>45-54</v>
      </c>
      <c r="AQ1116" t="str">
        <f t="shared" si="232"/>
        <v>Low</v>
      </c>
      <c r="AR1116" t="str">
        <f t="shared" si="233"/>
        <v>6-10 Years</v>
      </c>
    </row>
    <row r="1117" spans="1:44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46</v>
      </c>
      <c r="L1117">
        <v>35</v>
      </c>
      <c r="M1117">
        <v>3</v>
      </c>
      <c r="N1117">
        <v>1</v>
      </c>
      <c r="O1117" t="s">
        <v>47</v>
      </c>
      <c r="P1117">
        <v>4</v>
      </c>
      <c r="Q1117" t="s">
        <v>41</v>
      </c>
      <c r="R1117">
        <v>2972</v>
      </c>
      <c r="S1117">
        <v>1</v>
      </c>
      <c r="T1117" t="s">
        <v>43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  <c r="AF1117">
        <f t="shared" si="221"/>
        <v>0</v>
      </c>
      <c r="AG1117">
        <f t="shared" si="222"/>
        <v>0</v>
      </c>
      <c r="AH1117" t="str">
        <f t="shared" si="223"/>
        <v>Master</v>
      </c>
      <c r="AI1117" t="str">
        <f t="shared" si="224"/>
        <v>Low</v>
      </c>
      <c r="AJ1117" t="str">
        <f t="shared" si="225"/>
        <v>High</v>
      </c>
      <c r="AK1117" t="str">
        <f t="shared" si="226"/>
        <v>Entry</v>
      </c>
      <c r="AL1117" t="str">
        <f t="shared" si="227"/>
        <v>Very High</v>
      </c>
      <c r="AM1117" t="str">
        <f t="shared" si="228"/>
        <v>High</v>
      </c>
      <c r="AN1117" t="str">
        <f t="shared" si="229"/>
        <v>No Options</v>
      </c>
      <c r="AO1117" t="str">
        <f t="shared" si="230"/>
        <v>Bad</v>
      </c>
      <c r="AP1117" t="str">
        <f t="shared" si="231"/>
        <v>25-34</v>
      </c>
      <c r="AQ1117" t="str">
        <f t="shared" si="232"/>
        <v>Low</v>
      </c>
      <c r="AR1117" t="str">
        <f t="shared" si="233"/>
        <v>0-2 Years</v>
      </c>
    </row>
    <row r="1118" spans="1:44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t="s">
        <v>46</v>
      </c>
      <c r="L1118">
        <v>60</v>
      </c>
      <c r="M1118">
        <v>2</v>
      </c>
      <c r="N1118">
        <v>5</v>
      </c>
      <c r="O1118" t="s">
        <v>56</v>
      </c>
      <c r="P1118">
        <v>4</v>
      </c>
      <c r="Q1118" t="s">
        <v>48</v>
      </c>
      <c r="R1118">
        <v>19586</v>
      </c>
      <c r="S1118">
        <v>1</v>
      </c>
      <c r="T1118" t="s">
        <v>43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  <c r="AF1118">
        <f t="shared" si="221"/>
        <v>0</v>
      </c>
      <c r="AG1118">
        <f t="shared" si="222"/>
        <v>0</v>
      </c>
      <c r="AH1118" t="str">
        <f t="shared" si="223"/>
        <v>Doctor</v>
      </c>
      <c r="AI1118" t="str">
        <f t="shared" si="224"/>
        <v>High</v>
      </c>
      <c r="AJ1118" t="str">
        <f t="shared" si="225"/>
        <v>Medium</v>
      </c>
      <c r="AK1118" t="str">
        <f t="shared" si="226"/>
        <v>Executive</v>
      </c>
      <c r="AL1118" t="str">
        <f t="shared" si="227"/>
        <v>Very High</v>
      </c>
      <c r="AM1118" t="str">
        <f t="shared" si="228"/>
        <v>High</v>
      </c>
      <c r="AN1118" t="str">
        <f t="shared" si="229"/>
        <v>Low</v>
      </c>
      <c r="AO1118" t="str">
        <f t="shared" si="230"/>
        <v>Better</v>
      </c>
      <c r="AP1118" t="str">
        <f t="shared" si="231"/>
        <v>55+</v>
      </c>
      <c r="AQ1118" t="str">
        <f t="shared" si="232"/>
        <v>High</v>
      </c>
      <c r="AR1118" t="str">
        <f t="shared" si="233"/>
        <v>20+ Years</v>
      </c>
    </row>
    <row r="1119" spans="1:44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46</v>
      </c>
      <c r="L1119">
        <v>45</v>
      </c>
      <c r="M1119">
        <v>3</v>
      </c>
      <c r="N1119">
        <v>2</v>
      </c>
      <c r="O1119" t="s">
        <v>47</v>
      </c>
      <c r="P1119">
        <v>4</v>
      </c>
      <c r="Q1119" t="s">
        <v>48</v>
      </c>
      <c r="R1119">
        <v>5484</v>
      </c>
      <c r="S1119">
        <v>9</v>
      </c>
      <c r="T1119" t="s">
        <v>43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  <c r="AF1119">
        <f t="shared" si="221"/>
        <v>0</v>
      </c>
      <c r="AG1119">
        <f t="shared" si="222"/>
        <v>0</v>
      </c>
      <c r="AH1119" t="str">
        <f t="shared" si="223"/>
        <v>Master</v>
      </c>
      <c r="AI1119" t="str">
        <f t="shared" si="224"/>
        <v>Medium</v>
      </c>
      <c r="AJ1119" t="str">
        <f t="shared" si="225"/>
        <v>High</v>
      </c>
      <c r="AK1119" t="str">
        <f t="shared" si="226"/>
        <v>Junior</v>
      </c>
      <c r="AL1119" t="str">
        <f t="shared" si="227"/>
        <v>Very High</v>
      </c>
      <c r="AM1119" t="str">
        <f t="shared" si="228"/>
        <v>Medium</v>
      </c>
      <c r="AN1119" t="str">
        <f t="shared" si="229"/>
        <v>Low</v>
      </c>
      <c r="AO1119" t="str">
        <f t="shared" si="230"/>
        <v>Good</v>
      </c>
      <c r="AP1119" t="str">
        <f t="shared" si="231"/>
        <v>25-34</v>
      </c>
      <c r="AQ1119" t="str">
        <f t="shared" si="232"/>
        <v>Lower-Mid</v>
      </c>
      <c r="AR1119" t="str">
        <f t="shared" si="233"/>
        <v>0-2 Years</v>
      </c>
    </row>
    <row r="1120" spans="1:44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89</v>
      </c>
      <c r="M1120">
        <v>3</v>
      </c>
      <c r="N1120">
        <v>1</v>
      </c>
      <c r="O1120" t="s">
        <v>47</v>
      </c>
      <c r="P1120">
        <v>4</v>
      </c>
      <c r="Q1120" t="s">
        <v>48</v>
      </c>
      <c r="R1120">
        <v>2061</v>
      </c>
      <c r="S1120">
        <v>1</v>
      </c>
      <c r="T1120" t="s">
        <v>43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  <c r="AF1120">
        <f t="shared" si="221"/>
        <v>0</v>
      </c>
      <c r="AG1120">
        <f t="shared" si="222"/>
        <v>0</v>
      </c>
      <c r="AH1120" t="str">
        <f t="shared" si="223"/>
        <v>Bachelor</v>
      </c>
      <c r="AI1120" t="str">
        <f t="shared" si="224"/>
        <v>Low</v>
      </c>
      <c r="AJ1120" t="str">
        <f t="shared" si="225"/>
        <v>High</v>
      </c>
      <c r="AK1120" t="str">
        <f t="shared" si="226"/>
        <v>Entry</v>
      </c>
      <c r="AL1120" t="str">
        <f t="shared" si="227"/>
        <v>Very High</v>
      </c>
      <c r="AM1120" t="str">
        <f t="shared" si="228"/>
        <v>Low</v>
      </c>
      <c r="AN1120" t="str">
        <f t="shared" si="229"/>
        <v>No Options</v>
      </c>
      <c r="AO1120" t="str">
        <f t="shared" si="230"/>
        <v>Better</v>
      </c>
      <c r="AP1120" t="str">
        <f t="shared" si="231"/>
        <v>25-34</v>
      </c>
      <c r="AQ1120" t="str">
        <f t="shared" si="232"/>
        <v>Low</v>
      </c>
      <c r="AR1120" t="str">
        <f t="shared" si="233"/>
        <v>0-2 Years</v>
      </c>
    </row>
    <row r="1121" spans="1:44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46</v>
      </c>
      <c r="L1121">
        <v>80</v>
      </c>
      <c r="M1121">
        <v>3</v>
      </c>
      <c r="N1121">
        <v>2</v>
      </c>
      <c r="O1121" t="s">
        <v>40</v>
      </c>
      <c r="P1121">
        <v>2</v>
      </c>
      <c r="Q1121" t="s">
        <v>48</v>
      </c>
      <c r="R1121">
        <v>9924</v>
      </c>
      <c r="S1121">
        <v>0</v>
      </c>
      <c r="T1121" t="s">
        <v>43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  <c r="AF1121">
        <f t="shared" si="221"/>
        <v>0</v>
      </c>
      <c r="AG1121">
        <f t="shared" si="222"/>
        <v>0</v>
      </c>
      <c r="AH1121" t="str">
        <f t="shared" si="223"/>
        <v>Bachelor</v>
      </c>
      <c r="AI1121" t="str">
        <f t="shared" si="224"/>
        <v>High</v>
      </c>
      <c r="AJ1121" t="str">
        <f t="shared" si="225"/>
        <v>High</v>
      </c>
      <c r="AK1121" t="str">
        <f t="shared" si="226"/>
        <v>Junior</v>
      </c>
      <c r="AL1121" t="str">
        <f t="shared" si="227"/>
        <v>Medium</v>
      </c>
      <c r="AM1121" t="str">
        <f t="shared" si="228"/>
        <v>Very High</v>
      </c>
      <c r="AN1121" t="str">
        <f t="shared" si="229"/>
        <v>Low</v>
      </c>
      <c r="AO1121" t="str">
        <f t="shared" si="230"/>
        <v>Better</v>
      </c>
      <c r="AP1121" t="str">
        <f t="shared" si="231"/>
        <v>35-44</v>
      </c>
      <c r="AQ1121" t="str">
        <f t="shared" si="232"/>
        <v>Upper-Mid</v>
      </c>
      <c r="AR1121" t="str">
        <f t="shared" si="233"/>
        <v>6-10 Years</v>
      </c>
    </row>
    <row r="1122" spans="1:44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90</v>
      </c>
      <c r="M1122">
        <v>3</v>
      </c>
      <c r="N1122">
        <v>2</v>
      </c>
      <c r="O1122" t="s">
        <v>40</v>
      </c>
      <c r="P1122">
        <v>2</v>
      </c>
      <c r="Q1122" t="s">
        <v>41</v>
      </c>
      <c r="R1122">
        <v>4198</v>
      </c>
      <c r="S1122">
        <v>2</v>
      </c>
      <c r="T1122" t="s">
        <v>43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  <c r="AF1122">
        <f t="shared" si="221"/>
        <v>0</v>
      </c>
      <c r="AG1122">
        <f t="shared" si="222"/>
        <v>0</v>
      </c>
      <c r="AH1122" t="str">
        <f t="shared" si="223"/>
        <v>Bachelor</v>
      </c>
      <c r="AI1122" t="str">
        <f t="shared" si="224"/>
        <v>Medium</v>
      </c>
      <c r="AJ1122" t="str">
        <f t="shared" si="225"/>
        <v>High</v>
      </c>
      <c r="AK1122" t="str">
        <f t="shared" si="226"/>
        <v>Junior</v>
      </c>
      <c r="AL1122" t="str">
        <f t="shared" si="227"/>
        <v>Medium</v>
      </c>
      <c r="AM1122" t="str">
        <f t="shared" si="228"/>
        <v>Medium</v>
      </c>
      <c r="AN1122" t="str">
        <f t="shared" si="229"/>
        <v>No Options</v>
      </c>
      <c r="AO1122" t="str">
        <f t="shared" si="230"/>
        <v>Best</v>
      </c>
      <c r="AP1122" t="str">
        <f t="shared" si="231"/>
        <v>35-44</v>
      </c>
      <c r="AQ1122" t="str">
        <f t="shared" si="232"/>
        <v>Lower-Mid</v>
      </c>
      <c r="AR1122" t="str">
        <f t="shared" si="233"/>
        <v>3-5 Years</v>
      </c>
    </row>
    <row r="1123" spans="1:44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73</v>
      </c>
      <c r="M1123">
        <v>3</v>
      </c>
      <c r="N1123">
        <v>2</v>
      </c>
      <c r="O1123" t="s">
        <v>40</v>
      </c>
      <c r="P1123">
        <v>3</v>
      </c>
      <c r="Q1123" t="s">
        <v>41</v>
      </c>
      <c r="R1123">
        <v>6815</v>
      </c>
      <c r="S1123">
        <v>6</v>
      </c>
      <c r="T1123" t="s">
        <v>43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  <c r="AF1123">
        <f t="shared" si="221"/>
        <v>0</v>
      </c>
      <c r="AG1123">
        <f t="shared" si="222"/>
        <v>0</v>
      </c>
      <c r="AH1123" t="str">
        <f t="shared" si="223"/>
        <v>Master</v>
      </c>
      <c r="AI1123" t="str">
        <f t="shared" si="224"/>
        <v>Medium</v>
      </c>
      <c r="AJ1123" t="str">
        <f t="shared" si="225"/>
        <v>High</v>
      </c>
      <c r="AK1123" t="str">
        <f t="shared" si="226"/>
        <v>Junior</v>
      </c>
      <c r="AL1123" t="str">
        <f t="shared" si="227"/>
        <v>High</v>
      </c>
      <c r="AM1123" t="str">
        <f t="shared" si="228"/>
        <v>Low</v>
      </c>
      <c r="AN1123" t="str">
        <f t="shared" si="229"/>
        <v>No Options</v>
      </c>
      <c r="AO1123" t="str">
        <f t="shared" si="230"/>
        <v>Better</v>
      </c>
      <c r="AP1123" t="str">
        <f t="shared" si="231"/>
        <v>35-44</v>
      </c>
      <c r="AQ1123" t="str">
        <f t="shared" si="232"/>
        <v>Lower-Mid</v>
      </c>
      <c r="AR1123" t="str">
        <f t="shared" si="233"/>
        <v>0-2 Years</v>
      </c>
    </row>
    <row r="1124" spans="1:44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46</v>
      </c>
      <c r="L1124">
        <v>87</v>
      </c>
      <c r="M1124">
        <v>3</v>
      </c>
      <c r="N1124">
        <v>1</v>
      </c>
      <c r="O1124" t="s">
        <v>50</v>
      </c>
      <c r="P1124">
        <v>1</v>
      </c>
      <c r="Q1124" t="s">
        <v>41</v>
      </c>
      <c r="R1124">
        <v>4723</v>
      </c>
      <c r="S1124">
        <v>1</v>
      </c>
      <c r="T1124" t="s">
        <v>35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  <c r="AF1124">
        <f t="shared" si="221"/>
        <v>0</v>
      </c>
      <c r="AG1124">
        <f t="shared" si="222"/>
        <v>1</v>
      </c>
      <c r="AH1124" t="str">
        <f t="shared" si="223"/>
        <v>Below College</v>
      </c>
      <c r="AI1124" t="str">
        <f t="shared" si="224"/>
        <v>Medium</v>
      </c>
      <c r="AJ1124" t="str">
        <f t="shared" si="225"/>
        <v>High</v>
      </c>
      <c r="AK1124" t="str">
        <f t="shared" si="226"/>
        <v>Entry</v>
      </c>
      <c r="AL1124" t="str">
        <f t="shared" si="227"/>
        <v>Low</v>
      </c>
      <c r="AM1124" t="str">
        <f t="shared" si="228"/>
        <v>Very High</v>
      </c>
      <c r="AN1124" t="str">
        <f t="shared" si="229"/>
        <v>No Options</v>
      </c>
      <c r="AO1124" t="str">
        <f t="shared" si="230"/>
        <v>Better</v>
      </c>
      <c r="AP1124" t="str">
        <f t="shared" si="231"/>
        <v>25-34</v>
      </c>
      <c r="AQ1124" t="str">
        <f t="shared" si="232"/>
        <v>Lower-Mid</v>
      </c>
      <c r="AR1124" t="str">
        <f t="shared" si="233"/>
        <v>6-10 Years</v>
      </c>
    </row>
    <row r="1125" spans="1:44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39</v>
      </c>
      <c r="L1125">
        <v>51</v>
      </c>
      <c r="M1125">
        <v>3</v>
      </c>
      <c r="N1125">
        <v>2</v>
      </c>
      <c r="O1125" t="s">
        <v>54</v>
      </c>
      <c r="P1125">
        <v>3</v>
      </c>
      <c r="Q1125" t="s">
        <v>41</v>
      </c>
      <c r="R1125">
        <v>6142</v>
      </c>
      <c r="S1125">
        <v>3</v>
      </c>
      <c r="T1125" t="s">
        <v>35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  <c r="AF1125">
        <f t="shared" si="221"/>
        <v>0</v>
      </c>
      <c r="AG1125">
        <f t="shared" si="222"/>
        <v>1</v>
      </c>
      <c r="AH1125" t="str">
        <f t="shared" si="223"/>
        <v>Master</v>
      </c>
      <c r="AI1125" t="str">
        <f t="shared" si="224"/>
        <v>Low</v>
      </c>
      <c r="AJ1125" t="str">
        <f t="shared" si="225"/>
        <v>High</v>
      </c>
      <c r="AK1125" t="str">
        <f t="shared" si="226"/>
        <v>Junior</v>
      </c>
      <c r="AL1125" t="str">
        <f t="shared" si="227"/>
        <v>High</v>
      </c>
      <c r="AM1125" t="str">
        <f t="shared" si="228"/>
        <v>High</v>
      </c>
      <c r="AN1125" t="str">
        <f t="shared" si="229"/>
        <v>No Options</v>
      </c>
      <c r="AO1125" t="str">
        <f t="shared" si="230"/>
        <v>Better</v>
      </c>
      <c r="AP1125" t="str">
        <f t="shared" si="231"/>
        <v>35-44</v>
      </c>
      <c r="AQ1125" t="str">
        <f t="shared" si="232"/>
        <v>Lower-Mid</v>
      </c>
      <c r="AR1125" t="str">
        <f t="shared" si="233"/>
        <v>3-5 Years</v>
      </c>
    </row>
    <row r="1126" spans="1:44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46</v>
      </c>
      <c r="L1126">
        <v>38</v>
      </c>
      <c r="M1126">
        <v>4</v>
      </c>
      <c r="N1126">
        <v>3</v>
      </c>
      <c r="O1126" t="s">
        <v>40</v>
      </c>
      <c r="P1126">
        <v>3</v>
      </c>
      <c r="Q1126" t="s">
        <v>48</v>
      </c>
      <c r="R1126">
        <v>8237</v>
      </c>
      <c r="S1126">
        <v>2</v>
      </c>
      <c r="T1126" t="s">
        <v>43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  <c r="AF1126">
        <f t="shared" si="221"/>
        <v>0</v>
      </c>
      <c r="AG1126">
        <f t="shared" si="222"/>
        <v>0</v>
      </c>
      <c r="AH1126" t="str">
        <f t="shared" si="223"/>
        <v>Bachelor</v>
      </c>
      <c r="AI1126" t="str">
        <f t="shared" si="224"/>
        <v>Very High</v>
      </c>
      <c r="AJ1126" t="str">
        <f t="shared" si="225"/>
        <v>Very High</v>
      </c>
      <c r="AK1126" t="str">
        <f t="shared" si="226"/>
        <v>Mid-Level</v>
      </c>
      <c r="AL1126" t="str">
        <f t="shared" si="227"/>
        <v>High</v>
      </c>
      <c r="AM1126" t="str">
        <f t="shared" si="228"/>
        <v>Low</v>
      </c>
      <c r="AN1126" t="str">
        <f t="shared" si="229"/>
        <v>Low</v>
      </c>
      <c r="AO1126" t="str">
        <f t="shared" si="230"/>
        <v>Better</v>
      </c>
      <c r="AP1126" t="str">
        <f t="shared" si="231"/>
        <v>35-44</v>
      </c>
      <c r="AQ1126" t="str">
        <f t="shared" si="232"/>
        <v>Upper-Mid</v>
      </c>
      <c r="AR1126" t="str">
        <f t="shared" si="233"/>
        <v>6-10 Years</v>
      </c>
    </row>
    <row r="1127" spans="1:44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46</v>
      </c>
      <c r="L1127">
        <v>87</v>
      </c>
      <c r="M1127">
        <v>3</v>
      </c>
      <c r="N1127">
        <v>2</v>
      </c>
      <c r="O1127" t="s">
        <v>54</v>
      </c>
      <c r="P1127">
        <v>4</v>
      </c>
      <c r="Q1127" t="s">
        <v>52</v>
      </c>
      <c r="R1127">
        <v>8853</v>
      </c>
      <c r="S1127">
        <v>1</v>
      </c>
      <c r="T1127" t="s">
        <v>43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  <c r="AF1127">
        <f t="shared" si="221"/>
        <v>0</v>
      </c>
      <c r="AG1127">
        <f t="shared" si="222"/>
        <v>0</v>
      </c>
      <c r="AH1127" t="str">
        <f t="shared" si="223"/>
        <v>Below College</v>
      </c>
      <c r="AI1127" t="str">
        <f t="shared" si="224"/>
        <v>Low</v>
      </c>
      <c r="AJ1127" t="str">
        <f t="shared" si="225"/>
        <v>High</v>
      </c>
      <c r="AK1127" t="str">
        <f t="shared" si="226"/>
        <v>Junior</v>
      </c>
      <c r="AL1127" t="str">
        <f t="shared" si="227"/>
        <v>Very High</v>
      </c>
      <c r="AM1127" t="str">
        <f t="shared" si="228"/>
        <v>Very High</v>
      </c>
      <c r="AN1127" t="str">
        <f t="shared" si="229"/>
        <v>Low</v>
      </c>
      <c r="AO1127" t="str">
        <f t="shared" si="230"/>
        <v>Best</v>
      </c>
      <c r="AP1127" t="str">
        <f t="shared" si="231"/>
        <v>25-34</v>
      </c>
      <c r="AQ1127" t="str">
        <f t="shared" si="232"/>
        <v>Upper-Mid</v>
      </c>
      <c r="AR1127" t="str">
        <f t="shared" si="233"/>
        <v>6-10 Years</v>
      </c>
    </row>
    <row r="1128" spans="1:44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t="s">
        <v>46</v>
      </c>
      <c r="L1128">
        <v>59</v>
      </c>
      <c r="M1128">
        <v>3</v>
      </c>
      <c r="N1128">
        <v>5</v>
      </c>
      <c r="O1128" t="s">
        <v>56</v>
      </c>
      <c r="P1128">
        <v>3</v>
      </c>
      <c r="Q1128" t="s">
        <v>48</v>
      </c>
      <c r="R1128">
        <v>19331</v>
      </c>
      <c r="S1128">
        <v>4</v>
      </c>
      <c r="T1128" t="s">
        <v>35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  <c r="AF1128">
        <f t="shared" si="221"/>
        <v>0</v>
      </c>
      <c r="AG1128">
        <f t="shared" si="222"/>
        <v>1</v>
      </c>
      <c r="AH1128" t="str">
        <f t="shared" si="223"/>
        <v>Bachelor</v>
      </c>
      <c r="AI1128" t="str">
        <f t="shared" si="224"/>
        <v>High</v>
      </c>
      <c r="AJ1128" t="str">
        <f t="shared" si="225"/>
        <v>High</v>
      </c>
      <c r="AK1128" t="str">
        <f t="shared" si="226"/>
        <v>Executive</v>
      </c>
      <c r="AL1128" t="str">
        <f t="shared" si="227"/>
        <v>High</v>
      </c>
      <c r="AM1128" t="str">
        <f t="shared" si="228"/>
        <v>High</v>
      </c>
      <c r="AN1128" t="str">
        <f t="shared" si="229"/>
        <v>Low</v>
      </c>
      <c r="AO1128" t="str">
        <f t="shared" si="230"/>
        <v>Better</v>
      </c>
      <c r="AP1128" t="str">
        <f t="shared" si="231"/>
        <v>45-54</v>
      </c>
      <c r="AQ1128" t="str">
        <f t="shared" si="232"/>
        <v>High</v>
      </c>
      <c r="AR1128" t="str">
        <f t="shared" si="233"/>
        <v>0-2 Years</v>
      </c>
    </row>
    <row r="1129" spans="1:44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t="s">
        <v>46</v>
      </c>
      <c r="L1129">
        <v>45</v>
      </c>
      <c r="M1129">
        <v>4</v>
      </c>
      <c r="N1129">
        <v>1</v>
      </c>
      <c r="O1129" t="s">
        <v>47</v>
      </c>
      <c r="P1129">
        <v>3</v>
      </c>
      <c r="Q1129" t="s">
        <v>48</v>
      </c>
      <c r="R1129">
        <v>2073</v>
      </c>
      <c r="S1129">
        <v>2</v>
      </c>
      <c r="T1129" t="s">
        <v>43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  <c r="AF1129">
        <f t="shared" si="221"/>
        <v>0</v>
      </c>
      <c r="AG1129">
        <f t="shared" si="222"/>
        <v>0</v>
      </c>
      <c r="AH1129" t="str">
        <f t="shared" si="223"/>
        <v>Bachelor</v>
      </c>
      <c r="AI1129" t="str">
        <f t="shared" si="224"/>
        <v>Very High</v>
      </c>
      <c r="AJ1129" t="str">
        <f t="shared" si="225"/>
        <v>Very High</v>
      </c>
      <c r="AK1129" t="str">
        <f t="shared" si="226"/>
        <v>Entry</v>
      </c>
      <c r="AL1129" t="str">
        <f t="shared" si="227"/>
        <v>High</v>
      </c>
      <c r="AM1129" t="str">
        <f t="shared" si="228"/>
        <v>Very High</v>
      </c>
      <c r="AN1129" t="str">
        <f t="shared" si="229"/>
        <v>Low</v>
      </c>
      <c r="AO1129" t="str">
        <f t="shared" si="230"/>
        <v>Better</v>
      </c>
      <c r="AP1129" t="str">
        <f t="shared" si="231"/>
        <v>Under 25</v>
      </c>
      <c r="AQ1129" t="str">
        <f t="shared" si="232"/>
        <v>Low</v>
      </c>
      <c r="AR1129" t="str">
        <f t="shared" si="233"/>
        <v>0-2 Years</v>
      </c>
    </row>
    <row r="1130" spans="1:44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46</v>
      </c>
      <c r="L1130">
        <v>80</v>
      </c>
      <c r="M1130">
        <v>4</v>
      </c>
      <c r="N1130">
        <v>2</v>
      </c>
      <c r="O1130" t="s">
        <v>50</v>
      </c>
      <c r="P1130">
        <v>1</v>
      </c>
      <c r="Q1130" t="s">
        <v>48</v>
      </c>
      <c r="R1130">
        <v>5562</v>
      </c>
      <c r="S1130">
        <v>3</v>
      </c>
      <c r="T1130" t="s">
        <v>35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  <c r="AF1130">
        <f t="shared" si="221"/>
        <v>0</v>
      </c>
      <c r="AG1130">
        <f t="shared" si="222"/>
        <v>1</v>
      </c>
      <c r="AH1130" t="str">
        <f t="shared" si="223"/>
        <v>Master</v>
      </c>
      <c r="AI1130" t="str">
        <f t="shared" si="224"/>
        <v>Low</v>
      </c>
      <c r="AJ1130" t="str">
        <f t="shared" si="225"/>
        <v>Very High</v>
      </c>
      <c r="AK1130" t="str">
        <f t="shared" si="226"/>
        <v>Junior</v>
      </c>
      <c r="AL1130" t="str">
        <f t="shared" si="227"/>
        <v>Low</v>
      </c>
      <c r="AM1130" t="str">
        <f t="shared" si="228"/>
        <v>Very High</v>
      </c>
      <c r="AN1130" t="str">
        <f t="shared" si="229"/>
        <v>Low</v>
      </c>
      <c r="AO1130" t="str">
        <f t="shared" si="230"/>
        <v>Better</v>
      </c>
      <c r="AP1130" t="str">
        <f t="shared" si="231"/>
        <v>35-44</v>
      </c>
      <c r="AQ1130" t="str">
        <f t="shared" si="232"/>
        <v>Lower-Mid</v>
      </c>
      <c r="AR1130" t="str">
        <f t="shared" si="233"/>
        <v>3-5 Years</v>
      </c>
    </row>
    <row r="1131" spans="1:44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93</v>
      </c>
      <c r="M1131">
        <v>2</v>
      </c>
      <c r="N1131">
        <v>5</v>
      </c>
      <c r="O1131" t="s">
        <v>56</v>
      </c>
      <c r="P1131">
        <v>4</v>
      </c>
      <c r="Q1131" t="s">
        <v>41</v>
      </c>
      <c r="R1131">
        <v>19613</v>
      </c>
      <c r="S1131">
        <v>8</v>
      </c>
      <c r="T1131" t="s">
        <v>43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  <c r="AF1131">
        <f t="shared" si="221"/>
        <v>0</v>
      </c>
      <c r="AG1131">
        <f t="shared" si="222"/>
        <v>0</v>
      </c>
      <c r="AH1131" t="str">
        <f t="shared" si="223"/>
        <v>College</v>
      </c>
      <c r="AI1131" t="str">
        <f t="shared" si="224"/>
        <v>Very High</v>
      </c>
      <c r="AJ1131" t="str">
        <f t="shared" si="225"/>
        <v>Medium</v>
      </c>
      <c r="AK1131" t="str">
        <f t="shared" si="226"/>
        <v>Executive</v>
      </c>
      <c r="AL1131" t="str">
        <f t="shared" si="227"/>
        <v>Very High</v>
      </c>
      <c r="AM1131" t="str">
        <f t="shared" si="228"/>
        <v>Very High</v>
      </c>
      <c r="AN1131" t="str">
        <f t="shared" si="229"/>
        <v>No Options</v>
      </c>
      <c r="AO1131" t="str">
        <f t="shared" si="230"/>
        <v>Better</v>
      </c>
      <c r="AP1131" t="str">
        <f t="shared" si="231"/>
        <v>35-44</v>
      </c>
      <c r="AQ1131" t="str">
        <f t="shared" si="232"/>
        <v>High</v>
      </c>
      <c r="AR1131" t="str">
        <f t="shared" si="233"/>
        <v>0-2 Years</v>
      </c>
    </row>
    <row r="1132" spans="1:44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46</v>
      </c>
      <c r="L1132">
        <v>46</v>
      </c>
      <c r="M1132">
        <v>4</v>
      </c>
      <c r="N1132">
        <v>2</v>
      </c>
      <c r="O1132" t="s">
        <v>50</v>
      </c>
      <c r="P1132">
        <v>3</v>
      </c>
      <c r="Q1132" t="s">
        <v>48</v>
      </c>
      <c r="R1132">
        <v>3407</v>
      </c>
      <c r="S1132">
        <v>1</v>
      </c>
      <c r="T1132" t="s">
        <v>43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  <c r="AF1132">
        <f t="shared" si="221"/>
        <v>0</v>
      </c>
      <c r="AG1132">
        <f t="shared" si="222"/>
        <v>0</v>
      </c>
      <c r="AH1132" t="str">
        <f t="shared" si="223"/>
        <v>Bachelor</v>
      </c>
      <c r="AI1132" t="str">
        <f t="shared" si="224"/>
        <v>Medium</v>
      </c>
      <c r="AJ1132" t="str">
        <f t="shared" si="225"/>
        <v>Very High</v>
      </c>
      <c r="AK1132" t="str">
        <f t="shared" si="226"/>
        <v>Junior</v>
      </c>
      <c r="AL1132" t="str">
        <f t="shared" si="227"/>
        <v>High</v>
      </c>
      <c r="AM1132" t="str">
        <f t="shared" si="228"/>
        <v>Very High</v>
      </c>
      <c r="AN1132" t="str">
        <f t="shared" si="229"/>
        <v>Medium</v>
      </c>
      <c r="AO1132" t="str">
        <f t="shared" si="230"/>
        <v>Good</v>
      </c>
      <c r="AP1132" t="str">
        <f t="shared" si="231"/>
        <v>35-44</v>
      </c>
      <c r="AQ1132" t="str">
        <f t="shared" si="232"/>
        <v>Lower-Mid</v>
      </c>
      <c r="AR1132" t="str">
        <f t="shared" si="233"/>
        <v>6-10 Years</v>
      </c>
    </row>
    <row r="1133" spans="1:44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t="s">
        <v>46</v>
      </c>
      <c r="L1133">
        <v>92</v>
      </c>
      <c r="M1133">
        <v>2</v>
      </c>
      <c r="N1133">
        <v>2</v>
      </c>
      <c r="O1133" t="s">
        <v>54</v>
      </c>
      <c r="P1133">
        <v>3</v>
      </c>
      <c r="Q1133" t="s">
        <v>48</v>
      </c>
      <c r="R1133">
        <v>5063</v>
      </c>
      <c r="S1133">
        <v>1</v>
      </c>
      <c r="T1133" t="s">
        <v>43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  <c r="AF1133">
        <f t="shared" si="221"/>
        <v>0</v>
      </c>
      <c r="AG1133">
        <f t="shared" si="222"/>
        <v>0</v>
      </c>
      <c r="AH1133" t="str">
        <f t="shared" si="223"/>
        <v>Master</v>
      </c>
      <c r="AI1133" t="str">
        <f t="shared" si="224"/>
        <v>Very High</v>
      </c>
      <c r="AJ1133" t="str">
        <f t="shared" si="225"/>
        <v>Medium</v>
      </c>
      <c r="AK1133" t="str">
        <f t="shared" si="226"/>
        <v>Junior</v>
      </c>
      <c r="AL1133" t="str">
        <f t="shared" si="227"/>
        <v>High</v>
      </c>
      <c r="AM1133" t="str">
        <f t="shared" si="228"/>
        <v>Medium</v>
      </c>
      <c r="AN1133" t="str">
        <f t="shared" si="229"/>
        <v>Low</v>
      </c>
      <c r="AO1133" t="str">
        <f t="shared" si="230"/>
        <v>Good</v>
      </c>
      <c r="AP1133" t="str">
        <f t="shared" si="231"/>
        <v>25-34</v>
      </c>
      <c r="AQ1133" t="str">
        <f t="shared" si="232"/>
        <v>Lower-Mid</v>
      </c>
      <c r="AR1133" t="str">
        <f t="shared" si="233"/>
        <v>6-10 Years</v>
      </c>
    </row>
    <row r="1134" spans="1:44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84</v>
      </c>
      <c r="M1134">
        <v>3</v>
      </c>
      <c r="N1134">
        <v>2</v>
      </c>
      <c r="O1134" t="s">
        <v>40</v>
      </c>
      <c r="P1134">
        <v>1</v>
      </c>
      <c r="Q1134" t="s">
        <v>48</v>
      </c>
      <c r="R1134">
        <v>4639</v>
      </c>
      <c r="S1134">
        <v>1</v>
      </c>
      <c r="T1134" t="s">
        <v>43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  <c r="AF1134">
        <f t="shared" si="221"/>
        <v>0</v>
      </c>
      <c r="AG1134">
        <f t="shared" si="222"/>
        <v>0</v>
      </c>
      <c r="AH1134" t="str">
        <f t="shared" si="223"/>
        <v>College</v>
      </c>
      <c r="AI1134" t="str">
        <f t="shared" si="224"/>
        <v>Very High</v>
      </c>
      <c r="AJ1134" t="str">
        <f t="shared" si="225"/>
        <v>High</v>
      </c>
      <c r="AK1134" t="str">
        <f t="shared" si="226"/>
        <v>Junior</v>
      </c>
      <c r="AL1134" t="str">
        <f t="shared" si="227"/>
        <v>Low</v>
      </c>
      <c r="AM1134" t="str">
        <f t="shared" si="228"/>
        <v>High</v>
      </c>
      <c r="AN1134" t="str">
        <f t="shared" si="229"/>
        <v>Low</v>
      </c>
      <c r="AO1134" t="str">
        <f t="shared" si="230"/>
        <v>Better</v>
      </c>
      <c r="AP1134" t="str">
        <f t="shared" si="231"/>
        <v>35-44</v>
      </c>
      <c r="AQ1134" t="str">
        <f t="shared" si="232"/>
        <v>Lower-Mid</v>
      </c>
      <c r="AR1134" t="str">
        <f t="shared" si="233"/>
        <v>3-5 Years</v>
      </c>
    </row>
    <row r="1135" spans="1:44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t="s">
        <v>46</v>
      </c>
      <c r="L1135">
        <v>87</v>
      </c>
      <c r="M1135">
        <v>4</v>
      </c>
      <c r="N1135">
        <v>1</v>
      </c>
      <c r="O1135" t="s">
        <v>50</v>
      </c>
      <c r="P1135">
        <v>2</v>
      </c>
      <c r="Q1135" t="s">
        <v>52</v>
      </c>
      <c r="R1135">
        <v>4876</v>
      </c>
      <c r="S1135">
        <v>5</v>
      </c>
      <c r="T1135" t="s">
        <v>43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  <c r="AF1135">
        <f t="shared" si="221"/>
        <v>0</v>
      </c>
      <c r="AG1135">
        <f t="shared" si="222"/>
        <v>0</v>
      </c>
      <c r="AH1135" t="str">
        <f t="shared" si="223"/>
        <v>Bachelor</v>
      </c>
      <c r="AI1135" t="str">
        <f t="shared" si="224"/>
        <v>Very High</v>
      </c>
      <c r="AJ1135" t="str">
        <f t="shared" si="225"/>
        <v>Very High</v>
      </c>
      <c r="AK1135" t="str">
        <f t="shared" si="226"/>
        <v>Entry</v>
      </c>
      <c r="AL1135" t="str">
        <f t="shared" si="227"/>
        <v>Medium</v>
      </c>
      <c r="AM1135" t="str">
        <f t="shared" si="228"/>
        <v>High</v>
      </c>
      <c r="AN1135" t="str">
        <f t="shared" si="229"/>
        <v>Low</v>
      </c>
      <c r="AO1135" t="str">
        <f t="shared" si="230"/>
        <v>Better</v>
      </c>
      <c r="AP1135" t="str">
        <f t="shared" si="231"/>
        <v>35-44</v>
      </c>
      <c r="AQ1135" t="str">
        <f t="shared" si="232"/>
        <v>Lower-Mid</v>
      </c>
      <c r="AR1135" t="str">
        <f t="shared" si="233"/>
        <v>6-10 Years</v>
      </c>
    </row>
    <row r="1136" spans="1:44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46</v>
      </c>
      <c r="L1136">
        <v>63</v>
      </c>
      <c r="M1136">
        <v>2</v>
      </c>
      <c r="N1136">
        <v>1</v>
      </c>
      <c r="O1136" t="s">
        <v>50</v>
      </c>
      <c r="P1136">
        <v>4</v>
      </c>
      <c r="Q1136" t="s">
        <v>48</v>
      </c>
      <c r="R1136">
        <v>2690</v>
      </c>
      <c r="S1136">
        <v>1</v>
      </c>
      <c r="T1136" t="s">
        <v>43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  <c r="AF1136">
        <f t="shared" si="221"/>
        <v>0</v>
      </c>
      <c r="AG1136">
        <f t="shared" si="222"/>
        <v>0</v>
      </c>
      <c r="AH1136" t="str">
        <f t="shared" si="223"/>
        <v>College</v>
      </c>
      <c r="AI1136" t="str">
        <f t="shared" si="224"/>
        <v>High</v>
      </c>
      <c r="AJ1136" t="str">
        <f t="shared" si="225"/>
        <v>Medium</v>
      </c>
      <c r="AK1136" t="str">
        <f t="shared" si="226"/>
        <v>Entry</v>
      </c>
      <c r="AL1136" t="str">
        <f t="shared" si="227"/>
        <v>Very High</v>
      </c>
      <c r="AM1136" t="str">
        <f t="shared" si="228"/>
        <v>Very High</v>
      </c>
      <c r="AN1136" t="str">
        <f t="shared" si="229"/>
        <v>Low</v>
      </c>
      <c r="AO1136" t="str">
        <f t="shared" si="230"/>
        <v>Good</v>
      </c>
      <c r="AP1136" t="str">
        <f t="shared" si="231"/>
        <v>35-44</v>
      </c>
      <c r="AQ1136" t="str">
        <f t="shared" si="232"/>
        <v>Low</v>
      </c>
      <c r="AR1136" t="str">
        <f t="shared" si="233"/>
        <v>0-2 Years</v>
      </c>
    </row>
    <row r="1137" spans="1:44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46</v>
      </c>
      <c r="L1137">
        <v>56</v>
      </c>
      <c r="M1137">
        <v>4</v>
      </c>
      <c r="N1137">
        <v>4</v>
      </c>
      <c r="O1137" t="s">
        <v>56</v>
      </c>
      <c r="P1137">
        <v>1</v>
      </c>
      <c r="Q1137" t="s">
        <v>41</v>
      </c>
      <c r="R1137">
        <v>17567</v>
      </c>
      <c r="S1137">
        <v>1</v>
      </c>
      <c r="T1137" t="s">
        <v>43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  <c r="AF1137">
        <f t="shared" si="221"/>
        <v>0</v>
      </c>
      <c r="AG1137">
        <f t="shared" si="222"/>
        <v>0</v>
      </c>
      <c r="AH1137" t="str">
        <f t="shared" si="223"/>
        <v>Master</v>
      </c>
      <c r="AI1137" t="str">
        <f t="shared" si="224"/>
        <v>Very High</v>
      </c>
      <c r="AJ1137" t="str">
        <f t="shared" si="225"/>
        <v>Very High</v>
      </c>
      <c r="AK1137" t="str">
        <f t="shared" si="226"/>
        <v>Senior</v>
      </c>
      <c r="AL1137" t="str">
        <f t="shared" si="227"/>
        <v>Low</v>
      </c>
      <c r="AM1137" t="str">
        <f t="shared" si="228"/>
        <v>Medium</v>
      </c>
      <c r="AN1137" t="str">
        <f t="shared" si="229"/>
        <v>No Options</v>
      </c>
      <c r="AO1137" t="str">
        <f t="shared" si="230"/>
        <v>Bad</v>
      </c>
      <c r="AP1137" t="str">
        <f t="shared" si="231"/>
        <v>45-54</v>
      </c>
      <c r="AQ1137" t="str">
        <f t="shared" si="232"/>
        <v>High</v>
      </c>
      <c r="AR1137" t="str">
        <f t="shared" si="233"/>
        <v>20+ Years</v>
      </c>
    </row>
    <row r="1138" spans="1:44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46</v>
      </c>
      <c r="L1138">
        <v>51</v>
      </c>
      <c r="M1138">
        <v>3</v>
      </c>
      <c r="N1138">
        <v>1</v>
      </c>
      <c r="O1138" t="s">
        <v>50</v>
      </c>
      <c r="P1138">
        <v>2</v>
      </c>
      <c r="Q1138" t="s">
        <v>48</v>
      </c>
      <c r="R1138">
        <v>2408</v>
      </c>
      <c r="S1138">
        <v>1</v>
      </c>
      <c r="T1138" t="s">
        <v>35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  <c r="AF1138">
        <f t="shared" si="221"/>
        <v>1</v>
      </c>
      <c r="AG1138">
        <f t="shared" si="222"/>
        <v>1</v>
      </c>
      <c r="AH1138" t="str">
        <f t="shared" si="223"/>
        <v>Bachelor</v>
      </c>
      <c r="AI1138" t="str">
        <f t="shared" si="224"/>
        <v>High</v>
      </c>
      <c r="AJ1138" t="str">
        <f t="shared" si="225"/>
        <v>High</v>
      </c>
      <c r="AK1138" t="str">
        <f t="shared" si="226"/>
        <v>Entry</v>
      </c>
      <c r="AL1138" t="str">
        <f t="shared" si="227"/>
        <v>Medium</v>
      </c>
      <c r="AM1138" t="str">
        <f t="shared" si="228"/>
        <v>High</v>
      </c>
      <c r="AN1138" t="str">
        <f t="shared" si="229"/>
        <v>High</v>
      </c>
      <c r="AO1138" t="str">
        <f t="shared" si="230"/>
        <v>Better</v>
      </c>
      <c r="AP1138" t="str">
        <f t="shared" si="231"/>
        <v>25-34</v>
      </c>
      <c r="AQ1138" t="str">
        <f t="shared" si="232"/>
        <v>Low</v>
      </c>
      <c r="AR1138" t="str">
        <f t="shared" si="233"/>
        <v>0-2 Years</v>
      </c>
    </row>
    <row r="1139" spans="1:44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39</v>
      </c>
      <c r="L1139">
        <v>85</v>
      </c>
      <c r="M1139">
        <v>2</v>
      </c>
      <c r="N1139">
        <v>1</v>
      </c>
      <c r="O1139" t="s">
        <v>47</v>
      </c>
      <c r="P1139">
        <v>3</v>
      </c>
      <c r="Q1139" t="s">
        <v>48</v>
      </c>
      <c r="R1139">
        <v>2814</v>
      </c>
      <c r="S1139">
        <v>1</v>
      </c>
      <c r="T1139" t="s">
        <v>35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  <c r="AF1139">
        <f t="shared" si="221"/>
        <v>0</v>
      </c>
      <c r="AG1139">
        <f t="shared" si="222"/>
        <v>1</v>
      </c>
      <c r="AH1139" t="str">
        <f t="shared" si="223"/>
        <v>College</v>
      </c>
      <c r="AI1139" t="str">
        <f t="shared" si="224"/>
        <v>Medium</v>
      </c>
      <c r="AJ1139" t="str">
        <f t="shared" si="225"/>
        <v>Medium</v>
      </c>
      <c r="AK1139" t="str">
        <f t="shared" si="226"/>
        <v>Entry</v>
      </c>
      <c r="AL1139" t="str">
        <f t="shared" si="227"/>
        <v>High</v>
      </c>
      <c r="AM1139" t="str">
        <f t="shared" si="228"/>
        <v>Medium</v>
      </c>
      <c r="AN1139" t="str">
        <f t="shared" si="229"/>
        <v>No Options</v>
      </c>
      <c r="AO1139" t="str">
        <f t="shared" si="230"/>
        <v>Good</v>
      </c>
      <c r="AP1139" t="str">
        <f t="shared" si="231"/>
        <v>Under 25</v>
      </c>
      <c r="AQ1139" t="str">
        <f t="shared" si="232"/>
        <v>Low</v>
      </c>
      <c r="AR1139" t="str">
        <f t="shared" si="233"/>
        <v>3-5 Years</v>
      </c>
    </row>
    <row r="1140" spans="1:44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46</v>
      </c>
      <c r="L1140">
        <v>41</v>
      </c>
      <c r="M1140">
        <v>3</v>
      </c>
      <c r="N1140">
        <v>4</v>
      </c>
      <c r="O1140" t="s">
        <v>54</v>
      </c>
      <c r="P1140">
        <v>3</v>
      </c>
      <c r="Q1140" t="s">
        <v>48</v>
      </c>
      <c r="R1140">
        <v>11245</v>
      </c>
      <c r="S1140">
        <v>2</v>
      </c>
      <c r="T1140" t="s">
        <v>35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  <c r="AF1140">
        <f t="shared" si="221"/>
        <v>0</v>
      </c>
      <c r="AG1140">
        <f t="shared" si="222"/>
        <v>1</v>
      </c>
      <c r="AH1140" t="str">
        <f t="shared" si="223"/>
        <v>Doctor</v>
      </c>
      <c r="AI1140" t="str">
        <f t="shared" si="224"/>
        <v>Medium</v>
      </c>
      <c r="AJ1140" t="str">
        <f t="shared" si="225"/>
        <v>High</v>
      </c>
      <c r="AK1140" t="str">
        <f t="shared" si="226"/>
        <v>Senior</v>
      </c>
      <c r="AL1140" t="str">
        <f t="shared" si="227"/>
        <v>High</v>
      </c>
      <c r="AM1140" t="str">
        <f t="shared" si="228"/>
        <v>High</v>
      </c>
      <c r="AN1140" t="str">
        <f t="shared" si="229"/>
        <v>Low</v>
      </c>
      <c r="AO1140" t="str">
        <f t="shared" si="230"/>
        <v>Better</v>
      </c>
      <c r="AP1140" t="str">
        <f t="shared" si="231"/>
        <v>45-54</v>
      </c>
      <c r="AQ1140" t="str">
        <f t="shared" si="232"/>
        <v>Upper-Mid</v>
      </c>
      <c r="AR1140" t="str">
        <f t="shared" si="233"/>
        <v>20+ Years</v>
      </c>
    </row>
    <row r="1141" spans="1:44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39</v>
      </c>
      <c r="L1141">
        <v>35</v>
      </c>
      <c r="M1141">
        <v>4</v>
      </c>
      <c r="N1141">
        <v>1</v>
      </c>
      <c r="O1141" t="s">
        <v>47</v>
      </c>
      <c r="P1141">
        <v>4</v>
      </c>
      <c r="Q1141" t="s">
        <v>48</v>
      </c>
      <c r="R1141">
        <v>3312</v>
      </c>
      <c r="S1141">
        <v>3</v>
      </c>
      <c r="T1141" t="s">
        <v>43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  <c r="AF1141">
        <f t="shared" si="221"/>
        <v>0</v>
      </c>
      <c r="AG1141">
        <f t="shared" si="222"/>
        <v>0</v>
      </c>
      <c r="AH1141" t="str">
        <f t="shared" si="223"/>
        <v>Master</v>
      </c>
      <c r="AI1141" t="str">
        <f t="shared" si="224"/>
        <v>Medium</v>
      </c>
      <c r="AJ1141" t="str">
        <f t="shared" si="225"/>
        <v>Very High</v>
      </c>
      <c r="AK1141" t="str">
        <f t="shared" si="226"/>
        <v>Entry</v>
      </c>
      <c r="AL1141" t="str">
        <f t="shared" si="227"/>
        <v>Very High</v>
      </c>
      <c r="AM1141" t="str">
        <f t="shared" si="228"/>
        <v>Very High</v>
      </c>
      <c r="AN1141" t="str">
        <f t="shared" si="229"/>
        <v>Medium</v>
      </c>
      <c r="AO1141" t="str">
        <f t="shared" si="230"/>
        <v>Better</v>
      </c>
      <c r="AP1141" t="str">
        <f t="shared" si="231"/>
        <v>25-34</v>
      </c>
      <c r="AQ1141" t="str">
        <f t="shared" si="232"/>
        <v>Lower-Mid</v>
      </c>
      <c r="AR1141" t="str">
        <f t="shared" si="233"/>
        <v>3-5 Years</v>
      </c>
    </row>
    <row r="1142" spans="1:44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39</v>
      </c>
      <c r="L1142">
        <v>31</v>
      </c>
      <c r="M1142">
        <v>3</v>
      </c>
      <c r="N1142">
        <v>5</v>
      </c>
      <c r="O1142" t="s">
        <v>58</v>
      </c>
      <c r="P1142">
        <v>4</v>
      </c>
      <c r="Q1142" t="s">
        <v>52</v>
      </c>
      <c r="R1142">
        <v>19049</v>
      </c>
      <c r="S1142">
        <v>0</v>
      </c>
      <c r="T1142" t="s">
        <v>35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  <c r="AF1142">
        <f t="shared" si="221"/>
        <v>0</v>
      </c>
      <c r="AG1142">
        <f t="shared" si="222"/>
        <v>1</v>
      </c>
      <c r="AH1142" t="str">
        <f t="shared" si="223"/>
        <v>Bachelor</v>
      </c>
      <c r="AI1142" t="str">
        <f t="shared" si="224"/>
        <v>Medium</v>
      </c>
      <c r="AJ1142" t="str">
        <f t="shared" si="225"/>
        <v>High</v>
      </c>
      <c r="AK1142" t="str">
        <f t="shared" si="226"/>
        <v>Executive</v>
      </c>
      <c r="AL1142" t="str">
        <f t="shared" si="227"/>
        <v>Very High</v>
      </c>
      <c r="AM1142" t="str">
        <f t="shared" si="228"/>
        <v>Very High</v>
      </c>
      <c r="AN1142" t="str">
        <f t="shared" si="229"/>
        <v>Low</v>
      </c>
      <c r="AO1142" t="str">
        <f t="shared" si="230"/>
        <v>Good</v>
      </c>
      <c r="AP1142" t="str">
        <f t="shared" si="231"/>
        <v>35-44</v>
      </c>
      <c r="AQ1142" t="str">
        <f t="shared" si="232"/>
        <v>High</v>
      </c>
      <c r="AR1142" t="str">
        <f t="shared" si="233"/>
        <v>20+ Years</v>
      </c>
    </row>
    <row r="1143" spans="1:44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46</v>
      </c>
      <c r="L1143">
        <v>48</v>
      </c>
      <c r="M1143">
        <v>2</v>
      </c>
      <c r="N1143">
        <v>1</v>
      </c>
      <c r="O1143" t="s">
        <v>47</v>
      </c>
      <c r="P1143">
        <v>2</v>
      </c>
      <c r="Q1143" t="s">
        <v>48</v>
      </c>
      <c r="R1143">
        <v>2141</v>
      </c>
      <c r="S1143">
        <v>1</v>
      </c>
      <c r="T1143" t="s">
        <v>43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  <c r="AF1143">
        <f t="shared" si="221"/>
        <v>0</v>
      </c>
      <c r="AG1143">
        <f t="shared" si="222"/>
        <v>0</v>
      </c>
      <c r="AH1143" t="str">
        <f t="shared" si="223"/>
        <v>Bachelor</v>
      </c>
      <c r="AI1143" t="str">
        <f t="shared" si="224"/>
        <v>Medium</v>
      </c>
      <c r="AJ1143" t="str">
        <f t="shared" si="225"/>
        <v>Medium</v>
      </c>
      <c r="AK1143" t="str">
        <f t="shared" si="226"/>
        <v>Entry</v>
      </c>
      <c r="AL1143" t="str">
        <f t="shared" si="227"/>
        <v>Medium</v>
      </c>
      <c r="AM1143" t="str">
        <f t="shared" si="228"/>
        <v>Medium</v>
      </c>
      <c r="AN1143" t="str">
        <f t="shared" si="229"/>
        <v>Low</v>
      </c>
      <c r="AO1143" t="str">
        <f t="shared" si="230"/>
        <v>Good</v>
      </c>
      <c r="AP1143" t="str">
        <f t="shared" si="231"/>
        <v>25-34</v>
      </c>
      <c r="AQ1143" t="str">
        <f t="shared" si="232"/>
        <v>Low</v>
      </c>
      <c r="AR1143" t="str">
        <f t="shared" si="233"/>
        <v>6-10 Years</v>
      </c>
    </row>
    <row r="1144" spans="1:44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39</v>
      </c>
      <c r="L1144">
        <v>50</v>
      </c>
      <c r="M1144">
        <v>1</v>
      </c>
      <c r="N1144">
        <v>2</v>
      </c>
      <c r="O1144" t="s">
        <v>50</v>
      </c>
      <c r="P1144">
        <v>1</v>
      </c>
      <c r="Q1144" t="s">
        <v>41</v>
      </c>
      <c r="R1144">
        <v>5769</v>
      </c>
      <c r="S1144">
        <v>1</v>
      </c>
      <c r="T1144" t="s">
        <v>35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  <c r="AF1144">
        <f t="shared" si="221"/>
        <v>0</v>
      </c>
      <c r="AG1144">
        <f t="shared" si="222"/>
        <v>1</v>
      </c>
      <c r="AH1144" t="str">
        <f t="shared" si="223"/>
        <v>Doctor</v>
      </c>
      <c r="AI1144" t="str">
        <f t="shared" si="224"/>
        <v>High</v>
      </c>
      <c r="AJ1144" t="str">
        <f t="shared" si="225"/>
        <v>Low</v>
      </c>
      <c r="AK1144" t="str">
        <f t="shared" si="226"/>
        <v>Junior</v>
      </c>
      <c r="AL1144" t="str">
        <f t="shared" si="227"/>
        <v>Low</v>
      </c>
      <c r="AM1144" t="str">
        <f t="shared" si="228"/>
        <v>Low</v>
      </c>
      <c r="AN1144" t="str">
        <f t="shared" si="229"/>
        <v>No Options</v>
      </c>
      <c r="AO1144" t="str">
        <f t="shared" si="230"/>
        <v>Better</v>
      </c>
      <c r="AP1144" t="str">
        <f t="shared" si="231"/>
        <v>45-54</v>
      </c>
      <c r="AQ1144" t="str">
        <f t="shared" si="232"/>
        <v>Lower-Mid</v>
      </c>
      <c r="AR1144" t="str">
        <f t="shared" si="233"/>
        <v>6-10 Years</v>
      </c>
    </row>
    <row r="1145" spans="1:44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t="s">
        <v>46</v>
      </c>
      <c r="L1145">
        <v>52</v>
      </c>
      <c r="M1145">
        <v>2</v>
      </c>
      <c r="N1145">
        <v>2</v>
      </c>
      <c r="O1145" t="s">
        <v>40</v>
      </c>
      <c r="P1145">
        <v>1</v>
      </c>
      <c r="Q1145" t="s">
        <v>48</v>
      </c>
      <c r="R1145">
        <v>4385</v>
      </c>
      <c r="S1145">
        <v>1</v>
      </c>
      <c r="T1145" t="s">
        <v>43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  <c r="AF1145">
        <f t="shared" si="221"/>
        <v>0</v>
      </c>
      <c r="AG1145">
        <f t="shared" si="222"/>
        <v>0</v>
      </c>
      <c r="AH1145" t="str">
        <f t="shared" si="223"/>
        <v>Bachelor</v>
      </c>
      <c r="AI1145" t="str">
        <f t="shared" si="224"/>
        <v>Low</v>
      </c>
      <c r="AJ1145" t="str">
        <f t="shared" si="225"/>
        <v>Medium</v>
      </c>
      <c r="AK1145" t="str">
        <f t="shared" si="226"/>
        <v>Junior</v>
      </c>
      <c r="AL1145" t="str">
        <f t="shared" si="227"/>
        <v>Low</v>
      </c>
      <c r="AM1145" t="str">
        <f t="shared" si="228"/>
        <v>Low</v>
      </c>
      <c r="AN1145" t="str">
        <f t="shared" si="229"/>
        <v>Low</v>
      </c>
      <c r="AO1145" t="str">
        <f t="shared" si="230"/>
        <v>Better</v>
      </c>
      <c r="AP1145" t="str">
        <f t="shared" si="231"/>
        <v>45-54</v>
      </c>
      <c r="AQ1145" t="str">
        <f t="shared" si="232"/>
        <v>Lower-Mid</v>
      </c>
      <c r="AR1145" t="str">
        <f t="shared" si="233"/>
        <v>6-10 Years</v>
      </c>
    </row>
    <row r="1146" spans="1:44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54</v>
      </c>
      <c r="M1146">
        <v>3</v>
      </c>
      <c r="N1146">
        <v>2</v>
      </c>
      <c r="O1146" t="s">
        <v>40</v>
      </c>
      <c r="P1146">
        <v>1</v>
      </c>
      <c r="Q1146" t="s">
        <v>41</v>
      </c>
      <c r="R1146">
        <v>5332</v>
      </c>
      <c r="S1146">
        <v>7</v>
      </c>
      <c r="T1146" t="s">
        <v>43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  <c r="AF1146">
        <f t="shared" si="221"/>
        <v>0</v>
      </c>
      <c r="AG1146">
        <f t="shared" si="222"/>
        <v>0</v>
      </c>
      <c r="AH1146" t="str">
        <f t="shared" si="223"/>
        <v>Master</v>
      </c>
      <c r="AI1146" t="str">
        <f t="shared" si="224"/>
        <v>Very High</v>
      </c>
      <c r="AJ1146" t="str">
        <f t="shared" si="225"/>
        <v>High</v>
      </c>
      <c r="AK1146" t="str">
        <f t="shared" si="226"/>
        <v>Junior</v>
      </c>
      <c r="AL1146" t="str">
        <f t="shared" si="227"/>
        <v>Low</v>
      </c>
      <c r="AM1146" t="str">
        <f t="shared" si="228"/>
        <v>Very High</v>
      </c>
      <c r="AN1146" t="str">
        <f t="shared" si="229"/>
        <v>No Options</v>
      </c>
      <c r="AO1146" t="str">
        <f t="shared" si="230"/>
        <v>Better</v>
      </c>
      <c r="AP1146" t="str">
        <f t="shared" si="231"/>
        <v>25-34</v>
      </c>
      <c r="AQ1146" t="str">
        <f t="shared" si="232"/>
        <v>Lower-Mid</v>
      </c>
      <c r="AR1146" t="str">
        <f t="shared" si="233"/>
        <v>3-5 Years</v>
      </c>
    </row>
    <row r="1147" spans="1:44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76</v>
      </c>
      <c r="M1147">
        <v>3</v>
      </c>
      <c r="N1147">
        <v>2</v>
      </c>
      <c r="O1147" t="s">
        <v>53</v>
      </c>
      <c r="P1147">
        <v>3</v>
      </c>
      <c r="Q1147" t="s">
        <v>48</v>
      </c>
      <c r="R1147">
        <v>4663</v>
      </c>
      <c r="S1147">
        <v>9</v>
      </c>
      <c r="T1147" t="s">
        <v>35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  <c r="AF1147">
        <f t="shared" si="221"/>
        <v>0</v>
      </c>
      <c r="AG1147">
        <f t="shared" si="222"/>
        <v>1</v>
      </c>
      <c r="AH1147" t="str">
        <f t="shared" si="223"/>
        <v>Master</v>
      </c>
      <c r="AI1147" t="str">
        <f t="shared" si="224"/>
        <v>High</v>
      </c>
      <c r="AJ1147" t="str">
        <f t="shared" si="225"/>
        <v>High</v>
      </c>
      <c r="AK1147" t="str">
        <f t="shared" si="226"/>
        <v>Junior</v>
      </c>
      <c r="AL1147" t="str">
        <f t="shared" si="227"/>
        <v>High</v>
      </c>
      <c r="AM1147" t="str">
        <f t="shared" si="228"/>
        <v>Medium</v>
      </c>
      <c r="AN1147" t="str">
        <f t="shared" si="229"/>
        <v>Medium</v>
      </c>
      <c r="AO1147" t="str">
        <f t="shared" si="230"/>
        <v>Better</v>
      </c>
      <c r="AP1147" t="str">
        <f t="shared" si="231"/>
        <v>35-44</v>
      </c>
      <c r="AQ1147" t="str">
        <f t="shared" si="232"/>
        <v>Lower-Mid</v>
      </c>
      <c r="AR1147" t="str">
        <f t="shared" si="233"/>
        <v>3-5 Years</v>
      </c>
    </row>
    <row r="1148" spans="1:44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46</v>
      </c>
      <c r="L1148">
        <v>42</v>
      </c>
      <c r="M1148">
        <v>4</v>
      </c>
      <c r="N1148">
        <v>2</v>
      </c>
      <c r="O1148" t="s">
        <v>53</v>
      </c>
      <c r="P1148">
        <v>4</v>
      </c>
      <c r="Q1148" t="s">
        <v>52</v>
      </c>
      <c r="R1148">
        <v>4724</v>
      </c>
      <c r="S1148">
        <v>1</v>
      </c>
      <c r="T1148" t="s">
        <v>43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  <c r="AF1148">
        <f t="shared" si="221"/>
        <v>0</v>
      </c>
      <c r="AG1148">
        <f t="shared" si="222"/>
        <v>0</v>
      </c>
      <c r="AH1148" t="str">
        <f t="shared" si="223"/>
        <v>Master</v>
      </c>
      <c r="AI1148" t="str">
        <f t="shared" si="224"/>
        <v>High</v>
      </c>
      <c r="AJ1148" t="str">
        <f t="shared" si="225"/>
        <v>Very High</v>
      </c>
      <c r="AK1148" t="str">
        <f t="shared" si="226"/>
        <v>Junior</v>
      </c>
      <c r="AL1148" t="str">
        <f t="shared" si="227"/>
        <v>Very High</v>
      </c>
      <c r="AM1148" t="str">
        <f t="shared" si="228"/>
        <v>Low</v>
      </c>
      <c r="AN1148" t="str">
        <f t="shared" si="229"/>
        <v>Low</v>
      </c>
      <c r="AO1148" t="str">
        <f t="shared" si="230"/>
        <v>Better</v>
      </c>
      <c r="AP1148" t="str">
        <f t="shared" si="231"/>
        <v>25-34</v>
      </c>
      <c r="AQ1148" t="str">
        <f t="shared" si="232"/>
        <v>Lower-Mid</v>
      </c>
      <c r="AR1148" t="str">
        <f t="shared" si="233"/>
        <v>6-10 Years</v>
      </c>
    </row>
    <row r="1149" spans="1:44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84</v>
      </c>
      <c r="M1149">
        <v>3</v>
      </c>
      <c r="N1149">
        <v>1</v>
      </c>
      <c r="O1149" t="s">
        <v>50</v>
      </c>
      <c r="P1149">
        <v>1</v>
      </c>
      <c r="Q1149" t="s">
        <v>48</v>
      </c>
      <c r="R1149">
        <v>3211</v>
      </c>
      <c r="S1149">
        <v>1</v>
      </c>
      <c r="T1149" t="s">
        <v>43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  <c r="AF1149">
        <f t="shared" si="221"/>
        <v>0</v>
      </c>
      <c r="AG1149">
        <f t="shared" si="222"/>
        <v>0</v>
      </c>
      <c r="AH1149" t="str">
        <f t="shared" si="223"/>
        <v>Master</v>
      </c>
      <c r="AI1149" t="str">
        <f t="shared" si="224"/>
        <v>High</v>
      </c>
      <c r="AJ1149" t="str">
        <f t="shared" si="225"/>
        <v>High</v>
      </c>
      <c r="AK1149" t="str">
        <f t="shared" si="226"/>
        <v>Entry</v>
      </c>
      <c r="AL1149" t="str">
        <f t="shared" si="227"/>
        <v>Low</v>
      </c>
      <c r="AM1149" t="str">
        <f t="shared" si="228"/>
        <v>Very High</v>
      </c>
      <c r="AN1149" t="str">
        <f t="shared" si="229"/>
        <v>Low</v>
      </c>
      <c r="AO1149" t="str">
        <f t="shared" si="230"/>
        <v>Good</v>
      </c>
      <c r="AP1149" t="str">
        <f t="shared" si="231"/>
        <v>45-54</v>
      </c>
      <c r="AQ1149" t="str">
        <f t="shared" si="232"/>
        <v>Lower-Mid</v>
      </c>
      <c r="AR1149" t="str">
        <f t="shared" si="233"/>
        <v>6-10 Years</v>
      </c>
    </row>
    <row r="1150" spans="1:44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46</v>
      </c>
      <c r="L1150">
        <v>76</v>
      </c>
      <c r="M1150">
        <v>3</v>
      </c>
      <c r="N1150">
        <v>2</v>
      </c>
      <c r="O1150" t="s">
        <v>53</v>
      </c>
      <c r="P1150">
        <v>1</v>
      </c>
      <c r="Q1150" t="s">
        <v>48</v>
      </c>
      <c r="R1150">
        <v>5377</v>
      </c>
      <c r="S1150">
        <v>2</v>
      </c>
      <c r="T1150" t="s">
        <v>43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  <c r="AF1150">
        <f t="shared" si="221"/>
        <v>0</v>
      </c>
      <c r="AG1150">
        <f t="shared" si="222"/>
        <v>0</v>
      </c>
      <c r="AH1150" t="str">
        <f t="shared" si="223"/>
        <v>Doctor</v>
      </c>
      <c r="AI1150" t="str">
        <f t="shared" si="224"/>
        <v>Medium</v>
      </c>
      <c r="AJ1150" t="str">
        <f t="shared" si="225"/>
        <v>High</v>
      </c>
      <c r="AK1150" t="str">
        <f t="shared" si="226"/>
        <v>Junior</v>
      </c>
      <c r="AL1150" t="str">
        <f t="shared" si="227"/>
        <v>Low</v>
      </c>
      <c r="AM1150" t="str">
        <f t="shared" si="228"/>
        <v>Very High</v>
      </c>
      <c r="AN1150" t="str">
        <f t="shared" si="229"/>
        <v>High</v>
      </c>
      <c r="AO1150" t="str">
        <f t="shared" si="230"/>
        <v>Better</v>
      </c>
      <c r="AP1150" t="str">
        <f t="shared" si="231"/>
        <v>35-44</v>
      </c>
      <c r="AQ1150" t="str">
        <f t="shared" si="232"/>
        <v>Lower-Mid</v>
      </c>
      <c r="AR1150" t="str">
        <f t="shared" si="233"/>
        <v>6-10 Years</v>
      </c>
    </row>
    <row r="1151" spans="1:44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67</v>
      </c>
      <c r="M1151">
        <v>2</v>
      </c>
      <c r="N1151">
        <v>1</v>
      </c>
      <c r="O1151" t="s">
        <v>50</v>
      </c>
      <c r="P1151">
        <v>1</v>
      </c>
      <c r="Q1151" t="s">
        <v>52</v>
      </c>
      <c r="R1151">
        <v>4066</v>
      </c>
      <c r="S1151">
        <v>1</v>
      </c>
      <c r="T1151" t="s">
        <v>43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  <c r="AF1151">
        <f t="shared" si="221"/>
        <v>0</v>
      </c>
      <c r="AG1151">
        <f t="shared" si="222"/>
        <v>0</v>
      </c>
      <c r="AH1151" t="str">
        <f t="shared" si="223"/>
        <v>Bachelor</v>
      </c>
      <c r="AI1151" t="str">
        <f t="shared" si="224"/>
        <v>Very High</v>
      </c>
      <c r="AJ1151" t="str">
        <f t="shared" si="225"/>
        <v>Medium</v>
      </c>
      <c r="AK1151" t="str">
        <f t="shared" si="226"/>
        <v>Entry</v>
      </c>
      <c r="AL1151" t="str">
        <f t="shared" si="227"/>
        <v>Low</v>
      </c>
      <c r="AM1151" t="str">
        <f t="shared" si="228"/>
        <v>Low</v>
      </c>
      <c r="AN1151" t="str">
        <f t="shared" si="229"/>
        <v>Medium</v>
      </c>
      <c r="AO1151" t="str">
        <f t="shared" si="230"/>
        <v>Better</v>
      </c>
      <c r="AP1151" t="str">
        <f t="shared" si="231"/>
        <v>25-34</v>
      </c>
      <c r="AQ1151" t="str">
        <f t="shared" si="232"/>
        <v>Lower-Mid</v>
      </c>
      <c r="AR1151" t="str">
        <f t="shared" si="233"/>
        <v>6-10 Years</v>
      </c>
    </row>
    <row r="1152" spans="1:44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46</v>
      </c>
      <c r="L1152">
        <v>48</v>
      </c>
      <c r="M1152">
        <v>4</v>
      </c>
      <c r="N1152">
        <v>2</v>
      </c>
      <c r="O1152" t="s">
        <v>47</v>
      </c>
      <c r="P1152">
        <v>1</v>
      </c>
      <c r="Q1152" t="s">
        <v>48</v>
      </c>
      <c r="R1152">
        <v>5208</v>
      </c>
      <c r="S1152">
        <v>1</v>
      </c>
      <c r="T1152" t="s">
        <v>43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  <c r="AF1152">
        <f t="shared" si="221"/>
        <v>0</v>
      </c>
      <c r="AG1152">
        <f t="shared" si="222"/>
        <v>0</v>
      </c>
      <c r="AH1152" t="str">
        <f t="shared" si="223"/>
        <v>Doctor</v>
      </c>
      <c r="AI1152" t="str">
        <f t="shared" si="224"/>
        <v>Medium</v>
      </c>
      <c r="AJ1152" t="str">
        <f t="shared" si="225"/>
        <v>Very High</v>
      </c>
      <c r="AK1152" t="str">
        <f t="shared" si="226"/>
        <v>Junior</v>
      </c>
      <c r="AL1152" t="str">
        <f t="shared" si="227"/>
        <v>Low</v>
      </c>
      <c r="AM1152" t="str">
        <f t="shared" si="228"/>
        <v>Very High</v>
      </c>
      <c r="AN1152" t="str">
        <f t="shared" si="229"/>
        <v>No Options</v>
      </c>
      <c r="AO1152" t="str">
        <f t="shared" si="230"/>
        <v>Better</v>
      </c>
      <c r="AP1152" t="str">
        <f t="shared" si="231"/>
        <v>35-44</v>
      </c>
      <c r="AQ1152" t="str">
        <f t="shared" si="232"/>
        <v>Lower-Mid</v>
      </c>
      <c r="AR1152" t="str">
        <f t="shared" si="233"/>
        <v>11-20 Years</v>
      </c>
    </row>
    <row r="1153" spans="1:44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39</v>
      </c>
      <c r="L1153">
        <v>39</v>
      </c>
      <c r="M1153">
        <v>1</v>
      </c>
      <c r="N1153">
        <v>2</v>
      </c>
      <c r="O1153" t="s">
        <v>53</v>
      </c>
      <c r="P1153">
        <v>1</v>
      </c>
      <c r="Q1153" t="s">
        <v>52</v>
      </c>
      <c r="R1153">
        <v>4877</v>
      </c>
      <c r="S1153">
        <v>0</v>
      </c>
      <c r="T1153" t="s">
        <v>43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  <c r="AF1153">
        <f t="shared" si="221"/>
        <v>0</v>
      </c>
      <c r="AG1153">
        <f t="shared" si="222"/>
        <v>0</v>
      </c>
      <c r="AH1153" t="str">
        <f t="shared" si="223"/>
        <v>Bachelor</v>
      </c>
      <c r="AI1153" t="str">
        <f t="shared" si="224"/>
        <v>Medium</v>
      </c>
      <c r="AJ1153" t="str">
        <f t="shared" si="225"/>
        <v>Low</v>
      </c>
      <c r="AK1153" t="str">
        <f t="shared" si="226"/>
        <v>Junior</v>
      </c>
      <c r="AL1153" t="str">
        <f t="shared" si="227"/>
        <v>Low</v>
      </c>
      <c r="AM1153" t="str">
        <f t="shared" si="228"/>
        <v>Medium</v>
      </c>
      <c r="AN1153" t="str">
        <f t="shared" si="229"/>
        <v>Low</v>
      </c>
      <c r="AO1153" t="str">
        <f t="shared" si="230"/>
        <v>Good</v>
      </c>
      <c r="AP1153" t="str">
        <f t="shared" si="231"/>
        <v>25-34</v>
      </c>
      <c r="AQ1153" t="str">
        <f t="shared" si="232"/>
        <v>Lower-Mid</v>
      </c>
      <c r="AR1153" t="str">
        <f t="shared" si="233"/>
        <v>3-5 Years</v>
      </c>
    </row>
    <row r="1154" spans="1:44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46</v>
      </c>
      <c r="L1154">
        <v>97</v>
      </c>
      <c r="M1154">
        <v>3</v>
      </c>
      <c r="N1154">
        <v>1</v>
      </c>
      <c r="O1154" t="s">
        <v>47</v>
      </c>
      <c r="P1154">
        <v>4</v>
      </c>
      <c r="Q1154" t="s">
        <v>41</v>
      </c>
      <c r="R1154">
        <v>3117</v>
      </c>
      <c r="S1154">
        <v>1</v>
      </c>
      <c r="T1154" t="s">
        <v>43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  <c r="AF1154">
        <f t="shared" si="221"/>
        <v>0</v>
      </c>
      <c r="AG1154">
        <f t="shared" si="222"/>
        <v>0</v>
      </c>
      <c r="AH1154" t="str">
        <f t="shared" si="223"/>
        <v>Below College</v>
      </c>
      <c r="AI1154" t="str">
        <f t="shared" si="224"/>
        <v>High</v>
      </c>
      <c r="AJ1154" t="str">
        <f t="shared" si="225"/>
        <v>High</v>
      </c>
      <c r="AK1154" t="str">
        <f t="shared" si="226"/>
        <v>Entry</v>
      </c>
      <c r="AL1154" t="str">
        <f t="shared" si="227"/>
        <v>Very High</v>
      </c>
      <c r="AM1154" t="str">
        <f t="shared" si="228"/>
        <v>High</v>
      </c>
      <c r="AN1154" t="str">
        <f t="shared" si="229"/>
        <v>No Options</v>
      </c>
      <c r="AO1154" t="str">
        <f t="shared" si="230"/>
        <v>Better</v>
      </c>
      <c r="AP1154" t="str">
        <f t="shared" si="231"/>
        <v>Under 25</v>
      </c>
      <c r="AQ1154" t="str">
        <f t="shared" si="232"/>
        <v>Lower-Mid</v>
      </c>
      <c r="AR1154" t="str">
        <f t="shared" si="233"/>
        <v>0-2 Years</v>
      </c>
    </row>
    <row r="1155" spans="1:44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39</v>
      </c>
      <c r="L1155">
        <v>70</v>
      </c>
      <c r="M1155">
        <v>3</v>
      </c>
      <c r="N1155">
        <v>1</v>
      </c>
      <c r="O1155" t="s">
        <v>57</v>
      </c>
      <c r="P1155">
        <v>4</v>
      </c>
      <c r="Q1155" t="s">
        <v>41</v>
      </c>
      <c r="R1155">
        <v>1569</v>
      </c>
      <c r="S1155">
        <v>1</v>
      </c>
      <c r="T1155" t="s">
        <v>35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  <c r="AF1155">
        <f t="shared" ref="AF1155:AF1218" si="234">IF(B1155="Yes",1,0)</f>
        <v>1</v>
      </c>
      <c r="AG1155">
        <f t="shared" ref="AG1155:AG1218" si="235">IF(T1155="Yes",1,0)</f>
        <v>1</v>
      </c>
      <c r="AH1155" t="str">
        <f t="shared" ref="AH1155:AH1218" si="236">CHOOSE(G1155,"Below College","College","Bachelor","Master","Doctor")</f>
        <v>College</v>
      </c>
      <c r="AI1155" t="str">
        <f t="shared" ref="AI1155:AI1218" si="237">CHOOSE(J1155,"Low","Medium","High","Very High")</f>
        <v>Medium</v>
      </c>
      <c r="AJ1155" t="str">
        <f t="shared" ref="AJ1155:AJ1218" si="238">CHOOSE(M1155,"Low","Medium","High","Very High")</f>
        <v>High</v>
      </c>
      <c r="AK1155" t="str">
        <f t="shared" ref="AK1155:AK1218" si="239">CHOOSE(N1155,"Entry","Junior","Mid-Level","Senior","Executive")</f>
        <v>Entry</v>
      </c>
      <c r="AL1155" t="str">
        <f t="shared" ref="AL1155:AL1218" si="240">CHOOSE(P1155,"Low","Medium","High","Very High")</f>
        <v>Very High</v>
      </c>
      <c r="AM1155" t="str">
        <f t="shared" ref="AM1155:AM1218" si="241">CHOOSE(W1155,"Low","Medium","High","Very High")</f>
        <v>High</v>
      </c>
      <c r="AN1155" t="str">
        <f t="shared" ref="AN1155:AN1218" si="242">CHOOSE(X1155+1,"No Options","Low","Medium","High")</f>
        <v>No Options</v>
      </c>
      <c r="AO1155" t="str">
        <f t="shared" ref="AO1155:AO1218" si="243">CHOOSE(AA1155,"Bad","Good","Better","Best")</f>
        <v>Best</v>
      </c>
      <c r="AP1155" t="str">
        <f t="shared" ref="AP1155:AP1218" si="244">IF(A1155&lt;=24,"Under 25",IF(A1155&lt;=34,"25-34",IF(A1155&lt;=44,"35-44",IF(A1155&lt;=54,"45-54","55+"))))</f>
        <v>Under 25</v>
      </c>
      <c r="AQ1155" t="str">
        <f t="shared" ref="AQ1155:AQ1218" si="245">IF(R1155&lt;3000,"Low",IF(R1155&lt;7000,"Lower-Mid",IF(R1155&lt;13000,"Upper-Mid","High")))</f>
        <v>Low</v>
      </c>
      <c r="AR1155" t="str">
        <f t="shared" ref="AR1155:AR1218" si="246">IF(AB1155&lt;=2,"0-2 Years",IF(AB1155&lt;=5,"3-5 Years",IF(AB1155&lt;=10,"6-10 Years",IF(AB1155&lt;=20,"11-20 Years","20+ Years"))))</f>
        <v>0-2 Years</v>
      </c>
    </row>
    <row r="1156" spans="1:44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98</v>
      </c>
      <c r="M1156">
        <v>3</v>
      </c>
      <c r="N1156">
        <v>5</v>
      </c>
      <c r="O1156" t="s">
        <v>56</v>
      </c>
      <c r="P1156">
        <v>3</v>
      </c>
      <c r="Q1156" t="s">
        <v>48</v>
      </c>
      <c r="R1156">
        <v>19658</v>
      </c>
      <c r="S1156">
        <v>3</v>
      </c>
      <c r="T1156" t="s">
        <v>43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  <c r="AF1156">
        <f t="shared" si="234"/>
        <v>0</v>
      </c>
      <c r="AG1156">
        <f t="shared" si="235"/>
        <v>0</v>
      </c>
      <c r="AH1156" t="str">
        <f t="shared" si="236"/>
        <v>Master</v>
      </c>
      <c r="AI1156" t="str">
        <f t="shared" si="237"/>
        <v>Very High</v>
      </c>
      <c r="AJ1156" t="str">
        <f t="shared" si="238"/>
        <v>High</v>
      </c>
      <c r="AK1156" t="str">
        <f t="shared" si="239"/>
        <v>Executive</v>
      </c>
      <c r="AL1156" t="str">
        <f t="shared" si="240"/>
        <v>High</v>
      </c>
      <c r="AM1156" t="str">
        <f t="shared" si="241"/>
        <v>High</v>
      </c>
      <c r="AN1156" t="str">
        <f t="shared" si="242"/>
        <v>Low</v>
      </c>
      <c r="AO1156" t="str">
        <f t="shared" si="243"/>
        <v>Better</v>
      </c>
      <c r="AP1156" t="str">
        <f t="shared" si="244"/>
        <v>45-54</v>
      </c>
      <c r="AQ1156" t="str">
        <f t="shared" si="245"/>
        <v>High</v>
      </c>
      <c r="AR1156" t="str">
        <f t="shared" si="246"/>
        <v>3-5 Years</v>
      </c>
    </row>
    <row r="1157" spans="1:44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46</v>
      </c>
      <c r="L1157">
        <v>76</v>
      </c>
      <c r="M1157">
        <v>2</v>
      </c>
      <c r="N1157">
        <v>2</v>
      </c>
      <c r="O1157" t="s">
        <v>50</v>
      </c>
      <c r="P1157">
        <v>3</v>
      </c>
      <c r="Q1157" t="s">
        <v>52</v>
      </c>
      <c r="R1157">
        <v>3069</v>
      </c>
      <c r="S1157">
        <v>0</v>
      </c>
      <c r="T1157" t="s">
        <v>43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  <c r="AF1157">
        <f t="shared" si="234"/>
        <v>0</v>
      </c>
      <c r="AG1157">
        <f t="shared" si="235"/>
        <v>0</v>
      </c>
      <c r="AH1157" t="str">
        <f t="shared" si="236"/>
        <v>College</v>
      </c>
      <c r="AI1157" t="str">
        <f t="shared" si="237"/>
        <v>High</v>
      </c>
      <c r="AJ1157" t="str">
        <f t="shared" si="238"/>
        <v>Medium</v>
      </c>
      <c r="AK1157" t="str">
        <f t="shared" si="239"/>
        <v>Junior</v>
      </c>
      <c r="AL1157" t="str">
        <f t="shared" si="240"/>
        <v>High</v>
      </c>
      <c r="AM1157" t="str">
        <f t="shared" si="241"/>
        <v>Very High</v>
      </c>
      <c r="AN1157" t="str">
        <f t="shared" si="242"/>
        <v>Low</v>
      </c>
      <c r="AO1157" t="str">
        <f t="shared" si="243"/>
        <v>Better</v>
      </c>
      <c r="AP1157" t="str">
        <f t="shared" si="244"/>
        <v>35-44</v>
      </c>
      <c r="AQ1157" t="str">
        <f t="shared" si="245"/>
        <v>Lower-Mid</v>
      </c>
      <c r="AR1157" t="str">
        <f t="shared" si="246"/>
        <v>6-10 Years</v>
      </c>
    </row>
    <row r="1158" spans="1:44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80</v>
      </c>
      <c r="M1158">
        <v>2</v>
      </c>
      <c r="N1158">
        <v>3</v>
      </c>
      <c r="O1158" t="s">
        <v>53</v>
      </c>
      <c r="P1158">
        <v>3</v>
      </c>
      <c r="Q1158" t="s">
        <v>48</v>
      </c>
      <c r="R1158">
        <v>10435</v>
      </c>
      <c r="S1158">
        <v>1</v>
      </c>
      <c r="T1158" t="s">
        <v>43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  <c r="AF1158">
        <f t="shared" si="234"/>
        <v>0</v>
      </c>
      <c r="AG1158">
        <f t="shared" si="235"/>
        <v>0</v>
      </c>
      <c r="AH1158" t="str">
        <f t="shared" si="236"/>
        <v>Bachelor</v>
      </c>
      <c r="AI1158" t="str">
        <f t="shared" si="237"/>
        <v>Low</v>
      </c>
      <c r="AJ1158" t="str">
        <f t="shared" si="238"/>
        <v>Medium</v>
      </c>
      <c r="AK1158" t="str">
        <f t="shared" si="239"/>
        <v>Mid-Level</v>
      </c>
      <c r="AL1158" t="str">
        <f t="shared" si="240"/>
        <v>High</v>
      </c>
      <c r="AM1158" t="str">
        <f t="shared" si="241"/>
        <v>Very High</v>
      </c>
      <c r="AN1158" t="str">
        <f t="shared" si="242"/>
        <v>Medium</v>
      </c>
      <c r="AO1158" t="str">
        <f t="shared" si="243"/>
        <v>Better</v>
      </c>
      <c r="AP1158" t="str">
        <f t="shared" si="244"/>
        <v>35-44</v>
      </c>
      <c r="AQ1158" t="str">
        <f t="shared" si="245"/>
        <v>Upper-Mid</v>
      </c>
      <c r="AR1158" t="str">
        <f t="shared" si="246"/>
        <v>11-20 Years</v>
      </c>
    </row>
    <row r="1159" spans="1:44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52</v>
      </c>
      <c r="M1159">
        <v>3</v>
      </c>
      <c r="N1159">
        <v>2</v>
      </c>
      <c r="O1159" t="s">
        <v>54</v>
      </c>
      <c r="P1159">
        <v>3</v>
      </c>
      <c r="Q1159" t="s">
        <v>48</v>
      </c>
      <c r="R1159">
        <v>4148</v>
      </c>
      <c r="S1159">
        <v>1</v>
      </c>
      <c r="T1159" t="s">
        <v>43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  <c r="AF1159">
        <f t="shared" si="234"/>
        <v>0</v>
      </c>
      <c r="AG1159">
        <f t="shared" si="235"/>
        <v>0</v>
      </c>
      <c r="AH1159" t="str">
        <f t="shared" si="236"/>
        <v>Master</v>
      </c>
      <c r="AI1159" t="str">
        <f t="shared" si="237"/>
        <v>High</v>
      </c>
      <c r="AJ1159" t="str">
        <f t="shared" si="238"/>
        <v>High</v>
      </c>
      <c r="AK1159" t="str">
        <f t="shared" si="239"/>
        <v>Junior</v>
      </c>
      <c r="AL1159" t="str">
        <f t="shared" si="240"/>
        <v>High</v>
      </c>
      <c r="AM1159" t="str">
        <f t="shared" si="241"/>
        <v>Very High</v>
      </c>
      <c r="AN1159" t="str">
        <f t="shared" si="242"/>
        <v>Low</v>
      </c>
      <c r="AO1159" t="str">
        <f t="shared" si="243"/>
        <v>Better</v>
      </c>
      <c r="AP1159" t="str">
        <f t="shared" si="244"/>
        <v>35-44</v>
      </c>
      <c r="AQ1159" t="str">
        <f t="shared" si="245"/>
        <v>Lower-Mid</v>
      </c>
      <c r="AR1159" t="str">
        <f t="shared" si="246"/>
        <v>11-20 Years</v>
      </c>
    </row>
    <row r="1160" spans="1:44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46</v>
      </c>
      <c r="L1160">
        <v>85</v>
      </c>
      <c r="M1160">
        <v>3</v>
      </c>
      <c r="N1160">
        <v>2</v>
      </c>
      <c r="O1160" t="s">
        <v>53</v>
      </c>
      <c r="P1160">
        <v>3</v>
      </c>
      <c r="Q1160" t="s">
        <v>48</v>
      </c>
      <c r="R1160">
        <v>5768</v>
      </c>
      <c r="S1160">
        <v>3</v>
      </c>
      <c r="T1160" t="s">
        <v>43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  <c r="AF1160">
        <f t="shared" si="234"/>
        <v>0</v>
      </c>
      <c r="AG1160">
        <f t="shared" si="235"/>
        <v>0</v>
      </c>
      <c r="AH1160" t="str">
        <f t="shared" si="236"/>
        <v>Bachelor</v>
      </c>
      <c r="AI1160" t="str">
        <f t="shared" si="237"/>
        <v>High</v>
      </c>
      <c r="AJ1160" t="str">
        <f t="shared" si="238"/>
        <v>High</v>
      </c>
      <c r="AK1160" t="str">
        <f t="shared" si="239"/>
        <v>Junior</v>
      </c>
      <c r="AL1160" t="str">
        <f t="shared" si="240"/>
        <v>High</v>
      </c>
      <c r="AM1160" t="str">
        <f t="shared" si="241"/>
        <v>Low</v>
      </c>
      <c r="AN1160" t="str">
        <f t="shared" si="242"/>
        <v>High</v>
      </c>
      <c r="AO1160" t="str">
        <f t="shared" si="243"/>
        <v>Good</v>
      </c>
      <c r="AP1160" t="str">
        <f t="shared" si="244"/>
        <v>35-44</v>
      </c>
      <c r="AQ1160" t="str">
        <f t="shared" si="245"/>
        <v>Lower-Mid</v>
      </c>
      <c r="AR1160" t="str">
        <f t="shared" si="246"/>
        <v>3-5 Years</v>
      </c>
    </row>
    <row r="1161" spans="1:44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39</v>
      </c>
      <c r="L1161">
        <v>81</v>
      </c>
      <c r="M1161">
        <v>3</v>
      </c>
      <c r="N1161">
        <v>2</v>
      </c>
      <c r="O1161" t="s">
        <v>53</v>
      </c>
      <c r="P1161">
        <v>3</v>
      </c>
      <c r="Q1161" t="s">
        <v>41</v>
      </c>
      <c r="R1161">
        <v>5042</v>
      </c>
      <c r="S1161">
        <v>0</v>
      </c>
      <c r="T1161" t="s">
        <v>43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  <c r="AF1161">
        <f t="shared" si="234"/>
        <v>0</v>
      </c>
      <c r="AG1161">
        <f t="shared" si="235"/>
        <v>0</v>
      </c>
      <c r="AH1161" t="str">
        <f t="shared" si="236"/>
        <v>Bachelor</v>
      </c>
      <c r="AI1161" t="str">
        <f t="shared" si="237"/>
        <v>Low</v>
      </c>
      <c r="AJ1161" t="str">
        <f t="shared" si="238"/>
        <v>High</v>
      </c>
      <c r="AK1161" t="str">
        <f t="shared" si="239"/>
        <v>Junior</v>
      </c>
      <c r="AL1161" t="str">
        <f t="shared" si="240"/>
        <v>High</v>
      </c>
      <c r="AM1161" t="str">
        <f t="shared" si="241"/>
        <v>Very High</v>
      </c>
      <c r="AN1161" t="str">
        <f t="shared" si="242"/>
        <v>No Options</v>
      </c>
      <c r="AO1161" t="str">
        <f t="shared" si="243"/>
        <v>Bad</v>
      </c>
      <c r="AP1161" t="str">
        <f t="shared" si="244"/>
        <v>35-44</v>
      </c>
      <c r="AQ1161" t="str">
        <f t="shared" si="245"/>
        <v>Lower-Mid</v>
      </c>
      <c r="AR1161" t="str">
        <f t="shared" si="246"/>
        <v>6-10 Years</v>
      </c>
    </row>
    <row r="1162" spans="1:44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39</v>
      </c>
      <c r="L1162">
        <v>59</v>
      </c>
      <c r="M1162">
        <v>2</v>
      </c>
      <c r="N1162">
        <v>2</v>
      </c>
      <c r="O1162" t="s">
        <v>53</v>
      </c>
      <c r="P1162">
        <v>4</v>
      </c>
      <c r="Q1162" t="s">
        <v>52</v>
      </c>
      <c r="R1162">
        <v>5770</v>
      </c>
      <c r="S1162">
        <v>1</v>
      </c>
      <c r="T1162" t="s">
        <v>43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  <c r="AF1162">
        <f t="shared" si="234"/>
        <v>0</v>
      </c>
      <c r="AG1162">
        <f t="shared" si="235"/>
        <v>0</v>
      </c>
      <c r="AH1162" t="str">
        <f t="shared" si="236"/>
        <v>College</v>
      </c>
      <c r="AI1162" t="str">
        <f t="shared" si="237"/>
        <v>Very High</v>
      </c>
      <c r="AJ1162" t="str">
        <f t="shared" si="238"/>
        <v>Medium</v>
      </c>
      <c r="AK1162" t="str">
        <f t="shared" si="239"/>
        <v>Junior</v>
      </c>
      <c r="AL1162" t="str">
        <f t="shared" si="240"/>
        <v>Very High</v>
      </c>
      <c r="AM1162" t="str">
        <f t="shared" si="241"/>
        <v>Low</v>
      </c>
      <c r="AN1162" t="str">
        <f t="shared" si="242"/>
        <v>Medium</v>
      </c>
      <c r="AO1162" t="str">
        <f t="shared" si="243"/>
        <v>Better</v>
      </c>
      <c r="AP1162" t="str">
        <f t="shared" si="244"/>
        <v>45-54</v>
      </c>
      <c r="AQ1162" t="str">
        <f t="shared" si="245"/>
        <v>Lower-Mid</v>
      </c>
      <c r="AR1162" t="str">
        <f t="shared" si="246"/>
        <v>6-10 Years</v>
      </c>
    </row>
    <row r="1163" spans="1:44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39</v>
      </c>
      <c r="L1163">
        <v>54</v>
      </c>
      <c r="M1163">
        <v>2</v>
      </c>
      <c r="N1163">
        <v>3</v>
      </c>
      <c r="O1163" t="s">
        <v>53</v>
      </c>
      <c r="P1163">
        <v>3</v>
      </c>
      <c r="Q1163" t="s">
        <v>48</v>
      </c>
      <c r="R1163">
        <v>7756</v>
      </c>
      <c r="S1163">
        <v>3</v>
      </c>
      <c r="T1163" t="s">
        <v>35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  <c r="AF1163">
        <f t="shared" si="234"/>
        <v>0</v>
      </c>
      <c r="AG1163">
        <f t="shared" si="235"/>
        <v>1</v>
      </c>
      <c r="AH1163" t="str">
        <f t="shared" si="236"/>
        <v>College</v>
      </c>
      <c r="AI1163" t="str">
        <f t="shared" si="237"/>
        <v>Very High</v>
      </c>
      <c r="AJ1163" t="str">
        <f t="shared" si="238"/>
        <v>Medium</v>
      </c>
      <c r="AK1163" t="str">
        <f t="shared" si="239"/>
        <v>Mid-Level</v>
      </c>
      <c r="AL1163" t="str">
        <f t="shared" si="240"/>
        <v>High</v>
      </c>
      <c r="AM1163" t="str">
        <f t="shared" si="241"/>
        <v>Very High</v>
      </c>
      <c r="AN1163" t="str">
        <f t="shared" si="242"/>
        <v>Low</v>
      </c>
      <c r="AO1163" t="str">
        <f t="shared" si="243"/>
        <v>Best</v>
      </c>
      <c r="AP1163" t="str">
        <f t="shared" si="244"/>
        <v>35-44</v>
      </c>
      <c r="AQ1163" t="str">
        <f t="shared" si="245"/>
        <v>Upper-Mid</v>
      </c>
      <c r="AR1163" t="str">
        <f t="shared" si="246"/>
        <v>3-5 Years</v>
      </c>
    </row>
    <row r="1164" spans="1:44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46</v>
      </c>
      <c r="L1164">
        <v>55</v>
      </c>
      <c r="M1164">
        <v>2</v>
      </c>
      <c r="N1164">
        <v>3</v>
      </c>
      <c r="O1164" t="s">
        <v>40</v>
      </c>
      <c r="P1164">
        <v>1</v>
      </c>
      <c r="Q1164" t="s">
        <v>48</v>
      </c>
      <c r="R1164">
        <v>10306</v>
      </c>
      <c r="S1164">
        <v>9</v>
      </c>
      <c r="T1164" t="s">
        <v>43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  <c r="AF1164">
        <f t="shared" si="234"/>
        <v>1</v>
      </c>
      <c r="AG1164">
        <f t="shared" si="235"/>
        <v>0</v>
      </c>
      <c r="AH1164" t="str">
        <f t="shared" si="236"/>
        <v>Bachelor</v>
      </c>
      <c r="AI1164" t="str">
        <f t="shared" si="237"/>
        <v>Very High</v>
      </c>
      <c r="AJ1164" t="str">
        <f t="shared" si="238"/>
        <v>Medium</v>
      </c>
      <c r="AK1164" t="str">
        <f t="shared" si="239"/>
        <v>Mid-Level</v>
      </c>
      <c r="AL1164" t="str">
        <f t="shared" si="240"/>
        <v>Low</v>
      </c>
      <c r="AM1164" t="str">
        <f t="shared" si="241"/>
        <v>High</v>
      </c>
      <c r="AN1164" t="str">
        <f t="shared" si="242"/>
        <v>No Options</v>
      </c>
      <c r="AO1164" t="str">
        <f t="shared" si="243"/>
        <v>Better</v>
      </c>
      <c r="AP1164" t="str">
        <f t="shared" si="244"/>
        <v>35-44</v>
      </c>
      <c r="AQ1164" t="str">
        <f t="shared" si="245"/>
        <v>Upper-Mid</v>
      </c>
      <c r="AR1164" t="str">
        <f t="shared" si="246"/>
        <v>11-20 Years</v>
      </c>
    </row>
    <row r="1165" spans="1:44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39</v>
      </c>
      <c r="L1165">
        <v>71</v>
      </c>
      <c r="M1165">
        <v>3</v>
      </c>
      <c r="N1165">
        <v>1</v>
      </c>
      <c r="O1165" t="s">
        <v>47</v>
      </c>
      <c r="P1165">
        <v>2</v>
      </c>
      <c r="Q1165" t="s">
        <v>48</v>
      </c>
      <c r="R1165">
        <v>3936</v>
      </c>
      <c r="S1165">
        <v>1</v>
      </c>
      <c r="T1165" t="s">
        <v>43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  <c r="AF1165">
        <f t="shared" si="234"/>
        <v>0</v>
      </c>
      <c r="AG1165">
        <f t="shared" si="235"/>
        <v>0</v>
      </c>
      <c r="AH1165" t="str">
        <f t="shared" si="236"/>
        <v>Bachelor</v>
      </c>
      <c r="AI1165" t="str">
        <f t="shared" si="237"/>
        <v>Medium</v>
      </c>
      <c r="AJ1165" t="str">
        <f t="shared" si="238"/>
        <v>High</v>
      </c>
      <c r="AK1165" t="str">
        <f t="shared" si="239"/>
        <v>Entry</v>
      </c>
      <c r="AL1165" t="str">
        <f t="shared" si="240"/>
        <v>Medium</v>
      </c>
      <c r="AM1165" t="str">
        <f t="shared" si="241"/>
        <v>Low</v>
      </c>
      <c r="AN1165" t="str">
        <f t="shared" si="242"/>
        <v>Low</v>
      </c>
      <c r="AO1165" t="str">
        <f t="shared" si="243"/>
        <v>Bad</v>
      </c>
      <c r="AP1165" t="str">
        <f t="shared" si="244"/>
        <v>35-44</v>
      </c>
      <c r="AQ1165" t="str">
        <f t="shared" si="245"/>
        <v>Lower-Mid</v>
      </c>
      <c r="AR1165" t="str">
        <f t="shared" si="246"/>
        <v>6-10 Years</v>
      </c>
    </row>
    <row r="1166" spans="1:44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84</v>
      </c>
      <c r="M1166">
        <v>3</v>
      </c>
      <c r="N1166">
        <v>3</v>
      </c>
      <c r="O1166" t="s">
        <v>53</v>
      </c>
      <c r="P1166">
        <v>4</v>
      </c>
      <c r="Q1166" t="s">
        <v>41</v>
      </c>
      <c r="R1166">
        <v>7945</v>
      </c>
      <c r="S1166">
        <v>6</v>
      </c>
      <c r="T1166" t="s">
        <v>35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  <c r="AF1166">
        <f t="shared" si="234"/>
        <v>0</v>
      </c>
      <c r="AG1166">
        <f t="shared" si="235"/>
        <v>1</v>
      </c>
      <c r="AH1166" t="str">
        <f t="shared" si="236"/>
        <v>Bachelor</v>
      </c>
      <c r="AI1166" t="str">
        <f t="shared" si="237"/>
        <v>High</v>
      </c>
      <c r="AJ1166" t="str">
        <f t="shared" si="238"/>
        <v>High</v>
      </c>
      <c r="AK1166" t="str">
        <f t="shared" si="239"/>
        <v>Mid-Level</v>
      </c>
      <c r="AL1166" t="str">
        <f t="shared" si="240"/>
        <v>Very High</v>
      </c>
      <c r="AM1166" t="str">
        <f t="shared" si="241"/>
        <v>Very High</v>
      </c>
      <c r="AN1166" t="str">
        <f t="shared" si="242"/>
        <v>No Options</v>
      </c>
      <c r="AO1166" t="str">
        <f t="shared" si="243"/>
        <v>Good</v>
      </c>
      <c r="AP1166" t="str">
        <f t="shared" si="244"/>
        <v>35-44</v>
      </c>
      <c r="AQ1166" t="str">
        <f t="shared" si="245"/>
        <v>Upper-Mid</v>
      </c>
      <c r="AR1166" t="str">
        <f t="shared" si="246"/>
        <v>3-5 Years</v>
      </c>
    </row>
    <row r="1167" spans="1:44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t="s">
        <v>46</v>
      </c>
      <c r="L1167">
        <v>37</v>
      </c>
      <c r="M1167">
        <v>3</v>
      </c>
      <c r="N1167">
        <v>2</v>
      </c>
      <c r="O1167" t="s">
        <v>61</v>
      </c>
      <c r="P1167">
        <v>4</v>
      </c>
      <c r="Q1167" t="s">
        <v>48</v>
      </c>
      <c r="R1167">
        <v>5743</v>
      </c>
      <c r="S1167">
        <v>4</v>
      </c>
      <c r="T1167" t="s">
        <v>35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  <c r="AF1167">
        <f t="shared" si="234"/>
        <v>0</v>
      </c>
      <c r="AG1167">
        <f t="shared" si="235"/>
        <v>1</v>
      </c>
      <c r="AH1167" t="str">
        <f t="shared" si="236"/>
        <v>Doctor</v>
      </c>
      <c r="AI1167" t="str">
        <f t="shared" si="237"/>
        <v>Low</v>
      </c>
      <c r="AJ1167" t="str">
        <f t="shared" si="238"/>
        <v>High</v>
      </c>
      <c r="AK1167" t="str">
        <f t="shared" si="239"/>
        <v>Junior</v>
      </c>
      <c r="AL1167" t="str">
        <f t="shared" si="240"/>
        <v>Very High</v>
      </c>
      <c r="AM1167" t="str">
        <f t="shared" si="241"/>
        <v>High</v>
      </c>
      <c r="AN1167" t="str">
        <f t="shared" si="242"/>
        <v>No Options</v>
      </c>
      <c r="AO1167" t="str">
        <f t="shared" si="243"/>
        <v>Better</v>
      </c>
      <c r="AP1167" t="str">
        <f t="shared" si="244"/>
        <v>35-44</v>
      </c>
      <c r="AQ1167" t="str">
        <f t="shared" si="245"/>
        <v>Lower-Mid</v>
      </c>
      <c r="AR1167" t="str">
        <f t="shared" si="246"/>
        <v>6-10 Years</v>
      </c>
    </row>
    <row r="1168" spans="1:44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46</v>
      </c>
      <c r="L1168">
        <v>89</v>
      </c>
      <c r="M1168">
        <v>2</v>
      </c>
      <c r="N1168">
        <v>4</v>
      </c>
      <c r="O1168" t="s">
        <v>56</v>
      </c>
      <c r="P1168">
        <v>4</v>
      </c>
      <c r="Q1168" t="s">
        <v>48</v>
      </c>
      <c r="R1168">
        <v>15202</v>
      </c>
      <c r="S1168">
        <v>2</v>
      </c>
      <c r="T1168" t="s">
        <v>43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  <c r="AF1168">
        <f t="shared" si="234"/>
        <v>0</v>
      </c>
      <c r="AG1168">
        <f t="shared" si="235"/>
        <v>0</v>
      </c>
      <c r="AH1168" t="str">
        <f t="shared" si="236"/>
        <v>Doctor</v>
      </c>
      <c r="AI1168" t="str">
        <f t="shared" si="237"/>
        <v>High</v>
      </c>
      <c r="AJ1168" t="str">
        <f t="shared" si="238"/>
        <v>Medium</v>
      </c>
      <c r="AK1168" t="str">
        <f t="shared" si="239"/>
        <v>Senior</v>
      </c>
      <c r="AL1168" t="str">
        <f t="shared" si="240"/>
        <v>Very High</v>
      </c>
      <c r="AM1168" t="str">
        <f t="shared" si="241"/>
        <v>Medium</v>
      </c>
      <c r="AN1168" t="str">
        <f t="shared" si="242"/>
        <v>Low</v>
      </c>
      <c r="AO1168" t="str">
        <f t="shared" si="243"/>
        <v>Better</v>
      </c>
      <c r="AP1168" t="str">
        <f t="shared" si="244"/>
        <v>45-54</v>
      </c>
      <c r="AQ1168" t="str">
        <f t="shared" si="245"/>
        <v>High</v>
      </c>
      <c r="AR1168" t="str">
        <f t="shared" si="246"/>
        <v>0-2 Years</v>
      </c>
    </row>
    <row r="1169" spans="1:44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46</v>
      </c>
      <c r="L1169">
        <v>59</v>
      </c>
      <c r="M1169">
        <v>1</v>
      </c>
      <c r="N1169">
        <v>2</v>
      </c>
      <c r="O1169" t="s">
        <v>40</v>
      </c>
      <c r="P1169">
        <v>4</v>
      </c>
      <c r="Q1169" t="s">
        <v>52</v>
      </c>
      <c r="R1169">
        <v>5440</v>
      </c>
      <c r="S1169">
        <v>6</v>
      </c>
      <c r="T1169" t="s">
        <v>35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f t="shared" si="234"/>
        <v>1</v>
      </c>
      <c r="AG1169">
        <f t="shared" si="235"/>
        <v>1</v>
      </c>
      <c r="AH1169" t="str">
        <f t="shared" si="236"/>
        <v>College</v>
      </c>
      <c r="AI1169" t="str">
        <f t="shared" si="237"/>
        <v>Low</v>
      </c>
      <c r="AJ1169" t="str">
        <f t="shared" si="238"/>
        <v>Low</v>
      </c>
      <c r="AK1169" t="str">
        <f t="shared" si="239"/>
        <v>Junior</v>
      </c>
      <c r="AL1169" t="str">
        <f t="shared" si="240"/>
        <v>Very High</v>
      </c>
      <c r="AM1169" t="str">
        <f t="shared" si="241"/>
        <v>Very High</v>
      </c>
      <c r="AN1169" t="str">
        <f t="shared" si="242"/>
        <v>Medium</v>
      </c>
      <c r="AO1169" t="str">
        <f t="shared" si="243"/>
        <v>Good</v>
      </c>
      <c r="AP1169" t="str">
        <f t="shared" si="244"/>
        <v>35-44</v>
      </c>
      <c r="AQ1169" t="str">
        <f t="shared" si="245"/>
        <v>Lower-Mid</v>
      </c>
      <c r="AR1169" t="str">
        <f t="shared" si="246"/>
        <v>0-2 Years</v>
      </c>
    </row>
    <row r="1170" spans="1:44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t="s">
        <v>39</v>
      </c>
      <c r="L1170">
        <v>32</v>
      </c>
      <c r="M1170">
        <v>3</v>
      </c>
      <c r="N1170">
        <v>1</v>
      </c>
      <c r="O1170" t="s">
        <v>47</v>
      </c>
      <c r="P1170">
        <v>4</v>
      </c>
      <c r="Q1170" t="s">
        <v>41</v>
      </c>
      <c r="R1170">
        <v>3760</v>
      </c>
      <c r="S1170">
        <v>1</v>
      </c>
      <c r="T1170" t="s">
        <v>35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  <c r="AF1170">
        <f t="shared" si="234"/>
        <v>0</v>
      </c>
      <c r="AG1170">
        <f t="shared" si="235"/>
        <v>1</v>
      </c>
      <c r="AH1170" t="str">
        <f t="shared" si="236"/>
        <v>Below College</v>
      </c>
      <c r="AI1170" t="str">
        <f t="shared" si="237"/>
        <v>Low</v>
      </c>
      <c r="AJ1170" t="str">
        <f t="shared" si="238"/>
        <v>High</v>
      </c>
      <c r="AK1170" t="str">
        <f t="shared" si="239"/>
        <v>Entry</v>
      </c>
      <c r="AL1170" t="str">
        <f t="shared" si="240"/>
        <v>Very High</v>
      </c>
      <c r="AM1170" t="str">
        <f t="shared" si="241"/>
        <v>High</v>
      </c>
      <c r="AN1170" t="str">
        <f t="shared" si="242"/>
        <v>No Options</v>
      </c>
      <c r="AO1170" t="str">
        <f t="shared" si="243"/>
        <v>Better</v>
      </c>
      <c r="AP1170" t="str">
        <f t="shared" si="244"/>
        <v>Under 25</v>
      </c>
      <c r="AQ1170" t="str">
        <f t="shared" si="245"/>
        <v>Lower-Mid</v>
      </c>
      <c r="AR1170" t="str">
        <f t="shared" si="246"/>
        <v>6-10 Years</v>
      </c>
    </row>
    <row r="1171" spans="1:44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39</v>
      </c>
      <c r="L1171">
        <v>86</v>
      </c>
      <c r="M1171">
        <v>4</v>
      </c>
      <c r="N1171">
        <v>1</v>
      </c>
      <c r="O1171" t="s">
        <v>47</v>
      </c>
      <c r="P1171">
        <v>3</v>
      </c>
      <c r="Q1171" t="s">
        <v>48</v>
      </c>
      <c r="R1171">
        <v>3517</v>
      </c>
      <c r="S1171">
        <v>7</v>
      </c>
      <c r="T1171" t="s">
        <v>43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  <c r="AF1171">
        <f t="shared" si="234"/>
        <v>0</v>
      </c>
      <c r="AG1171">
        <f t="shared" si="235"/>
        <v>0</v>
      </c>
      <c r="AH1171" t="str">
        <f t="shared" si="236"/>
        <v>Bachelor</v>
      </c>
      <c r="AI1171" t="str">
        <f t="shared" si="237"/>
        <v>Medium</v>
      </c>
      <c r="AJ1171" t="str">
        <f t="shared" si="238"/>
        <v>Very High</v>
      </c>
      <c r="AK1171" t="str">
        <f t="shared" si="239"/>
        <v>Entry</v>
      </c>
      <c r="AL1171" t="str">
        <f t="shared" si="240"/>
        <v>High</v>
      </c>
      <c r="AM1171" t="str">
        <f t="shared" si="241"/>
        <v>Low</v>
      </c>
      <c r="AN1171" t="str">
        <f t="shared" si="242"/>
        <v>No Options</v>
      </c>
      <c r="AO1171" t="str">
        <f t="shared" si="243"/>
        <v>Better</v>
      </c>
      <c r="AP1171" t="str">
        <f t="shared" si="244"/>
        <v>25-34</v>
      </c>
      <c r="AQ1171" t="str">
        <f t="shared" si="245"/>
        <v>Lower-Mid</v>
      </c>
      <c r="AR1171" t="str">
        <f t="shared" si="246"/>
        <v>3-5 Years</v>
      </c>
    </row>
    <row r="1172" spans="1:44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46</v>
      </c>
      <c r="L1172">
        <v>87</v>
      </c>
      <c r="M1172">
        <v>3</v>
      </c>
      <c r="N1172">
        <v>1</v>
      </c>
      <c r="O1172" t="s">
        <v>47</v>
      </c>
      <c r="P1172">
        <v>4</v>
      </c>
      <c r="Q1172" t="s">
        <v>41</v>
      </c>
      <c r="R1172">
        <v>2580</v>
      </c>
      <c r="S1172">
        <v>2</v>
      </c>
      <c r="T1172" t="s">
        <v>43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  <c r="AF1172">
        <f t="shared" si="234"/>
        <v>0</v>
      </c>
      <c r="AG1172">
        <f t="shared" si="235"/>
        <v>0</v>
      </c>
      <c r="AH1172" t="str">
        <f t="shared" si="236"/>
        <v>Bachelor</v>
      </c>
      <c r="AI1172" t="str">
        <f t="shared" si="237"/>
        <v>Very High</v>
      </c>
      <c r="AJ1172" t="str">
        <f t="shared" si="238"/>
        <v>High</v>
      </c>
      <c r="AK1172" t="str">
        <f t="shared" si="239"/>
        <v>Entry</v>
      </c>
      <c r="AL1172" t="str">
        <f t="shared" si="240"/>
        <v>Very High</v>
      </c>
      <c r="AM1172" t="str">
        <f t="shared" si="241"/>
        <v>High</v>
      </c>
      <c r="AN1172" t="str">
        <f t="shared" si="242"/>
        <v>No Options</v>
      </c>
      <c r="AO1172" t="str">
        <f t="shared" si="243"/>
        <v>Good</v>
      </c>
      <c r="AP1172" t="str">
        <f t="shared" si="244"/>
        <v>25-34</v>
      </c>
      <c r="AQ1172" t="str">
        <f t="shared" si="245"/>
        <v>Low</v>
      </c>
      <c r="AR1172" t="str">
        <f t="shared" si="246"/>
        <v>3-5 Years</v>
      </c>
    </row>
    <row r="1173" spans="1:44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46</v>
      </c>
      <c r="L1173">
        <v>73</v>
      </c>
      <c r="M1173">
        <v>3</v>
      </c>
      <c r="N1173">
        <v>1</v>
      </c>
      <c r="O1173" t="s">
        <v>50</v>
      </c>
      <c r="P1173">
        <v>1</v>
      </c>
      <c r="Q1173" t="s">
        <v>41</v>
      </c>
      <c r="R1173">
        <v>2166</v>
      </c>
      <c r="S1173">
        <v>3</v>
      </c>
      <c r="T1173" t="s">
        <v>35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  <c r="AF1173">
        <f t="shared" si="234"/>
        <v>1</v>
      </c>
      <c r="AG1173">
        <f t="shared" si="235"/>
        <v>1</v>
      </c>
      <c r="AH1173" t="str">
        <f t="shared" si="236"/>
        <v>Bachelor</v>
      </c>
      <c r="AI1173" t="str">
        <f t="shared" si="237"/>
        <v>Low</v>
      </c>
      <c r="AJ1173" t="str">
        <f t="shared" si="238"/>
        <v>High</v>
      </c>
      <c r="AK1173" t="str">
        <f t="shared" si="239"/>
        <v>Entry</v>
      </c>
      <c r="AL1173" t="str">
        <f t="shared" si="240"/>
        <v>Low</v>
      </c>
      <c r="AM1173" t="str">
        <f t="shared" si="241"/>
        <v>Medium</v>
      </c>
      <c r="AN1173" t="str">
        <f t="shared" si="242"/>
        <v>No Options</v>
      </c>
      <c r="AO1173" t="str">
        <f t="shared" si="243"/>
        <v>Bad</v>
      </c>
      <c r="AP1173" t="str">
        <f t="shared" si="244"/>
        <v>35-44</v>
      </c>
      <c r="AQ1173" t="str">
        <f t="shared" si="245"/>
        <v>Low</v>
      </c>
      <c r="AR1173" t="str">
        <f t="shared" si="246"/>
        <v>3-5 Years</v>
      </c>
    </row>
    <row r="1174" spans="1:44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46</v>
      </c>
      <c r="L1174">
        <v>42</v>
      </c>
      <c r="M1174">
        <v>2</v>
      </c>
      <c r="N1174">
        <v>2</v>
      </c>
      <c r="O1174" t="s">
        <v>40</v>
      </c>
      <c r="P1174">
        <v>3</v>
      </c>
      <c r="Q1174" t="s">
        <v>41</v>
      </c>
      <c r="R1174">
        <v>5869</v>
      </c>
      <c r="S1174">
        <v>9</v>
      </c>
      <c r="T1174" t="s">
        <v>43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  <c r="AF1174">
        <f t="shared" si="234"/>
        <v>0</v>
      </c>
      <c r="AG1174">
        <f t="shared" si="235"/>
        <v>0</v>
      </c>
      <c r="AH1174" t="str">
        <f t="shared" si="236"/>
        <v>Bachelor</v>
      </c>
      <c r="AI1174" t="str">
        <f t="shared" si="237"/>
        <v>High</v>
      </c>
      <c r="AJ1174" t="str">
        <f t="shared" si="238"/>
        <v>Medium</v>
      </c>
      <c r="AK1174" t="str">
        <f t="shared" si="239"/>
        <v>Junior</v>
      </c>
      <c r="AL1174" t="str">
        <f t="shared" si="240"/>
        <v>High</v>
      </c>
      <c r="AM1174" t="str">
        <f t="shared" si="241"/>
        <v>High</v>
      </c>
      <c r="AN1174" t="str">
        <f t="shared" si="242"/>
        <v>No Options</v>
      </c>
      <c r="AO1174" t="str">
        <f t="shared" si="243"/>
        <v>Better</v>
      </c>
      <c r="AP1174" t="str">
        <f t="shared" si="244"/>
        <v>25-34</v>
      </c>
      <c r="AQ1174" t="str">
        <f t="shared" si="245"/>
        <v>Lower-Mid</v>
      </c>
      <c r="AR1174" t="str">
        <f t="shared" si="246"/>
        <v>3-5 Years</v>
      </c>
    </row>
    <row r="1175" spans="1:44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42</v>
      </c>
      <c r="M1175">
        <v>3</v>
      </c>
      <c r="N1175">
        <v>3</v>
      </c>
      <c r="O1175" t="s">
        <v>54</v>
      </c>
      <c r="P1175">
        <v>1</v>
      </c>
      <c r="Q1175" t="s">
        <v>48</v>
      </c>
      <c r="R1175">
        <v>8008</v>
      </c>
      <c r="S1175">
        <v>4</v>
      </c>
      <c r="T1175" t="s">
        <v>43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  <c r="AF1175">
        <f t="shared" si="234"/>
        <v>0</v>
      </c>
      <c r="AG1175">
        <f t="shared" si="235"/>
        <v>0</v>
      </c>
      <c r="AH1175" t="str">
        <f t="shared" si="236"/>
        <v>Master</v>
      </c>
      <c r="AI1175" t="str">
        <f t="shared" si="237"/>
        <v>Medium</v>
      </c>
      <c r="AJ1175" t="str">
        <f t="shared" si="238"/>
        <v>High</v>
      </c>
      <c r="AK1175" t="str">
        <f t="shared" si="239"/>
        <v>Mid-Level</v>
      </c>
      <c r="AL1175" t="str">
        <f t="shared" si="240"/>
        <v>Low</v>
      </c>
      <c r="AM1175" t="str">
        <f t="shared" si="241"/>
        <v>High</v>
      </c>
      <c r="AN1175" t="str">
        <f t="shared" si="242"/>
        <v>Medium</v>
      </c>
      <c r="AO1175" t="str">
        <f t="shared" si="243"/>
        <v>Better</v>
      </c>
      <c r="AP1175" t="str">
        <f t="shared" si="244"/>
        <v>35-44</v>
      </c>
      <c r="AQ1175" t="str">
        <f t="shared" si="245"/>
        <v>Upper-Mid</v>
      </c>
      <c r="AR1175" t="str">
        <f t="shared" si="246"/>
        <v>3-5 Years</v>
      </c>
    </row>
    <row r="1176" spans="1:44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46</v>
      </c>
      <c r="L1176">
        <v>77</v>
      </c>
      <c r="M1176">
        <v>4</v>
      </c>
      <c r="N1176">
        <v>2</v>
      </c>
      <c r="O1176" t="s">
        <v>53</v>
      </c>
      <c r="P1176">
        <v>3</v>
      </c>
      <c r="Q1176" t="s">
        <v>52</v>
      </c>
      <c r="R1176">
        <v>5206</v>
      </c>
      <c r="S1176">
        <v>1</v>
      </c>
      <c r="T1176" t="s">
        <v>43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  <c r="AF1176">
        <f t="shared" si="234"/>
        <v>0</v>
      </c>
      <c r="AG1176">
        <f t="shared" si="235"/>
        <v>0</v>
      </c>
      <c r="AH1176" t="str">
        <f t="shared" si="236"/>
        <v>Below College</v>
      </c>
      <c r="AI1176" t="str">
        <f t="shared" si="237"/>
        <v>Very High</v>
      </c>
      <c r="AJ1176" t="str">
        <f t="shared" si="238"/>
        <v>Very High</v>
      </c>
      <c r="AK1176" t="str">
        <f t="shared" si="239"/>
        <v>Junior</v>
      </c>
      <c r="AL1176" t="str">
        <f t="shared" si="240"/>
        <v>High</v>
      </c>
      <c r="AM1176" t="str">
        <f t="shared" si="241"/>
        <v>High</v>
      </c>
      <c r="AN1176" t="str">
        <f t="shared" si="242"/>
        <v>Medium</v>
      </c>
      <c r="AO1176" t="str">
        <f t="shared" si="243"/>
        <v>Better</v>
      </c>
      <c r="AP1176" t="str">
        <f t="shared" si="244"/>
        <v>25-34</v>
      </c>
      <c r="AQ1176" t="str">
        <f t="shared" si="245"/>
        <v>Lower-Mid</v>
      </c>
      <c r="AR1176" t="str">
        <f t="shared" si="246"/>
        <v>6-10 Years</v>
      </c>
    </row>
    <row r="1177" spans="1:44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46</v>
      </c>
      <c r="L1177">
        <v>66</v>
      </c>
      <c r="M1177">
        <v>3</v>
      </c>
      <c r="N1177">
        <v>2</v>
      </c>
      <c r="O1177" t="s">
        <v>53</v>
      </c>
      <c r="P1177">
        <v>2</v>
      </c>
      <c r="Q1177" t="s">
        <v>48</v>
      </c>
      <c r="R1177">
        <v>5295</v>
      </c>
      <c r="S1177">
        <v>4</v>
      </c>
      <c r="T1177" t="s">
        <v>43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  <c r="AF1177">
        <f t="shared" si="234"/>
        <v>0</v>
      </c>
      <c r="AG1177">
        <f t="shared" si="235"/>
        <v>0</v>
      </c>
      <c r="AH1177" t="str">
        <f t="shared" si="236"/>
        <v>Bachelor</v>
      </c>
      <c r="AI1177" t="str">
        <f t="shared" si="237"/>
        <v>Very High</v>
      </c>
      <c r="AJ1177" t="str">
        <f t="shared" si="238"/>
        <v>High</v>
      </c>
      <c r="AK1177" t="str">
        <f t="shared" si="239"/>
        <v>Junior</v>
      </c>
      <c r="AL1177" t="str">
        <f t="shared" si="240"/>
        <v>Medium</v>
      </c>
      <c r="AM1177" t="str">
        <f t="shared" si="241"/>
        <v>High</v>
      </c>
      <c r="AN1177" t="str">
        <f t="shared" si="242"/>
        <v>No Options</v>
      </c>
      <c r="AO1177" t="str">
        <f t="shared" si="243"/>
        <v>Better</v>
      </c>
      <c r="AP1177" t="str">
        <f t="shared" si="244"/>
        <v>35-44</v>
      </c>
      <c r="AQ1177" t="str">
        <f t="shared" si="245"/>
        <v>Lower-Mid</v>
      </c>
      <c r="AR1177" t="str">
        <f t="shared" si="246"/>
        <v>3-5 Years</v>
      </c>
    </row>
    <row r="1178" spans="1:44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39</v>
      </c>
      <c r="L1178">
        <v>72</v>
      </c>
      <c r="M1178">
        <v>3</v>
      </c>
      <c r="N1178">
        <v>4</v>
      </c>
      <c r="O1178" t="s">
        <v>58</v>
      </c>
      <c r="P1178">
        <v>2</v>
      </c>
      <c r="Q1178" t="s">
        <v>48</v>
      </c>
      <c r="R1178">
        <v>16413</v>
      </c>
      <c r="S1178">
        <v>3</v>
      </c>
      <c r="T1178" t="s">
        <v>43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  <c r="AF1178">
        <f t="shared" si="234"/>
        <v>0</v>
      </c>
      <c r="AG1178">
        <f t="shared" si="235"/>
        <v>0</v>
      </c>
      <c r="AH1178" t="str">
        <f t="shared" si="236"/>
        <v>Master</v>
      </c>
      <c r="AI1178" t="str">
        <f t="shared" si="237"/>
        <v>Low</v>
      </c>
      <c r="AJ1178" t="str">
        <f t="shared" si="238"/>
        <v>High</v>
      </c>
      <c r="AK1178" t="str">
        <f t="shared" si="239"/>
        <v>Senior</v>
      </c>
      <c r="AL1178" t="str">
        <f t="shared" si="240"/>
        <v>Medium</v>
      </c>
      <c r="AM1178" t="str">
        <f t="shared" si="241"/>
        <v>Medium</v>
      </c>
      <c r="AN1178" t="str">
        <f t="shared" si="242"/>
        <v>Medium</v>
      </c>
      <c r="AO1178" t="str">
        <f t="shared" si="243"/>
        <v>Better</v>
      </c>
      <c r="AP1178" t="str">
        <f t="shared" si="244"/>
        <v>45-54</v>
      </c>
      <c r="AQ1178" t="str">
        <f t="shared" si="245"/>
        <v>High</v>
      </c>
      <c r="AR1178" t="str">
        <f t="shared" si="246"/>
        <v>3-5 Years</v>
      </c>
    </row>
    <row r="1179" spans="1:44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50</v>
      </c>
      <c r="M1179">
        <v>2</v>
      </c>
      <c r="N1179">
        <v>3</v>
      </c>
      <c r="O1179" t="s">
        <v>58</v>
      </c>
      <c r="P1179">
        <v>1</v>
      </c>
      <c r="Q1179" t="s">
        <v>52</v>
      </c>
      <c r="R1179">
        <v>13269</v>
      </c>
      <c r="S1179">
        <v>5</v>
      </c>
      <c r="T1179" t="s">
        <v>43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  <c r="AF1179">
        <f t="shared" si="234"/>
        <v>0</v>
      </c>
      <c r="AG1179">
        <f t="shared" si="235"/>
        <v>0</v>
      </c>
      <c r="AH1179" t="str">
        <f t="shared" si="236"/>
        <v>Doctor</v>
      </c>
      <c r="AI1179" t="str">
        <f t="shared" si="237"/>
        <v>Very High</v>
      </c>
      <c r="AJ1179" t="str">
        <f t="shared" si="238"/>
        <v>Medium</v>
      </c>
      <c r="AK1179" t="str">
        <f t="shared" si="239"/>
        <v>Mid-Level</v>
      </c>
      <c r="AL1179" t="str">
        <f t="shared" si="240"/>
        <v>Low</v>
      </c>
      <c r="AM1179" t="str">
        <f t="shared" si="241"/>
        <v>High</v>
      </c>
      <c r="AN1179" t="str">
        <f t="shared" si="242"/>
        <v>High</v>
      </c>
      <c r="AO1179" t="str">
        <f t="shared" si="243"/>
        <v>Better</v>
      </c>
      <c r="AP1179" t="str">
        <f t="shared" si="244"/>
        <v>45-54</v>
      </c>
      <c r="AQ1179" t="str">
        <f t="shared" si="245"/>
        <v>High</v>
      </c>
      <c r="AR1179" t="str">
        <f t="shared" si="246"/>
        <v>11-20 Years</v>
      </c>
    </row>
    <row r="1180" spans="1:44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39</v>
      </c>
      <c r="L1180">
        <v>31</v>
      </c>
      <c r="M1180">
        <v>3</v>
      </c>
      <c r="N1180">
        <v>1</v>
      </c>
      <c r="O1180" t="s">
        <v>57</v>
      </c>
      <c r="P1180">
        <v>3</v>
      </c>
      <c r="Q1180" t="s">
        <v>41</v>
      </c>
      <c r="R1180">
        <v>2783</v>
      </c>
      <c r="S1180">
        <v>1</v>
      </c>
      <c r="T1180" t="s">
        <v>43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  <c r="AF1180">
        <f t="shared" si="234"/>
        <v>0</v>
      </c>
      <c r="AG1180">
        <f t="shared" si="235"/>
        <v>0</v>
      </c>
      <c r="AH1180" t="str">
        <f t="shared" si="236"/>
        <v>Bachelor</v>
      </c>
      <c r="AI1180" t="str">
        <f t="shared" si="237"/>
        <v>High</v>
      </c>
      <c r="AJ1180" t="str">
        <f t="shared" si="238"/>
        <v>High</v>
      </c>
      <c r="AK1180" t="str">
        <f t="shared" si="239"/>
        <v>Entry</v>
      </c>
      <c r="AL1180" t="str">
        <f t="shared" si="240"/>
        <v>High</v>
      </c>
      <c r="AM1180" t="str">
        <f t="shared" si="241"/>
        <v>Low</v>
      </c>
      <c r="AN1180" t="str">
        <f t="shared" si="242"/>
        <v>No Options</v>
      </c>
      <c r="AO1180" t="str">
        <f t="shared" si="243"/>
        <v>Better</v>
      </c>
      <c r="AP1180" t="str">
        <f t="shared" si="244"/>
        <v>Under 25</v>
      </c>
      <c r="AQ1180" t="str">
        <f t="shared" si="245"/>
        <v>Low</v>
      </c>
      <c r="AR1180" t="str">
        <f t="shared" si="246"/>
        <v>0-2 Years</v>
      </c>
    </row>
    <row r="1181" spans="1:44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66</v>
      </c>
      <c r="M1181">
        <v>3</v>
      </c>
      <c r="N1181">
        <v>2</v>
      </c>
      <c r="O1181" t="s">
        <v>47</v>
      </c>
      <c r="P1181">
        <v>2</v>
      </c>
      <c r="Q1181" t="s">
        <v>52</v>
      </c>
      <c r="R1181">
        <v>5433</v>
      </c>
      <c r="S1181">
        <v>1</v>
      </c>
      <c r="T1181" t="s">
        <v>43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  <c r="AF1181">
        <f t="shared" si="234"/>
        <v>0</v>
      </c>
      <c r="AG1181">
        <f t="shared" si="235"/>
        <v>0</v>
      </c>
      <c r="AH1181" t="str">
        <f t="shared" si="236"/>
        <v>Bachelor</v>
      </c>
      <c r="AI1181" t="str">
        <f t="shared" si="237"/>
        <v>Very High</v>
      </c>
      <c r="AJ1181" t="str">
        <f t="shared" si="238"/>
        <v>High</v>
      </c>
      <c r="AK1181" t="str">
        <f t="shared" si="239"/>
        <v>Junior</v>
      </c>
      <c r="AL1181" t="str">
        <f t="shared" si="240"/>
        <v>Medium</v>
      </c>
      <c r="AM1181" t="str">
        <f t="shared" si="241"/>
        <v>High</v>
      </c>
      <c r="AN1181" t="str">
        <f t="shared" si="242"/>
        <v>Low</v>
      </c>
      <c r="AO1181" t="str">
        <f t="shared" si="243"/>
        <v>Better</v>
      </c>
      <c r="AP1181" t="str">
        <f t="shared" si="244"/>
        <v>25-34</v>
      </c>
      <c r="AQ1181" t="str">
        <f t="shared" si="245"/>
        <v>Lower-Mid</v>
      </c>
      <c r="AR1181" t="str">
        <f t="shared" si="246"/>
        <v>11-20 Years</v>
      </c>
    </row>
    <row r="1182" spans="1:44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46</v>
      </c>
      <c r="L1182">
        <v>77</v>
      </c>
      <c r="M1182">
        <v>3</v>
      </c>
      <c r="N1182">
        <v>1</v>
      </c>
      <c r="O1182" t="s">
        <v>50</v>
      </c>
      <c r="P1182">
        <v>2</v>
      </c>
      <c r="Q1182" t="s">
        <v>41</v>
      </c>
      <c r="R1182">
        <v>2013</v>
      </c>
      <c r="S1182">
        <v>2</v>
      </c>
      <c r="T1182" t="s">
        <v>43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  <c r="AF1182">
        <f t="shared" si="234"/>
        <v>0</v>
      </c>
      <c r="AG1182">
        <f t="shared" si="235"/>
        <v>0</v>
      </c>
      <c r="AH1182" t="str">
        <f t="shared" si="236"/>
        <v>Bachelor</v>
      </c>
      <c r="AI1182" t="str">
        <f t="shared" si="237"/>
        <v>Low</v>
      </c>
      <c r="AJ1182" t="str">
        <f t="shared" si="238"/>
        <v>High</v>
      </c>
      <c r="AK1182" t="str">
        <f t="shared" si="239"/>
        <v>Entry</v>
      </c>
      <c r="AL1182" t="str">
        <f t="shared" si="240"/>
        <v>Medium</v>
      </c>
      <c r="AM1182" t="str">
        <f t="shared" si="241"/>
        <v>High</v>
      </c>
      <c r="AN1182" t="str">
        <f t="shared" si="242"/>
        <v>No Options</v>
      </c>
      <c r="AO1182" t="str">
        <f t="shared" si="243"/>
        <v>Better</v>
      </c>
      <c r="AP1182" t="str">
        <f t="shared" si="244"/>
        <v>35-44</v>
      </c>
      <c r="AQ1182" t="str">
        <f t="shared" si="245"/>
        <v>Low</v>
      </c>
      <c r="AR1182" t="str">
        <f t="shared" si="246"/>
        <v>3-5 Years</v>
      </c>
    </row>
    <row r="1183" spans="1:44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41</v>
      </c>
      <c r="M1183">
        <v>2</v>
      </c>
      <c r="N1183">
        <v>4</v>
      </c>
      <c r="O1183" t="s">
        <v>54</v>
      </c>
      <c r="P1183">
        <v>3</v>
      </c>
      <c r="Q1183" t="s">
        <v>48</v>
      </c>
      <c r="R1183">
        <v>13966</v>
      </c>
      <c r="S1183">
        <v>2</v>
      </c>
      <c r="T1183" t="s">
        <v>35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  <c r="AF1183">
        <f t="shared" si="234"/>
        <v>0</v>
      </c>
      <c r="AG1183">
        <f t="shared" si="235"/>
        <v>1</v>
      </c>
      <c r="AH1183" t="str">
        <f t="shared" si="236"/>
        <v>Below College</v>
      </c>
      <c r="AI1183" t="str">
        <f t="shared" si="237"/>
        <v>High</v>
      </c>
      <c r="AJ1183" t="str">
        <f t="shared" si="238"/>
        <v>Medium</v>
      </c>
      <c r="AK1183" t="str">
        <f t="shared" si="239"/>
        <v>Senior</v>
      </c>
      <c r="AL1183" t="str">
        <f t="shared" si="240"/>
        <v>High</v>
      </c>
      <c r="AM1183" t="str">
        <f t="shared" si="241"/>
        <v>Medium</v>
      </c>
      <c r="AN1183" t="str">
        <f t="shared" si="242"/>
        <v>Low</v>
      </c>
      <c r="AO1183" t="str">
        <f t="shared" si="243"/>
        <v>Better</v>
      </c>
      <c r="AP1183" t="str">
        <f t="shared" si="244"/>
        <v>45-54</v>
      </c>
      <c r="AQ1183" t="str">
        <f t="shared" si="245"/>
        <v>High</v>
      </c>
      <c r="AR1183" t="str">
        <f t="shared" si="246"/>
        <v>11-20 Years</v>
      </c>
    </row>
    <row r="1184" spans="1:44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39</v>
      </c>
      <c r="L1184">
        <v>33</v>
      </c>
      <c r="M1184">
        <v>2</v>
      </c>
      <c r="N1184">
        <v>2</v>
      </c>
      <c r="O1184" t="s">
        <v>53</v>
      </c>
      <c r="P1184">
        <v>3</v>
      </c>
      <c r="Q1184" t="s">
        <v>48</v>
      </c>
      <c r="R1184">
        <v>4374</v>
      </c>
      <c r="S1184">
        <v>0</v>
      </c>
      <c r="T1184" t="s">
        <v>43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  <c r="AF1184">
        <f t="shared" si="234"/>
        <v>0</v>
      </c>
      <c r="AG1184">
        <f t="shared" si="235"/>
        <v>0</v>
      </c>
      <c r="AH1184" t="str">
        <f t="shared" si="236"/>
        <v>Master</v>
      </c>
      <c r="AI1184" t="str">
        <f t="shared" si="237"/>
        <v>Very High</v>
      </c>
      <c r="AJ1184" t="str">
        <f t="shared" si="238"/>
        <v>Medium</v>
      </c>
      <c r="AK1184" t="str">
        <f t="shared" si="239"/>
        <v>Junior</v>
      </c>
      <c r="AL1184" t="str">
        <f t="shared" si="240"/>
        <v>High</v>
      </c>
      <c r="AM1184" t="str">
        <f t="shared" si="241"/>
        <v>High</v>
      </c>
      <c r="AN1184" t="str">
        <f t="shared" si="242"/>
        <v>No Options</v>
      </c>
      <c r="AO1184" t="str">
        <f t="shared" si="243"/>
        <v>Better</v>
      </c>
      <c r="AP1184" t="str">
        <f t="shared" si="244"/>
        <v>35-44</v>
      </c>
      <c r="AQ1184" t="str">
        <f t="shared" si="245"/>
        <v>Lower-Mid</v>
      </c>
      <c r="AR1184" t="str">
        <f t="shared" si="246"/>
        <v>3-5 Years</v>
      </c>
    </row>
    <row r="1185" spans="1:44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46</v>
      </c>
      <c r="L1185">
        <v>79</v>
      </c>
      <c r="M1185">
        <v>4</v>
      </c>
      <c r="N1185">
        <v>2</v>
      </c>
      <c r="O1185" t="s">
        <v>54</v>
      </c>
      <c r="P1185">
        <v>1</v>
      </c>
      <c r="Q1185" t="s">
        <v>52</v>
      </c>
      <c r="R1185">
        <v>6842</v>
      </c>
      <c r="S1185">
        <v>6</v>
      </c>
      <c r="T1185" t="s">
        <v>43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  <c r="AF1185">
        <f t="shared" si="234"/>
        <v>0</v>
      </c>
      <c r="AG1185">
        <f t="shared" si="235"/>
        <v>0</v>
      </c>
      <c r="AH1185" t="str">
        <f t="shared" si="236"/>
        <v>College</v>
      </c>
      <c r="AI1185" t="str">
        <f t="shared" si="237"/>
        <v>Very High</v>
      </c>
      <c r="AJ1185" t="str">
        <f t="shared" si="238"/>
        <v>Very High</v>
      </c>
      <c r="AK1185" t="str">
        <f t="shared" si="239"/>
        <v>Junior</v>
      </c>
      <c r="AL1185" t="str">
        <f t="shared" si="240"/>
        <v>Low</v>
      </c>
      <c r="AM1185" t="str">
        <f t="shared" si="241"/>
        <v>Low</v>
      </c>
      <c r="AN1185" t="str">
        <f t="shared" si="242"/>
        <v>Low</v>
      </c>
      <c r="AO1185" t="str">
        <f t="shared" si="243"/>
        <v>Better</v>
      </c>
      <c r="AP1185" t="str">
        <f t="shared" si="244"/>
        <v>35-44</v>
      </c>
      <c r="AQ1185" t="str">
        <f t="shared" si="245"/>
        <v>Lower-Mid</v>
      </c>
      <c r="AR1185" t="str">
        <f t="shared" si="246"/>
        <v>3-5 Years</v>
      </c>
    </row>
    <row r="1186" spans="1:44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39</v>
      </c>
      <c r="L1186">
        <v>91</v>
      </c>
      <c r="M1186">
        <v>3</v>
      </c>
      <c r="N1186">
        <v>4</v>
      </c>
      <c r="O1186" t="s">
        <v>56</v>
      </c>
      <c r="P1186">
        <v>3</v>
      </c>
      <c r="Q1186" t="s">
        <v>48</v>
      </c>
      <c r="R1186">
        <v>17426</v>
      </c>
      <c r="S1186">
        <v>3</v>
      </c>
      <c r="T1186" t="s">
        <v>43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  <c r="AF1186">
        <f t="shared" si="234"/>
        <v>0</v>
      </c>
      <c r="AG1186">
        <f t="shared" si="235"/>
        <v>0</v>
      </c>
      <c r="AH1186" t="str">
        <f t="shared" si="236"/>
        <v>Doctor</v>
      </c>
      <c r="AI1186" t="str">
        <f t="shared" si="237"/>
        <v>Medium</v>
      </c>
      <c r="AJ1186" t="str">
        <f t="shared" si="238"/>
        <v>High</v>
      </c>
      <c r="AK1186" t="str">
        <f t="shared" si="239"/>
        <v>Senior</v>
      </c>
      <c r="AL1186" t="str">
        <f t="shared" si="240"/>
        <v>High</v>
      </c>
      <c r="AM1186" t="str">
        <f t="shared" si="241"/>
        <v>High</v>
      </c>
      <c r="AN1186" t="str">
        <f t="shared" si="242"/>
        <v>Low</v>
      </c>
      <c r="AO1186" t="str">
        <f t="shared" si="243"/>
        <v>Better</v>
      </c>
      <c r="AP1186" t="str">
        <f t="shared" si="244"/>
        <v>45-54</v>
      </c>
      <c r="AQ1186" t="str">
        <f t="shared" si="245"/>
        <v>High</v>
      </c>
      <c r="AR1186" t="str">
        <f t="shared" si="246"/>
        <v>6-10 Years</v>
      </c>
    </row>
    <row r="1187" spans="1:44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46</v>
      </c>
      <c r="L1187">
        <v>65</v>
      </c>
      <c r="M1187">
        <v>2</v>
      </c>
      <c r="N1187">
        <v>4</v>
      </c>
      <c r="O1187" t="s">
        <v>58</v>
      </c>
      <c r="P1187">
        <v>3</v>
      </c>
      <c r="Q1187" t="s">
        <v>48</v>
      </c>
      <c r="R1187">
        <v>17603</v>
      </c>
      <c r="S1187">
        <v>1</v>
      </c>
      <c r="T1187" t="s">
        <v>43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  <c r="AF1187">
        <f t="shared" si="234"/>
        <v>0</v>
      </c>
      <c r="AG1187">
        <f t="shared" si="235"/>
        <v>0</v>
      </c>
      <c r="AH1187" t="str">
        <f t="shared" si="236"/>
        <v>College</v>
      </c>
      <c r="AI1187" t="str">
        <f t="shared" si="237"/>
        <v>High</v>
      </c>
      <c r="AJ1187" t="str">
        <f t="shared" si="238"/>
        <v>Medium</v>
      </c>
      <c r="AK1187" t="str">
        <f t="shared" si="239"/>
        <v>Senior</v>
      </c>
      <c r="AL1187" t="str">
        <f t="shared" si="240"/>
        <v>High</v>
      </c>
      <c r="AM1187" t="str">
        <f t="shared" si="241"/>
        <v>Low</v>
      </c>
      <c r="AN1187" t="str">
        <f t="shared" si="242"/>
        <v>Low</v>
      </c>
      <c r="AO1187" t="str">
        <f t="shared" si="243"/>
        <v>Better</v>
      </c>
      <c r="AP1187" t="str">
        <f t="shared" si="244"/>
        <v>35-44</v>
      </c>
      <c r="AQ1187" t="str">
        <f t="shared" si="245"/>
        <v>High</v>
      </c>
      <c r="AR1187" t="str">
        <f t="shared" si="246"/>
        <v>11-20 Years</v>
      </c>
    </row>
    <row r="1188" spans="1:44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36</v>
      </c>
      <c r="M1188">
        <v>3</v>
      </c>
      <c r="N1188">
        <v>2</v>
      </c>
      <c r="O1188" t="s">
        <v>40</v>
      </c>
      <c r="P1188">
        <v>4</v>
      </c>
      <c r="Q1188" t="s">
        <v>41</v>
      </c>
      <c r="R1188">
        <v>4581</v>
      </c>
      <c r="S1188">
        <v>3</v>
      </c>
      <c r="T1188" t="s">
        <v>35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  <c r="AF1188">
        <f t="shared" si="234"/>
        <v>1</v>
      </c>
      <c r="AG1188">
        <f t="shared" si="235"/>
        <v>1</v>
      </c>
      <c r="AH1188" t="str">
        <f t="shared" si="236"/>
        <v>Master</v>
      </c>
      <c r="AI1188" t="str">
        <f t="shared" si="237"/>
        <v>Very High</v>
      </c>
      <c r="AJ1188" t="str">
        <f t="shared" si="238"/>
        <v>High</v>
      </c>
      <c r="AK1188" t="str">
        <f t="shared" si="239"/>
        <v>Junior</v>
      </c>
      <c r="AL1188" t="str">
        <f t="shared" si="240"/>
        <v>Very High</v>
      </c>
      <c r="AM1188" t="str">
        <f t="shared" si="241"/>
        <v>Low</v>
      </c>
      <c r="AN1188" t="str">
        <f t="shared" si="242"/>
        <v>No Options</v>
      </c>
      <c r="AO1188" t="str">
        <f t="shared" si="243"/>
        <v>Best</v>
      </c>
      <c r="AP1188" t="str">
        <f t="shared" si="244"/>
        <v>35-44</v>
      </c>
      <c r="AQ1188" t="str">
        <f t="shared" si="245"/>
        <v>Lower-Mid</v>
      </c>
      <c r="AR1188" t="str">
        <f t="shared" si="246"/>
        <v>11-20 Years</v>
      </c>
    </row>
    <row r="1189" spans="1:44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46</v>
      </c>
      <c r="L1189">
        <v>90</v>
      </c>
      <c r="M1189">
        <v>3</v>
      </c>
      <c r="N1189">
        <v>2</v>
      </c>
      <c r="O1189" t="s">
        <v>47</v>
      </c>
      <c r="P1189">
        <v>4</v>
      </c>
      <c r="Q1189" t="s">
        <v>48</v>
      </c>
      <c r="R1189">
        <v>4735</v>
      </c>
      <c r="S1189">
        <v>7</v>
      </c>
      <c r="T1189" t="s">
        <v>43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  <c r="AF1189">
        <f t="shared" si="234"/>
        <v>0</v>
      </c>
      <c r="AG1189">
        <f t="shared" si="235"/>
        <v>0</v>
      </c>
      <c r="AH1189" t="str">
        <f t="shared" si="236"/>
        <v>Bachelor</v>
      </c>
      <c r="AI1189" t="str">
        <f t="shared" si="237"/>
        <v>Very High</v>
      </c>
      <c r="AJ1189" t="str">
        <f t="shared" si="238"/>
        <v>High</v>
      </c>
      <c r="AK1189" t="str">
        <f t="shared" si="239"/>
        <v>Junior</v>
      </c>
      <c r="AL1189" t="str">
        <f t="shared" si="240"/>
        <v>Very High</v>
      </c>
      <c r="AM1189" t="str">
        <f t="shared" si="241"/>
        <v>Very High</v>
      </c>
      <c r="AN1189" t="str">
        <f t="shared" si="242"/>
        <v>Medium</v>
      </c>
      <c r="AO1189" t="str">
        <f t="shared" si="243"/>
        <v>Best</v>
      </c>
      <c r="AP1189" t="str">
        <f t="shared" si="244"/>
        <v>35-44</v>
      </c>
      <c r="AQ1189" t="str">
        <f t="shared" si="245"/>
        <v>Lower-Mid</v>
      </c>
      <c r="AR1189" t="str">
        <f t="shared" si="246"/>
        <v>11-20 Years</v>
      </c>
    </row>
    <row r="1190" spans="1:44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46</v>
      </c>
      <c r="L1190">
        <v>43</v>
      </c>
      <c r="M1190">
        <v>2</v>
      </c>
      <c r="N1190">
        <v>2</v>
      </c>
      <c r="O1190" t="s">
        <v>40</v>
      </c>
      <c r="P1190">
        <v>2</v>
      </c>
      <c r="Q1190" t="s">
        <v>52</v>
      </c>
      <c r="R1190">
        <v>4187</v>
      </c>
      <c r="S1190">
        <v>1</v>
      </c>
      <c r="T1190" t="s">
        <v>35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  <c r="AF1190">
        <f t="shared" si="234"/>
        <v>0</v>
      </c>
      <c r="AG1190">
        <f t="shared" si="235"/>
        <v>1</v>
      </c>
      <c r="AH1190" t="str">
        <f t="shared" si="236"/>
        <v>Bachelor</v>
      </c>
      <c r="AI1190" t="str">
        <f t="shared" si="237"/>
        <v>Low</v>
      </c>
      <c r="AJ1190" t="str">
        <f t="shared" si="238"/>
        <v>Medium</v>
      </c>
      <c r="AK1190" t="str">
        <f t="shared" si="239"/>
        <v>Junior</v>
      </c>
      <c r="AL1190" t="str">
        <f t="shared" si="240"/>
        <v>Medium</v>
      </c>
      <c r="AM1190" t="str">
        <f t="shared" si="241"/>
        <v>Medium</v>
      </c>
      <c r="AN1190" t="str">
        <f t="shared" si="242"/>
        <v>Low</v>
      </c>
      <c r="AO1190" t="str">
        <f t="shared" si="243"/>
        <v>Good</v>
      </c>
      <c r="AP1190" t="str">
        <f t="shared" si="244"/>
        <v>25-34</v>
      </c>
      <c r="AQ1190" t="str">
        <f t="shared" si="245"/>
        <v>Lower-Mid</v>
      </c>
      <c r="AR1190" t="str">
        <f t="shared" si="246"/>
        <v>6-10 Years</v>
      </c>
    </row>
    <row r="1191" spans="1:44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46</v>
      </c>
      <c r="L1191">
        <v>93</v>
      </c>
      <c r="M1191">
        <v>3</v>
      </c>
      <c r="N1191">
        <v>2</v>
      </c>
      <c r="O1191" t="s">
        <v>40</v>
      </c>
      <c r="P1191">
        <v>4</v>
      </c>
      <c r="Q1191" t="s">
        <v>52</v>
      </c>
      <c r="R1191">
        <v>5505</v>
      </c>
      <c r="S1191">
        <v>1</v>
      </c>
      <c r="T1191" t="s">
        <v>43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  <c r="AF1191">
        <f t="shared" si="234"/>
        <v>0</v>
      </c>
      <c r="AG1191">
        <f t="shared" si="235"/>
        <v>0</v>
      </c>
      <c r="AH1191" t="str">
        <f t="shared" si="236"/>
        <v>Master</v>
      </c>
      <c r="AI1191" t="str">
        <f t="shared" si="237"/>
        <v>Very High</v>
      </c>
      <c r="AJ1191" t="str">
        <f t="shared" si="238"/>
        <v>High</v>
      </c>
      <c r="AK1191" t="str">
        <f t="shared" si="239"/>
        <v>Junior</v>
      </c>
      <c r="AL1191" t="str">
        <f t="shared" si="240"/>
        <v>Very High</v>
      </c>
      <c r="AM1191" t="str">
        <f t="shared" si="241"/>
        <v>High</v>
      </c>
      <c r="AN1191" t="str">
        <f t="shared" si="242"/>
        <v>Medium</v>
      </c>
      <c r="AO1191" t="str">
        <f t="shared" si="243"/>
        <v>Better</v>
      </c>
      <c r="AP1191" t="str">
        <f t="shared" si="244"/>
        <v>25-34</v>
      </c>
      <c r="AQ1191" t="str">
        <f t="shared" si="245"/>
        <v>Lower-Mid</v>
      </c>
      <c r="AR1191" t="str">
        <f t="shared" si="246"/>
        <v>6-10 Years</v>
      </c>
    </row>
    <row r="1192" spans="1:44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46</v>
      </c>
      <c r="L1192">
        <v>45</v>
      </c>
      <c r="M1192">
        <v>3</v>
      </c>
      <c r="N1192">
        <v>2</v>
      </c>
      <c r="O1192" t="s">
        <v>47</v>
      </c>
      <c r="P1192">
        <v>2</v>
      </c>
      <c r="Q1192" t="s">
        <v>52</v>
      </c>
      <c r="R1192">
        <v>5470</v>
      </c>
      <c r="S1192">
        <v>0</v>
      </c>
      <c r="T1192" t="s">
        <v>43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  <c r="AF1192">
        <f t="shared" si="234"/>
        <v>0</v>
      </c>
      <c r="AG1192">
        <f t="shared" si="235"/>
        <v>0</v>
      </c>
      <c r="AH1192" t="str">
        <f t="shared" si="236"/>
        <v>Bachelor</v>
      </c>
      <c r="AI1192" t="str">
        <f t="shared" si="237"/>
        <v>Very High</v>
      </c>
      <c r="AJ1192" t="str">
        <f t="shared" si="238"/>
        <v>High</v>
      </c>
      <c r="AK1192" t="str">
        <f t="shared" si="239"/>
        <v>Junior</v>
      </c>
      <c r="AL1192" t="str">
        <f t="shared" si="240"/>
        <v>Medium</v>
      </c>
      <c r="AM1192" t="str">
        <f t="shared" si="241"/>
        <v>High</v>
      </c>
      <c r="AN1192" t="str">
        <f t="shared" si="242"/>
        <v>Medium</v>
      </c>
      <c r="AO1192" t="str">
        <f t="shared" si="243"/>
        <v>Good</v>
      </c>
      <c r="AP1192" t="str">
        <f t="shared" si="244"/>
        <v>25-34</v>
      </c>
      <c r="AQ1192" t="str">
        <f t="shared" si="245"/>
        <v>Lower-Mid</v>
      </c>
      <c r="AR1192" t="str">
        <f t="shared" si="246"/>
        <v>6-10 Years</v>
      </c>
    </row>
    <row r="1193" spans="1:44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67</v>
      </c>
      <c r="M1193">
        <v>3</v>
      </c>
      <c r="N1193">
        <v>2</v>
      </c>
      <c r="O1193" t="s">
        <v>40</v>
      </c>
      <c r="P1193">
        <v>4</v>
      </c>
      <c r="Q1193" t="s">
        <v>48</v>
      </c>
      <c r="R1193">
        <v>5476</v>
      </c>
      <c r="S1193">
        <v>1</v>
      </c>
      <c r="T1193" t="s">
        <v>43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  <c r="AF1193">
        <f t="shared" si="234"/>
        <v>0</v>
      </c>
      <c r="AG1193">
        <f t="shared" si="235"/>
        <v>0</v>
      </c>
      <c r="AH1193" t="str">
        <f t="shared" si="236"/>
        <v>Master</v>
      </c>
      <c r="AI1193" t="str">
        <f t="shared" si="237"/>
        <v>Low</v>
      </c>
      <c r="AJ1193" t="str">
        <f t="shared" si="238"/>
        <v>High</v>
      </c>
      <c r="AK1193" t="str">
        <f t="shared" si="239"/>
        <v>Junior</v>
      </c>
      <c r="AL1193" t="str">
        <f t="shared" si="240"/>
        <v>Very High</v>
      </c>
      <c r="AM1193" t="str">
        <f t="shared" si="241"/>
        <v>Low</v>
      </c>
      <c r="AN1193" t="str">
        <f t="shared" si="242"/>
        <v>Medium</v>
      </c>
      <c r="AO1193" t="str">
        <f t="shared" si="243"/>
        <v>Better</v>
      </c>
      <c r="AP1193" t="str">
        <f t="shared" si="244"/>
        <v>25-34</v>
      </c>
      <c r="AQ1193" t="str">
        <f t="shared" si="245"/>
        <v>Lower-Mid</v>
      </c>
      <c r="AR1193" t="str">
        <f t="shared" si="246"/>
        <v>6-10 Years</v>
      </c>
    </row>
    <row r="1194" spans="1:44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39</v>
      </c>
      <c r="L1194">
        <v>74</v>
      </c>
      <c r="M1194">
        <v>3</v>
      </c>
      <c r="N1194">
        <v>1</v>
      </c>
      <c r="O1194" t="s">
        <v>50</v>
      </c>
      <c r="P1194">
        <v>1</v>
      </c>
      <c r="Q1194" t="s">
        <v>52</v>
      </c>
      <c r="R1194">
        <v>2587</v>
      </c>
      <c r="S1194">
        <v>4</v>
      </c>
      <c r="T1194" t="s">
        <v>35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f t="shared" si="234"/>
        <v>0</v>
      </c>
      <c r="AG1194">
        <f t="shared" si="235"/>
        <v>1</v>
      </c>
      <c r="AH1194" t="str">
        <f t="shared" si="236"/>
        <v>Bachelor</v>
      </c>
      <c r="AI1194" t="str">
        <f t="shared" si="237"/>
        <v>Very High</v>
      </c>
      <c r="AJ1194" t="str">
        <f t="shared" si="238"/>
        <v>High</v>
      </c>
      <c r="AK1194" t="str">
        <f t="shared" si="239"/>
        <v>Entry</v>
      </c>
      <c r="AL1194" t="str">
        <f t="shared" si="240"/>
        <v>Low</v>
      </c>
      <c r="AM1194" t="str">
        <f t="shared" si="241"/>
        <v>Medium</v>
      </c>
      <c r="AN1194" t="str">
        <f t="shared" si="242"/>
        <v>Low</v>
      </c>
      <c r="AO1194" t="str">
        <f t="shared" si="243"/>
        <v>Good</v>
      </c>
      <c r="AP1194" t="str">
        <f t="shared" si="244"/>
        <v>45-54</v>
      </c>
      <c r="AQ1194" t="str">
        <f t="shared" si="245"/>
        <v>Low</v>
      </c>
      <c r="AR1194" t="str">
        <f t="shared" si="246"/>
        <v>0-2 Years</v>
      </c>
    </row>
    <row r="1195" spans="1:44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39</v>
      </c>
      <c r="L1195">
        <v>42</v>
      </c>
      <c r="M1195">
        <v>2</v>
      </c>
      <c r="N1195">
        <v>1</v>
      </c>
      <c r="O1195" t="s">
        <v>50</v>
      </c>
      <c r="P1195">
        <v>2</v>
      </c>
      <c r="Q1195" t="s">
        <v>41</v>
      </c>
      <c r="R1195">
        <v>2440</v>
      </c>
      <c r="S1195">
        <v>1</v>
      </c>
      <c r="T1195" t="s">
        <v>43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  <c r="AF1195">
        <f t="shared" si="234"/>
        <v>0</v>
      </c>
      <c r="AG1195">
        <f t="shared" si="235"/>
        <v>0</v>
      </c>
      <c r="AH1195" t="str">
        <f t="shared" si="236"/>
        <v>Bachelor</v>
      </c>
      <c r="AI1195" t="str">
        <f t="shared" si="237"/>
        <v>Very High</v>
      </c>
      <c r="AJ1195" t="str">
        <f t="shared" si="238"/>
        <v>Medium</v>
      </c>
      <c r="AK1195" t="str">
        <f t="shared" si="239"/>
        <v>Entry</v>
      </c>
      <c r="AL1195" t="str">
        <f t="shared" si="240"/>
        <v>Medium</v>
      </c>
      <c r="AM1195" t="str">
        <f t="shared" si="241"/>
        <v>Medium</v>
      </c>
      <c r="AN1195" t="str">
        <f t="shared" si="242"/>
        <v>No Options</v>
      </c>
      <c r="AO1195" t="str">
        <f t="shared" si="243"/>
        <v>Better</v>
      </c>
      <c r="AP1195" t="str">
        <f t="shared" si="244"/>
        <v>35-44</v>
      </c>
      <c r="AQ1195" t="str">
        <f t="shared" si="245"/>
        <v>Low</v>
      </c>
      <c r="AR1195" t="str">
        <f t="shared" si="246"/>
        <v>3-5 Years</v>
      </c>
    </row>
    <row r="1196" spans="1:44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47</v>
      </c>
      <c r="M1196">
        <v>4</v>
      </c>
      <c r="N1196">
        <v>4</v>
      </c>
      <c r="O1196" t="s">
        <v>56</v>
      </c>
      <c r="P1196">
        <v>2</v>
      </c>
      <c r="Q1196" t="s">
        <v>52</v>
      </c>
      <c r="R1196">
        <v>15972</v>
      </c>
      <c r="S1196">
        <v>6</v>
      </c>
      <c r="T1196" t="s">
        <v>43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  <c r="AF1196">
        <f t="shared" si="234"/>
        <v>0</v>
      </c>
      <c r="AG1196">
        <f t="shared" si="235"/>
        <v>0</v>
      </c>
      <c r="AH1196" t="str">
        <f t="shared" si="236"/>
        <v>Master</v>
      </c>
      <c r="AI1196" t="str">
        <f t="shared" si="237"/>
        <v>Medium</v>
      </c>
      <c r="AJ1196" t="str">
        <f t="shared" si="238"/>
        <v>Very High</v>
      </c>
      <c r="AK1196" t="str">
        <f t="shared" si="239"/>
        <v>Senior</v>
      </c>
      <c r="AL1196" t="str">
        <f t="shared" si="240"/>
        <v>Medium</v>
      </c>
      <c r="AM1196" t="str">
        <f t="shared" si="241"/>
        <v>High</v>
      </c>
      <c r="AN1196" t="str">
        <f t="shared" si="242"/>
        <v>High</v>
      </c>
      <c r="AO1196" t="str">
        <f t="shared" si="243"/>
        <v>Better</v>
      </c>
      <c r="AP1196" t="str">
        <f t="shared" si="244"/>
        <v>45-54</v>
      </c>
      <c r="AQ1196" t="str">
        <f t="shared" si="245"/>
        <v>High</v>
      </c>
      <c r="AR1196" t="str">
        <f t="shared" si="246"/>
        <v>3-5 Years</v>
      </c>
    </row>
    <row r="1197" spans="1:44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46</v>
      </c>
      <c r="L1197">
        <v>36</v>
      </c>
      <c r="M1197">
        <v>3</v>
      </c>
      <c r="N1197">
        <v>4</v>
      </c>
      <c r="O1197" t="s">
        <v>56</v>
      </c>
      <c r="P1197">
        <v>3</v>
      </c>
      <c r="Q1197" t="s">
        <v>41</v>
      </c>
      <c r="R1197">
        <v>15379</v>
      </c>
      <c r="S1197">
        <v>4</v>
      </c>
      <c r="T1197" t="s">
        <v>43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  <c r="AF1197">
        <f t="shared" si="234"/>
        <v>0</v>
      </c>
      <c r="AG1197">
        <f t="shared" si="235"/>
        <v>0</v>
      </c>
      <c r="AH1197" t="str">
        <f t="shared" si="236"/>
        <v>Bachelor</v>
      </c>
      <c r="AI1197" t="str">
        <f t="shared" si="237"/>
        <v>High</v>
      </c>
      <c r="AJ1197" t="str">
        <f t="shared" si="238"/>
        <v>High</v>
      </c>
      <c r="AK1197" t="str">
        <f t="shared" si="239"/>
        <v>Senior</v>
      </c>
      <c r="AL1197" t="str">
        <f t="shared" si="240"/>
        <v>High</v>
      </c>
      <c r="AM1197" t="str">
        <f t="shared" si="241"/>
        <v>Low</v>
      </c>
      <c r="AN1197" t="str">
        <f t="shared" si="242"/>
        <v>No Options</v>
      </c>
      <c r="AO1197" t="str">
        <f t="shared" si="243"/>
        <v>Better</v>
      </c>
      <c r="AP1197" t="str">
        <f t="shared" si="244"/>
        <v>45-54</v>
      </c>
      <c r="AQ1197" t="str">
        <f t="shared" si="245"/>
        <v>High</v>
      </c>
      <c r="AR1197" t="str">
        <f t="shared" si="246"/>
        <v>6-10 Years</v>
      </c>
    </row>
    <row r="1198" spans="1:44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46</v>
      </c>
      <c r="L1198">
        <v>80</v>
      </c>
      <c r="M1198">
        <v>3</v>
      </c>
      <c r="N1198">
        <v>3</v>
      </c>
      <c r="O1198" t="s">
        <v>40</v>
      </c>
      <c r="P1198">
        <v>3</v>
      </c>
      <c r="Q1198" t="s">
        <v>41</v>
      </c>
      <c r="R1198">
        <v>7082</v>
      </c>
      <c r="S1198">
        <v>3</v>
      </c>
      <c r="T1198" t="s">
        <v>35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  <c r="AF1198">
        <f t="shared" si="234"/>
        <v>0</v>
      </c>
      <c r="AG1198">
        <f t="shared" si="235"/>
        <v>1</v>
      </c>
      <c r="AH1198" t="str">
        <f t="shared" si="236"/>
        <v>College</v>
      </c>
      <c r="AI1198" t="str">
        <f t="shared" si="237"/>
        <v>Very High</v>
      </c>
      <c r="AJ1198" t="str">
        <f t="shared" si="238"/>
        <v>High</v>
      </c>
      <c r="AK1198" t="str">
        <f t="shared" si="239"/>
        <v>Mid-Level</v>
      </c>
      <c r="AL1198" t="str">
        <f t="shared" si="240"/>
        <v>High</v>
      </c>
      <c r="AM1198" t="str">
        <f t="shared" si="241"/>
        <v>Very High</v>
      </c>
      <c r="AN1198" t="str">
        <f t="shared" si="242"/>
        <v>No Options</v>
      </c>
      <c r="AO1198" t="str">
        <f t="shared" si="243"/>
        <v>Better</v>
      </c>
      <c r="AP1198" t="str">
        <f t="shared" si="244"/>
        <v>35-44</v>
      </c>
      <c r="AQ1198" t="str">
        <f t="shared" si="245"/>
        <v>Upper-Mid</v>
      </c>
      <c r="AR1198" t="str">
        <f t="shared" si="246"/>
        <v>0-2 Years</v>
      </c>
    </row>
    <row r="1199" spans="1:44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46</v>
      </c>
      <c r="L1199">
        <v>54</v>
      </c>
      <c r="M1199">
        <v>3</v>
      </c>
      <c r="N1199">
        <v>1</v>
      </c>
      <c r="O1199" t="s">
        <v>57</v>
      </c>
      <c r="P1199">
        <v>1</v>
      </c>
      <c r="Q1199" t="s">
        <v>41</v>
      </c>
      <c r="R1199">
        <v>2728</v>
      </c>
      <c r="S1199">
        <v>1</v>
      </c>
      <c r="T1199" t="s">
        <v>43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  <c r="AF1199">
        <f t="shared" si="234"/>
        <v>0</v>
      </c>
      <c r="AG1199">
        <f t="shared" si="235"/>
        <v>0</v>
      </c>
      <c r="AH1199" t="str">
        <f t="shared" si="236"/>
        <v>Below College</v>
      </c>
      <c r="AI1199" t="str">
        <f t="shared" si="237"/>
        <v>Very High</v>
      </c>
      <c r="AJ1199" t="str">
        <f t="shared" si="238"/>
        <v>High</v>
      </c>
      <c r="AK1199" t="str">
        <f t="shared" si="239"/>
        <v>Entry</v>
      </c>
      <c r="AL1199" t="str">
        <f t="shared" si="240"/>
        <v>Low</v>
      </c>
      <c r="AM1199" t="str">
        <f t="shared" si="241"/>
        <v>Low</v>
      </c>
      <c r="AN1199" t="str">
        <f t="shared" si="242"/>
        <v>No Options</v>
      </c>
      <c r="AO1199" t="str">
        <f t="shared" si="243"/>
        <v>Better</v>
      </c>
      <c r="AP1199" t="str">
        <f t="shared" si="244"/>
        <v>Under 25</v>
      </c>
      <c r="AQ1199" t="str">
        <f t="shared" si="245"/>
        <v>Low</v>
      </c>
      <c r="AR1199" t="str">
        <f t="shared" si="246"/>
        <v>0-2 Years</v>
      </c>
    </row>
    <row r="1200" spans="1:44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36</v>
      </c>
      <c r="M1200">
        <v>3</v>
      </c>
      <c r="N1200">
        <v>2</v>
      </c>
      <c r="O1200" t="s">
        <v>40</v>
      </c>
      <c r="P1200">
        <v>4</v>
      </c>
      <c r="Q1200" t="s">
        <v>52</v>
      </c>
      <c r="R1200">
        <v>5368</v>
      </c>
      <c r="S1200">
        <v>1</v>
      </c>
      <c r="T1200" t="s">
        <v>35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  <c r="AF1200">
        <f t="shared" si="234"/>
        <v>0</v>
      </c>
      <c r="AG1200">
        <f t="shared" si="235"/>
        <v>1</v>
      </c>
      <c r="AH1200" t="str">
        <f t="shared" si="236"/>
        <v>Bachelor</v>
      </c>
      <c r="AI1200" t="str">
        <f t="shared" si="237"/>
        <v>High</v>
      </c>
      <c r="AJ1200" t="str">
        <f t="shared" si="238"/>
        <v>High</v>
      </c>
      <c r="AK1200" t="str">
        <f t="shared" si="239"/>
        <v>Junior</v>
      </c>
      <c r="AL1200" t="str">
        <f t="shared" si="240"/>
        <v>Very High</v>
      </c>
      <c r="AM1200" t="str">
        <f t="shared" si="241"/>
        <v>High</v>
      </c>
      <c r="AN1200" t="str">
        <f t="shared" si="242"/>
        <v>Low</v>
      </c>
      <c r="AO1200" t="str">
        <f t="shared" si="243"/>
        <v>Better</v>
      </c>
      <c r="AP1200" t="str">
        <f t="shared" si="244"/>
        <v>25-34</v>
      </c>
      <c r="AQ1200" t="str">
        <f t="shared" si="245"/>
        <v>Lower-Mid</v>
      </c>
      <c r="AR1200" t="str">
        <f t="shared" si="246"/>
        <v>6-10 Years</v>
      </c>
    </row>
    <row r="1201" spans="1:44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46</v>
      </c>
      <c r="L1201">
        <v>80</v>
      </c>
      <c r="M1201">
        <v>3</v>
      </c>
      <c r="N1201">
        <v>2</v>
      </c>
      <c r="O1201" t="s">
        <v>54</v>
      </c>
      <c r="P1201">
        <v>3</v>
      </c>
      <c r="Q1201" t="s">
        <v>48</v>
      </c>
      <c r="R1201">
        <v>5347</v>
      </c>
      <c r="S1201">
        <v>6</v>
      </c>
      <c r="T1201" t="s">
        <v>43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  <c r="AF1201">
        <f t="shared" si="234"/>
        <v>0</v>
      </c>
      <c r="AG1201">
        <f t="shared" si="235"/>
        <v>0</v>
      </c>
      <c r="AH1201" t="str">
        <f t="shared" si="236"/>
        <v>Master</v>
      </c>
      <c r="AI1201" t="str">
        <f t="shared" si="237"/>
        <v>Low</v>
      </c>
      <c r="AJ1201" t="str">
        <f t="shared" si="238"/>
        <v>High</v>
      </c>
      <c r="AK1201" t="str">
        <f t="shared" si="239"/>
        <v>Junior</v>
      </c>
      <c r="AL1201" t="str">
        <f t="shared" si="240"/>
        <v>High</v>
      </c>
      <c r="AM1201" t="str">
        <f t="shared" si="241"/>
        <v>Medium</v>
      </c>
      <c r="AN1201" t="str">
        <f t="shared" si="242"/>
        <v>Medium</v>
      </c>
      <c r="AO1201" t="str">
        <f t="shared" si="243"/>
        <v>Good</v>
      </c>
      <c r="AP1201" t="str">
        <f t="shared" si="244"/>
        <v>35-44</v>
      </c>
      <c r="AQ1201" t="str">
        <f t="shared" si="245"/>
        <v>Lower-Mid</v>
      </c>
      <c r="AR1201" t="str">
        <f t="shared" si="246"/>
        <v>3-5 Years</v>
      </c>
    </row>
    <row r="1202" spans="1:44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44</v>
      </c>
      <c r="M1202">
        <v>3</v>
      </c>
      <c r="N1202">
        <v>1</v>
      </c>
      <c r="O1202" t="s">
        <v>61</v>
      </c>
      <c r="P1202">
        <v>4</v>
      </c>
      <c r="Q1202" t="s">
        <v>52</v>
      </c>
      <c r="R1202">
        <v>3195</v>
      </c>
      <c r="S1202">
        <v>4</v>
      </c>
      <c r="T1202" t="s">
        <v>35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  <c r="AF1202">
        <f t="shared" si="234"/>
        <v>0</v>
      </c>
      <c r="AG1202">
        <f t="shared" si="235"/>
        <v>1</v>
      </c>
      <c r="AH1202" t="str">
        <f t="shared" si="236"/>
        <v>Bachelor</v>
      </c>
      <c r="AI1202" t="str">
        <f t="shared" si="237"/>
        <v>High</v>
      </c>
      <c r="AJ1202" t="str">
        <f t="shared" si="238"/>
        <v>High</v>
      </c>
      <c r="AK1202" t="str">
        <f t="shared" si="239"/>
        <v>Entry</v>
      </c>
      <c r="AL1202" t="str">
        <f t="shared" si="240"/>
        <v>Very High</v>
      </c>
      <c r="AM1202" t="str">
        <f t="shared" si="241"/>
        <v>Low</v>
      </c>
      <c r="AN1202" t="str">
        <f t="shared" si="242"/>
        <v>High</v>
      </c>
      <c r="AO1202" t="str">
        <f t="shared" si="243"/>
        <v>Better</v>
      </c>
      <c r="AP1202" t="str">
        <f t="shared" si="244"/>
        <v>35-44</v>
      </c>
      <c r="AQ1202" t="str">
        <f t="shared" si="245"/>
        <v>Lower-Mid</v>
      </c>
      <c r="AR1202" t="str">
        <f t="shared" si="246"/>
        <v>0-2 Years</v>
      </c>
    </row>
    <row r="1203" spans="1:44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46</v>
      </c>
      <c r="L1203">
        <v>93</v>
      </c>
      <c r="M1203">
        <v>2</v>
      </c>
      <c r="N1203">
        <v>1</v>
      </c>
      <c r="O1203" t="s">
        <v>50</v>
      </c>
      <c r="P1203">
        <v>3</v>
      </c>
      <c r="Q1203" t="s">
        <v>41</v>
      </c>
      <c r="R1203">
        <v>3989</v>
      </c>
      <c r="S1203">
        <v>1</v>
      </c>
      <c r="T1203" t="s">
        <v>35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  <c r="AF1203">
        <f t="shared" si="234"/>
        <v>1</v>
      </c>
      <c r="AG1203">
        <f t="shared" si="235"/>
        <v>1</v>
      </c>
      <c r="AH1203" t="str">
        <f t="shared" si="236"/>
        <v>Below College</v>
      </c>
      <c r="AI1203" t="str">
        <f t="shared" si="237"/>
        <v>Very High</v>
      </c>
      <c r="AJ1203" t="str">
        <f t="shared" si="238"/>
        <v>Medium</v>
      </c>
      <c r="AK1203" t="str">
        <f t="shared" si="239"/>
        <v>Entry</v>
      </c>
      <c r="AL1203" t="str">
        <f t="shared" si="240"/>
        <v>High</v>
      </c>
      <c r="AM1203" t="str">
        <f t="shared" si="241"/>
        <v>Low</v>
      </c>
      <c r="AN1203" t="str">
        <f t="shared" si="242"/>
        <v>No Options</v>
      </c>
      <c r="AO1203" t="str">
        <f t="shared" si="243"/>
        <v>Better</v>
      </c>
      <c r="AP1203" t="str">
        <f t="shared" si="244"/>
        <v>Under 25</v>
      </c>
      <c r="AQ1203" t="str">
        <f t="shared" si="245"/>
        <v>Lower-Mid</v>
      </c>
      <c r="AR1203" t="str">
        <f t="shared" si="246"/>
        <v>3-5 Years</v>
      </c>
    </row>
    <row r="1204" spans="1:44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39</v>
      </c>
      <c r="L1204">
        <v>87</v>
      </c>
      <c r="M1204">
        <v>3</v>
      </c>
      <c r="N1204">
        <v>1</v>
      </c>
      <c r="O1204" t="s">
        <v>50</v>
      </c>
      <c r="P1204">
        <v>3</v>
      </c>
      <c r="Q1204" t="s">
        <v>48</v>
      </c>
      <c r="R1204">
        <v>3306</v>
      </c>
      <c r="S1204">
        <v>7</v>
      </c>
      <c r="T1204" t="s">
        <v>43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  <c r="AF1204">
        <f t="shared" si="234"/>
        <v>0</v>
      </c>
      <c r="AG1204">
        <f t="shared" si="235"/>
        <v>0</v>
      </c>
      <c r="AH1204" t="str">
        <f t="shared" si="236"/>
        <v>College</v>
      </c>
      <c r="AI1204" t="str">
        <f t="shared" si="237"/>
        <v>Very High</v>
      </c>
      <c r="AJ1204" t="str">
        <f t="shared" si="238"/>
        <v>High</v>
      </c>
      <c r="AK1204" t="str">
        <f t="shared" si="239"/>
        <v>Entry</v>
      </c>
      <c r="AL1204" t="str">
        <f t="shared" si="240"/>
        <v>High</v>
      </c>
      <c r="AM1204" t="str">
        <f t="shared" si="241"/>
        <v>Very High</v>
      </c>
      <c r="AN1204" t="str">
        <f t="shared" si="242"/>
        <v>Low</v>
      </c>
      <c r="AO1204" t="str">
        <f t="shared" si="243"/>
        <v>Good</v>
      </c>
      <c r="AP1204" t="str">
        <f t="shared" si="244"/>
        <v>35-44</v>
      </c>
      <c r="AQ1204" t="str">
        <f t="shared" si="245"/>
        <v>Lower-Mid</v>
      </c>
      <c r="AR1204" t="str">
        <f t="shared" si="246"/>
        <v>0-2 Years</v>
      </c>
    </row>
    <row r="1205" spans="1:44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46</v>
      </c>
      <c r="L1205">
        <v>48</v>
      </c>
      <c r="M1205">
        <v>4</v>
      </c>
      <c r="N1205">
        <v>3</v>
      </c>
      <c r="O1205" t="s">
        <v>54</v>
      </c>
      <c r="P1205">
        <v>4</v>
      </c>
      <c r="Q1205" t="s">
        <v>48</v>
      </c>
      <c r="R1205">
        <v>7005</v>
      </c>
      <c r="S1205">
        <v>3</v>
      </c>
      <c r="T1205" t="s">
        <v>43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  <c r="AF1205">
        <f t="shared" si="234"/>
        <v>0</v>
      </c>
      <c r="AG1205">
        <f t="shared" si="235"/>
        <v>0</v>
      </c>
      <c r="AH1205" t="str">
        <f t="shared" si="236"/>
        <v>Master</v>
      </c>
      <c r="AI1205" t="str">
        <f t="shared" si="237"/>
        <v>Medium</v>
      </c>
      <c r="AJ1205" t="str">
        <f t="shared" si="238"/>
        <v>Very High</v>
      </c>
      <c r="AK1205" t="str">
        <f t="shared" si="239"/>
        <v>Mid-Level</v>
      </c>
      <c r="AL1205" t="str">
        <f t="shared" si="240"/>
        <v>Very High</v>
      </c>
      <c r="AM1205" t="str">
        <f t="shared" si="241"/>
        <v>High</v>
      </c>
      <c r="AN1205" t="str">
        <f t="shared" si="242"/>
        <v>No Options</v>
      </c>
      <c r="AO1205" t="str">
        <f t="shared" si="243"/>
        <v>Better</v>
      </c>
      <c r="AP1205" t="str">
        <f t="shared" si="244"/>
        <v>45-54</v>
      </c>
      <c r="AQ1205" t="str">
        <f t="shared" si="245"/>
        <v>Upper-Mid</v>
      </c>
      <c r="AR1205" t="str">
        <f t="shared" si="246"/>
        <v>3-5 Years</v>
      </c>
    </row>
    <row r="1206" spans="1:44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39</v>
      </c>
      <c r="L1206">
        <v>95</v>
      </c>
      <c r="M1206">
        <v>3</v>
      </c>
      <c r="N1206">
        <v>1</v>
      </c>
      <c r="O1206" t="s">
        <v>57</v>
      </c>
      <c r="P1206">
        <v>3</v>
      </c>
      <c r="Q1206" t="s">
        <v>48</v>
      </c>
      <c r="R1206">
        <v>2655</v>
      </c>
      <c r="S1206">
        <v>2</v>
      </c>
      <c r="T1206" t="s">
        <v>35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  <c r="AF1206">
        <f t="shared" si="234"/>
        <v>1</v>
      </c>
      <c r="AG1206">
        <f t="shared" si="235"/>
        <v>1</v>
      </c>
      <c r="AH1206" t="str">
        <f t="shared" si="236"/>
        <v>College</v>
      </c>
      <c r="AI1206" t="str">
        <f t="shared" si="237"/>
        <v>Very High</v>
      </c>
      <c r="AJ1206" t="str">
        <f t="shared" si="238"/>
        <v>High</v>
      </c>
      <c r="AK1206" t="str">
        <f t="shared" si="239"/>
        <v>Entry</v>
      </c>
      <c r="AL1206" t="str">
        <f t="shared" si="240"/>
        <v>High</v>
      </c>
      <c r="AM1206" t="str">
        <f t="shared" si="241"/>
        <v>High</v>
      </c>
      <c r="AN1206" t="str">
        <f t="shared" si="242"/>
        <v>Medium</v>
      </c>
      <c r="AO1206" t="str">
        <f t="shared" si="243"/>
        <v>Better</v>
      </c>
      <c r="AP1206" t="str">
        <f t="shared" si="244"/>
        <v>45-54</v>
      </c>
      <c r="AQ1206" t="str">
        <f t="shared" si="245"/>
        <v>Low</v>
      </c>
      <c r="AR1206" t="str">
        <f t="shared" si="246"/>
        <v>6-10 Years</v>
      </c>
    </row>
    <row r="1207" spans="1:44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46</v>
      </c>
      <c r="L1207">
        <v>95</v>
      </c>
      <c r="M1207">
        <v>3</v>
      </c>
      <c r="N1207">
        <v>1</v>
      </c>
      <c r="O1207" t="s">
        <v>50</v>
      </c>
      <c r="P1207">
        <v>2</v>
      </c>
      <c r="Q1207" t="s">
        <v>41</v>
      </c>
      <c r="R1207">
        <v>1393</v>
      </c>
      <c r="S1207">
        <v>1</v>
      </c>
      <c r="T1207" t="s">
        <v>43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  <c r="AF1207">
        <f t="shared" si="234"/>
        <v>1</v>
      </c>
      <c r="AG1207">
        <f t="shared" si="235"/>
        <v>0</v>
      </c>
      <c r="AH1207" t="str">
        <f t="shared" si="236"/>
        <v>Master</v>
      </c>
      <c r="AI1207" t="str">
        <f t="shared" si="237"/>
        <v>Very High</v>
      </c>
      <c r="AJ1207" t="str">
        <f t="shared" si="238"/>
        <v>High</v>
      </c>
      <c r="AK1207" t="str">
        <f t="shared" si="239"/>
        <v>Entry</v>
      </c>
      <c r="AL1207" t="str">
        <f t="shared" si="240"/>
        <v>Medium</v>
      </c>
      <c r="AM1207" t="str">
        <f t="shared" si="241"/>
        <v>Low</v>
      </c>
      <c r="AN1207" t="str">
        <f t="shared" si="242"/>
        <v>No Options</v>
      </c>
      <c r="AO1207" t="str">
        <f t="shared" si="243"/>
        <v>Better</v>
      </c>
      <c r="AP1207" t="str">
        <f t="shared" si="244"/>
        <v>25-34</v>
      </c>
      <c r="AQ1207" t="str">
        <f t="shared" si="245"/>
        <v>Low</v>
      </c>
      <c r="AR1207" t="str">
        <f t="shared" si="246"/>
        <v>0-2 Years</v>
      </c>
    </row>
    <row r="1208" spans="1:44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46</v>
      </c>
      <c r="L1208">
        <v>76</v>
      </c>
      <c r="M1208">
        <v>3</v>
      </c>
      <c r="N1208">
        <v>1</v>
      </c>
      <c r="O1208" t="s">
        <v>50</v>
      </c>
      <c r="P1208">
        <v>4</v>
      </c>
      <c r="Q1208" t="s">
        <v>41</v>
      </c>
      <c r="R1208">
        <v>2570</v>
      </c>
      <c r="S1208">
        <v>1</v>
      </c>
      <c r="T1208" t="s">
        <v>43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  <c r="AF1208">
        <f t="shared" si="234"/>
        <v>0</v>
      </c>
      <c r="AG1208">
        <f t="shared" si="235"/>
        <v>0</v>
      </c>
      <c r="AH1208" t="str">
        <f t="shared" si="236"/>
        <v>Bachelor</v>
      </c>
      <c r="AI1208" t="str">
        <f t="shared" si="237"/>
        <v>Very High</v>
      </c>
      <c r="AJ1208" t="str">
        <f t="shared" si="238"/>
        <v>High</v>
      </c>
      <c r="AK1208" t="str">
        <f t="shared" si="239"/>
        <v>Entry</v>
      </c>
      <c r="AL1208" t="str">
        <f t="shared" si="240"/>
        <v>Very High</v>
      </c>
      <c r="AM1208" t="str">
        <f t="shared" si="241"/>
        <v>High</v>
      </c>
      <c r="AN1208" t="str">
        <f t="shared" si="242"/>
        <v>No Options</v>
      </c>
      <c r="AO1208" t="str">
        <f t="shared" si="243"/>
        <v>Better</v>
      </c>
      <c r="AP1208" t="str">
        <f t="shared" si="244"/>
        <v>25-34</v>
      </c>
      <c r="AQ1208" t="str">
        <f t="shared" si="245"/>
        <v>Low</v>
      </c>
      <c r="AR1208" t="str">
        <f t="shared" si="246"/>
        <v>6-10 Years</v>
      </c>
    </row>
    <row r="1209" spans="1:44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t="s">
        <v>46</v>
      </c>
      <c r="L1209">
        <v>94</v>
      </c>
      <c r="M1209">
        <v>2</v>
      </c>
      <c r="N1209">
        <v>1</v>
      </c>
      <c r="O1209" t="s">
        <v>47</v>
      </c>
      <c r="P1209">
        <v>2</v>
      </c>
      <c r="Q1209" t="s">
        <v>52</v>
      </c>
      <c r="R1209">
        <v>3537</v>
      </c>
      <c r="S1209">
        <v>5</v>
      </c>
      <c r="T1209" t="s">
        <v>43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  <c r="AF1209">
        <f t="shared" si="234"/>
        <v>0</v>
      </c>
      <c r="AG1209">
        <f t="shared" si="235"/>
        <v>0</v>
      </c>
      <c r="AH1209" t="str">
        <f t="shared" si="236"/>
        <v>Bachelor</v>
      </c>
      <c r="AI1209" t="str">
        <f t="shared" si="237"/>
        <v>Low</v>
      </c>
      <c r="AJ1209" t="str">
        <f t="shared" si="238"/>
        <v>Medium</v>
      </c>
      <c r="AK1209" t="str">
        <f t="shared" si="239"/>
        <v>Entry</v>
      </c>
      <c r="AL1209" t="str">
        <f t="shared" si="240"/>
        <v>Medium</v>
      </c>
      <c r="AM1209" t="str">
        <f t="shared" si="241"/>
        <v>Very High</v>
      </c>
      <c r="AN1209" t="str">
        <f t="shared" si="242"/>
        <v>Low</v>
      </c>
      <c r="AO1209" t="str">
        <f t="shared" si="243"/>
        <v>Better</v>
      </c>
      <c r="AP1209" t="str">
        <f t="shared" si="244"/>
        <v>55+</v>
      </c>
      <c r="AQ1209" t="str">
        <f t="shared" si="245"/>
        <v>Lower-Mid</v>
      </c>
      <c r="AR1209" t="str">
        <f t="shared" si="246"/>
        <v>3-5 Years</v>
      </c>
    </row>
    <row r="1210" spans="1:44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46</v>
      </c>
      <c r="L1210">
        <v>57</v>
      </c>
      <c r="M1210">
        <v>2</v>
      </c>
      <c r="N1210">
        <v>2</v>
      </c>
      <c r="O1210" t="s">
        <v>50</v>
      </c>
      <c r="P1210">
        <v>4</v>
      </c>
      <c r="Q1210" t="s">
        <v>48</v>
      </c>
      <c r="R1210">
        <v>3986</v>
      </c>
      <c r="S1210">
        <v>1</v>
      </c>
      <c r="T1210" t="s">
        <v>43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  <c r="AF1210">
        <f t="shared" si="234"/>
        <v>0</v>
      </c>
      <c r="AG1210">
        <f t="shared" si="235"/>
        <v>0</v>
      </c>
      <c r="AH1210" t="str">
        <f t="shared" si="236"/>
        <v>College</v>
      </c>
      <c r="AI1210" t="str">
        <f t="shared" si="237"/>
        <v>Medium</v>
      </c>
      <c r="AJ1210" t="str">
        <f t="shared" si="238"/>
        <v>Medium</v>
      </c>
      <c r="AK1210" t="str">
        <f t="shared" si="239"/>
        <v>Junior</v>
      </c>
      <c r="AL1210" t="str">
        <f t="shared" si="240"/>
        <v>Very High</v>
      </c>
      <c r="AM1210" t="str">
        <f t="shared" si="241"/>
        <v>High</v>
      </c>
      <c r="AN1210" t="str">
        <f t="shared" si="242"/>
        <v>Low</v>
      </c>
      <c r="AO1210" t="str">
        <f t="shared" si="243"/>
        <v>Best</v>
      </c>
      <c r="AP1210" t="str">
        <f t="shared" si="244"/>
        <v>25-34</v>
      </c>
      <c r="AQ1210" t="str">
        <f t="shared" si="245"/>
        <v>Lower-Mid</v>
      </c>
      <c r="AR1210" t="str">
        <f t="shared" si="246"/>
        <v>11-20 Years</v>
      </c>
    </row>
    <row r="1211" spans="1:44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46</v>
      </c>
      <c r="L1211">
        <v>92</v>
      </c>
      <c r="M1211">
        <v>1</v>
      </c>
      <c r="N1211">
        <v>3</v>
      </c>
      <c r="O1211" t="s">
        <v>54</v>
      </c>
      <c r="P1211">
        <v>4</v>
      </c>
      <c r="Q1211" t="s">
        <v>52</v>
      </c>
      <c r="R1211">
        <v>10883</v>
      </c>
      <c r="S1211">
        <v>3</v>
      </c>
      <c r="T1211" t="s">
        <v>43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  <c r="AF1211">
        <f t="shared" si="234"/>
        <v>0</v>
      </c>
      <c r="AG1211">
        <f t="shared" si="235"/>
        <v>0</v>
      </c>
      <c r="AH1211" t="str">
        <f t="shared" si="236"/>
        <v>Master</v>
      </c>
      <c r="AI1211" t="str">
        <f t="shared" si="237"/>
        <v>High</v>
      </c>
      <c r="AJ1211" t="str">
        <f t="shared" si="238"/>
        <v>Low</v>
      </c>
      <c r="AK1211" t="str">
        <f t="shared" si="239"/>
        <v>Mid-Level</v>
      </c>
      <c r="AL1211" t="str">
        <f t="shared" si="240"/>
        <v>Very High</v>
      </c>
      <c r="AM1211" t="str">
        <f t="shared" si="241"/>
        <v>High</v>
      </c>
      <c r="AN1211" t="str">
        <f t="shared" si="242"/>
        <v>Low</v>
      </c>
      <c r="AO1211" t="str">
        <f t="shared" si="243"/>
        <v>Best</v>
      </c>
      <c r="AP1211" t="str">
        <f t="shared" si="244"/>
        <v>55+</v>
      </c>
      <c r="AQ1211" t="str">
        <f t="shared" si="245"/>
        <v>Upper-Mid</v>
      </c>
      <c r="AR1211" t="str">
        <f t="shared" si="246"/>
        <v>0-2 Years</v>
      </c>
    </row>
    <row r="1212" spans="1:44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46</v>
      </c>
      <c r="L1212">
        <v>79</v>
      </c>
      <c r="M1212">
        <v>4</v>
      </c>
      <c r="N1212">
        <v>1</v>
      </c>
      <c r="O1212" t="s">
        <v>50</v>
      </c>
      <c r="P1212">
        <v>2</v>
      </c>
      <c r="Q1212" t="s">
        <v>48</v>
      </c>
      <c r="R1212">
        <v>2028</v>
      </c>
      <c r="S1212">
        <v>1</v>
      </c>
      <c r="T1212" t="s">
        <v>43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  <c r="AF1212">
        <f t="shared" si="234"/>
        <v>0</v>
      </c>
      <c r="AG1212">
        <f t="shared" si="235"/>
        <v>0</v>
      </c>
      <c r="AH1212" t="str">
        <f t="shared" si="236"/>
        <v>Bachelor</v>
      </c>
      <c r="AI1212" t="str">
        <f t="shared" si="237"/>
        <v>Medium</v>
      </c>
      <c r="AJ1212" t="str">
        <f t="shared" si="238"/>
        <v>Very High</v>
      </c>
      <c r="AK1212" t="str">
        <f t="shared" si="239"/>
        <v>Entry</v>
      </c>
      <c r="AL1212" t="str">
        <f t="shared" si="240"/>
        <v>Medium</v>
      </c>
      <c r="AM1212" t="str">
        <f t="shared" si="241"/>
        <v>Very High</v>
      </c>
      <c r="AN1212" t="str">
        <f t="shared" si="242"/>
        <v>High</v>
      </c>
      <c r="AO1212" t="str">
        <f t="shared" si="243"/>
        <v>Better</v>
      </c>
      <c r="AP1212" t="str">
        <f t="shared" si="244"/>
        <v>25-34</v>
      </c>
      <c r="AQ1212" t="str">
        <f t="shared" si="245"/>
        <v>Low</v>
      </c>
      <c r="AR1212" t="str">
        <f t="shared" si="246"/>
        <v>11-20 Years</v>
      </c>
    </row>
    <row r="1213" spans="1:44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46</v>
      </c>
      <c r="L1213">
        <v>31</v>
      </c>
      <c r="M1213">
        <v>1</v>
      </c>
      <c r="N1213">
        <v>2</v>
      </c>
      <c r="O1213" t="s">
        <v>40</v>
      </c>
      <c r="P1213">
        <v>4</v>
      </c>
      <c r="Q1213" t="s">
        <v>52</v>
      </c>
      <c r="R1213">
        <v>9525</v>
      </c>
      <c r="S1213">
        <v>1</v>
      </c>
      <c r="T1213" t="s">
        <v>43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  <c r="AF1213">
        <f t="shared" si="234"/>
        <v>0</v>
      </c>
      <c r="AG1213">
        <f t="shared" si="235"/>
        <v>0</v>
      </c>
      <c r="AH1213" t="str">
        <f t="shared" si="236"/>
        <v>Master</v>
      </c>
      <c r="AI1213" t="str">
        <f t="shared" si="237"/>
        <v>High</v>
      </c>
      <c r="AJ1213" t="str">
        <f t="shared" si="238"/>
        <v>Low</v>
      </c>
      <c r="AK1213" t="str">
        <f t="shared" si="239"/>
        <v>Junior</v>
      </c>
      <c r="AL1213" t="str">
        <f t="shared" si="240"/>
        <v>Very High</v>
      </c>
      <c r="AM1213" t="str">
        <f t="shared" si="241"/>
        <v>High</v>
      </c>
      <c r="AN1213" t="str">
        <f t="shared" si="242"/>
        <v>Medium</v>
      </c>
      <c r="AO1213" t="str">
        <f t="shared" si="243"/>
        <v>Good</v>
      </c>
      <c r="AP1213" t="str">
        <f t="shared" si="244"/>
        <v>35-44</v>
      </c>
      <c r="AQ1213" t="str">
        <f t="shared" si="245"/>
        <v>Upper-Mid</v>
      </c>
      <c r="AR1213" t="str">
        <f t="shared" si="246"/>
        <v>6-10 Years</v>
      </c>
    </row>
    <row r="1214" spans="1:44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35</v>
      </c>
      <c r="M1214">
        <v>2</v>
      </c>
      <c r="N1214">
        <v>1</v>
      </c>
      <c r="O1214" t="s">
        <v>47</v>
      </c>
      <c r="P1214">
        <v>4</v>
      </c>
      <c r="Q1214" t="s">
        <v>48</v>
      </c>
      <c r="R1214">
        <v>2929</v>
      </c>
      <c r="S1214">
        <v>1</v>
      </c>
      <c r="T1214" t="s">
        <v>43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  <c r="AF1214">
        <f t="shared" si="234"/>
        <v>0</v>
      </c>
      <c r="AG1214">
        <f t="shared" si="235"/>
        <v>0</v>
      </c>
      <c r="AH1214" t="str">
        <f t="shared" si="236"/>
        <v>Bachelor</v>
      </c>
      <c r="AI1214" t="str">
        <f t="shared" si="237"/>
        <v>Medium</v>
      </c>
      <c r="AJ1214" t="str">
        <f t="shared" si="238"/>
        <v>Medium</v>
      </c>
      <c r="AK1214" t="str">
        <f t="shared" si="239"/>
        <v>Entry</v>
      </c>
      <c r="AL1214" t="str">
        <f t="shared" si="240"/>
        <v>Very High</v>
      </c>
      <c r="AM1214" t="str">
        <f t="shared" si="241"/>
        <v>Medium</v>
      </c>
      <c r="AN1214" t="str">
        <f t="shared" si="242"/>
        <v>No Options</v>
      </c>
      <c r="AO1214" t="str">
        <f t="shared" si="243"/>
        <v>Better</v>
      </c>
      <c r="AP1214" t="str">
        <f t="shared" si="244"/>
        <v>25-34</v>
      </c>
      <c r="AQ1214" t="str">
        <f t="shared" si="245"/>
        <v>Low</v>
      </c>
      <c r="AR1214" t="str">
        <f t="shared" si="246"/>
        <v>6-10 Years</v>
      </c>
    </row>
    <row r="1215" spans="1:44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46</v>
      </c>
      <c r="L1215">
        <v>99</v>
      </c>
      <c r="M1215">
        <v>3</v>
      </c>
      <c r="N1215">
        <v>1</v>
      </c>
      <c r="O1215" t="s">
        <v>57</v>
      </c>
      <c r="P1215">
        <v>4</v>
      </c>
      <c r="Q1215" t="s">
        <v>52</v>
      </c>
      <c r="R1215">
        <v>2275</v>
      </c>
      <c r="S1215">
        <v>1</v>
      </c>
      <c r="T1215" t="s">
        <v>35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  <c r="AF1215">
        <f t="shared" si="234"/>
        <v>1</v>
      </c>
      <c r="AG1215">
        <f t="shared" si="235"/>
        <v>1</v>
      </c>
      <c r="AH1215" t="str">
        <f t="shared" si="236"/>
        <v>Bachelor</v>
      </c>
      <c r="AI1215" t="str">
        <f t="shared" si="237"/>
        <v>High</v>
      </c>
      <c r="AJ1215" t="str">
        <f t="shared" si="238"/>
        <v>High</v>
      </c>
      <c r="AK1215" t="str">
        <f t="shared" si="239"/>
        <v>Entry</v>
      </c>
      <c r="AL1215" t="str">
        <f t="shared" si="240"/>
        <v>Very High</v>
      </c>
      <c r="AM1215" t="str">
        <f t="shared" si="241"/>
        <v>Medium</v>
      </c>
      <c r="AN1215" t="str">
        <f t="shared" si="242"/>
        <v>Low</v>
      </c>
      <c r="AO1215" t="str">
        <f t="shared" si="243"/>
        <v>Better</v>
      </c>
      <c r="AP1215" t="str">
        <f t="shared" si="244"/>
        <v>Under 25</v>
      </c>
      <c r="AQ1215" t="str">
        <f t="shared" si="245"/>
        <v>Low</v>
      </c>
      <c r="AR1215" t="str">
        <f t="shared" si="246"/>
        <v>3-5 Years</v>
      </c>
    </row>
    <row r="1216" spans="1:44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96</v>
      </c>
      <c r="M1216">
        <v>4</v>
      </c>
      <c r="N1216">
        <v>3</v>
      </c>
      <c r="O1216" t="s">
        <v>54</v>
      </c>
      <c r="P1216">
        <v>4</v>
      </c>
      <c r="Q1216" t="s">
        <v>48</v>
      </c>
      <c r="R1216">
        <v>7879</v>
      </c>
      <c r="S1216">
        <v>1</v>
      </c>
      <c r="T1216" t="s">
        <v>35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  <c r="AF1216">
        <f t="shared" si="234"/>
        <v>0</v>
      </c>
      <c r="AG1216">
        <f t="shared" si="235"/>
        <v>1</v>
      </c>
      <c r="AH1216" t="str">
        <f t="shared" si="236"/>
        <v>Bachelor</v>
      </c>
      <c r="AI1216" t="str">
        <f t="shared" si="237"/>
        <v>High</v>
      </c>
      <c r="AJ1216" t="str">
        <f t="shared" si="238"/>
        <v>Very High</v>
      </c>
      <c r="AK1216" t="str">
        <f t="shared" si="239"/>
        <v>Mid-Level</v>
      </c>
      <c r="AL1216" t="str">
        <f t="shared" si="240"/>
        <v>Very High</v>
      </c>
      <c r="AM1216" t="str">
        <f t="shared" si="241"/>
        <v>Medium</v>
      </c>
      <c r="AN1216" t="str">
        <f t="shared" si="242"/>
        <v>Low</v>
      </c>
      <c r="AO1216" t="str">
        <f t="shared" si="243"/>
        <v>Better</v>
      </c>
      <c r="AP1216" t="str">
        <f t="shared" si="244"/>
        <v>35-44</v>
      </c>
      <c r="AQ1216" t="str">
        <f t="shared" si="245"/>
        <v>Upper-Mid</v>
      </c>
      <c r="AR1216" t="str">
        <f t="shared" si="246"/>
        <v>6-10 Years</v>
      </c>
    </row>
    <row r="1217" spans="1:44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46</v>
      </c>
      <c r="L1217">
        <v>79</v>
      </c>
      <c r="M1217">
        <v>2</v>
      </c>
      <c r="N1217">
        <v>1</v>
      </c>
      <c r="O1217" t="s">
        <v>47</v>
      </c>
      <c r="P1217">
        <v>4</v>
      </c>
      <c r="Q1217" t="s">
        <v>41</v>
      </c>
      <c r="R1217">
        <v>4930</v>
      </c>
      <c r="S1217">
        <v>0</v>
      </c>
      <c r="T1217" t="s">
        <v>35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  <c r="AF1217">
        <f t="shared" si="234"/>
        <v>0</v>
      </c>
      <c r="AG1217">
        <f t="shared" si="235"/>
        <v>1</v>
      </c>
      <c r="AH1217" t="str">
        <f t="shared" si="236"/>
        <v>Master</v>
      </c>
      <c r="AI1217" t="str">
        <f t="shared" si="237"/>
        <v>Low</v>
      </c>
      <c r="AJ1217" t="str">
        <f t="shared" si="238"/>
        <v>Medium</v>
      </c>
      <c r="AK1217" t="str">
        <f t="shared" si="239"/>
        <v>Entry</v>
      </c>
      <c r="AL1217" t="str">
        <f t="shared" si="240"/>
        <v>Very High</v>
      </c>
      <c r="AM1217" t="str">
        <f t="shared" si="241"/>
        <v>High</v>
      </c>
      <c r="AN1217" t="str">
        <f t="shared" si="242"/>
        <v>No Options</v>
      </c>
      <c r="AO1217" t="str">
        <f t="shared" si="243"/>
        <v>Best</v>
      </c>
      <c r="AP1217" t="str">
        <f t="shared" si="244"/>
        <v>35-44</v>
      </c>
      <c r="AQ1217" t="str">
        <f t="shared" si="245"/>
        <v>Lower-Mid</v>
      </c>
      <c r="AR1217" t="str">
        <f t="shared" si="246"/>
        <v>3-5 Years</v>
      </c>
    </row>
    <row r="1218" spans="1:44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46</v>
      </c>
      <c r="L1218">
        <v>73</v>
      </c>
      <c r="M1218">
        <v>3</v>
      </c>
      <c r="N1218">
        <v>2</v>
      </c>
      <c r="O1218" t="s">
        <v>40</v>
      </c>
      <c r="P1218">
        <v>4</v>
      </c>
      <c r="Q1218" t="s">
        <v>48</v>
      </c>
      <c r="R1218">
        <v>7847</v>
      </c>
      <c r="S1218">
        <v>1</v>
      </c>
      <c r="T1218" t="s">
        <v>35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  <c r="AF1218">
        <f t="shared" si="234"/>
        <v>0</v>
      </c>
      <c r="AG1218">
        <f t="shared" si="235"/>
        <v>1</v>
      </c>
      <c r="AH1218" t="str">
        <f t="shared" si="236"/>
        <v>Bachelor</v>
      </c>
      <c r="AI1218" t="str">
        <f t="shared" si="237"/>
        <v>Very High</v>
      </c>
      <c r="AJ1218" t="str">
        <f t="shared" si="238"/>
        <v>High</v>
      </c>
      <c r="AK1218" t="str">
        <f t="shared" si="239"/>
        <v>Junior</v>
      </c>
      <c r="AL1218" t="str">
        <f t="shared" si="240"/>
        <v>Very High</v>
      </c>
      <c r="AM1218" t="str">
        <f t="shared" si="241"/>
        <v>Low</v>
      </c>
      <c r="AN1218" t="str">
        <f t="shared" si="242"/>
        <v>Low</v>
      </c>
      <c r="AO1218" t="str">
        <f t="shared" si="243"/>
        <v>Better</v>
      </c>
      <c r="AP1218" t="str">
        <f t="shared" si="244"/>
        <v>35-44</v>
      </c>
      <c r="AQ1218" t="str">
        <f t="shared" si="245"/>
        <v>Upper-Mid</v>
      </c>
      <c r="AR1218" t="str">
        <f t="shared" si="246"/>
        <v>6-10 Years</v>
      </c>
    </row>
    <row r="1219" spans="1:44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46</v>
      </c>
      <c r="L1219">
        <v>62</v>
      </c>
      <c r="M1219">
        <v>4</v>
      </c>
      <c r="N1219">
        <v>1</v>
      </c>
      <c r="O1219" t="s">
        <v>47</v>
      </c>
      <c r="P1219">
        <v>3</v>
      </c>
      <c r="Q1219" t="s">
        <v>48</v>
      </c>
      <c r="R1219">
        <v>4401</v>
      </c>
      <c r="S1219">
        <v>1</v>
      </c>
      <c r="T1219" t="s">
        <v>43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  <c r="AF1219">
        <f t="shared" ref="AF1219:AF1282" si="247">IF(B1219="Yes",1,0)</f>
        <v>0</v>
      </c>
      <c r="AG1219">
        <f t="shared" ref="AG1219:AG1282" si="248">IF(T1219="Yes",1,0)</f>
        <v>0</v>
      </c>
      <c r="AH1219" t="str">
        <f t="shared" ref="AH1219:AH1282" si="249">CHOOSE(G1219,"Below College","College","Bachelor","Master","Doctor")</f>
        <v>Bachelor</v>
      </c>
      <c r="AI1219" t="str">
        <f t="shared" ref="AI1219:AI1282" si="250">CHOOSE(J1219,"Low","Medium","High","Very High")</f>
        <v>High</v>
      </c>
      <c r="AJ1219" t="str">
        <f t="shared" ref="AJ1219:AJ1282" si="251">CHOOSE(M1219,"Low","Medium","High","Very High")</f>
        <v>Very High</v>
      </c>
      <c r="AK1219" t="str">
        <f t="shared" ref="AK1219:AK1282" si="252">CHOOSE(N1219,"Entry","Junior","Mid-Level","Senior","Executive")</f>
        <v>Entry</v>
      </c>
      <c r="AL1219" t="str">
        <f t="shared" ref="AL1219:AL1282" si="253">CHOOSE(P1219,"Low","Medium","High","Very High")</f>
        <v>High</v>
      </c>
      <c r="AM1219" t="str">
        <f t="shared" ref="AM1219:AM1282" si="254">CHOOSE(W1219,"Low","Medium","High","Very High")</f>
        <v>Very High</v>
      </c>
      <c r="AN1219" t="str">
        <f t="shared" ref="AN1219:AN1282" si="255">CHOOSE(X1219+1,"No Options","Low","Medium","High")</f>
        <v>Low</v>
      </c>
      <c r="AO1219" t="str">
        <f t="shared" ref="AO1219:AO1282" si="256">CHOOSE(AA1219,"Bad","Good","Better","Best")</f>
        <v>Better</v>
      </c>
      <c r="AP1219" t="str">
        <f t="shared" ref="AP1219:AP1282" si="257">IF(A1219&lt;=24,"Under 25",IF(A1219&lt;=34,"25-34",IF(A1219&lt;=44,"35-44",IF(A1219&lt;=54,"45-54","55+"))))</f>
        <v>Under 25</v>
      </c>
      <c r="AQ1219" t="str">
        <f t="shared" ref="AQ1219:AQ1282" si="258">IF(R1219&lt;3000,"Low",IF(R1219&lt;7000,"Lower-Mid",IF(R1219&lt;13000,"Upper-Mid","High")))</f>
        <v>Lower-Mid</v>
      </c>
      <c r="AR1219" t="str">
        <f t="shared" ref="AR1219:AR1282" si="259">IF(AB1219&lt;=2,"0-2 Years",IF(AB1219&lt;=5,"3-5 Years",IF(AB1219&lt;=10,"6-10 Years",IF(AB1219&lt;=20,"11-20 Years","20+ Years"))))</f>
        <v>3-5 Years</v>
      </c>
    </row>
    <row r="1220" spans="1:44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t="s">
        <v>46</v>
      </c>
      <c r="L1220">
        <v>35</v>
      </c>
      <c r="M1220">
        <v>3</v>
      </c>
      <c r="N1220">
        <v>3</v>
      </c>
      <c r="O1220" t="s">
        <v>40</v>
      </c>
      <c r="P1220">
        <v>3</v>
      </c>
      <c r="Q1220" t="s">
        <v>41</v>
      </c>
      <c r="R1220">
        <v>9241</v>
      </c>
      <c r="S1220">
        <v>1</v>
      </c>
      <c r="T1220" t="s">
        <v>43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  <c r="AF1220">
        <f t="shared" si="247"/>
        <v>0</v>
      </c>
      <c r="AG1220">
        <f t="shared" si="248"/>
        <v>0</v>
      </c>
      <c r="AH1220" t="str">
        <f t="shared" si="249"/>
        <v>Bachelor</v>
      </c>
      <c r="AI1220" t="str">
        <f t="shared" si="250"/>
        <v>Very High</v>
      </c>
      <c r="AJ1220" t="str">
        <f t="shared" si="251"/>
        <v>High</v>
      </c>
      <c r="AK1220" t="str">
        <f t="shared" si="252"/>
        <v>Mid-Level</v>
      </c>
      <c r="AL1220" t="str">
        <f t="shared" si="253"/>
        <v>High</v>
      </c>
      <c r="AM1220" t="str">
        <f t="shared" si="254"/>
        <v>Medium</v>
      </c>
      <c r="AN1220" t="str">
        <f t="shared" si="255"/>
        <v>No Options</v>
      </c>
      <c r="AO1220" t="str">
        <f t="shared" si="256"/>
        <v>Better</v>
      </c>
      <c r="AP1220" t="str">
        <f t="shared" si="257"/>
        <v>35-44</v>
      </c>
      <c r="AQ1220" t="str">
        <f t="shared" si="258"/>
        <v>Upper-Mid</v>
      </c>
      <c r="AR1220" t="str">
        <f t="shared" si="259"/>
        <v>6-10 Years</v>
      </c>
    </row>
    <row r="1221" spans="1:44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39</v>
      </c>
      <c r="L1221">
        <v>43</v>
      </c>
      <c r="M1221">
        <v>3</v>
      </c>
      <c r="N1221">
        <v>1</v>
      </c>
      <c r="O1221" t="s">
        <v>50</v>
      </c>
      <c r="P1221">
        <v>3</v>
      </c>
      <c r="Q1221" t="s">
        <v>48</v>
      </c>
      <c r="R1221">
        <v>2974</v>
      </c>
      <c r="S1221">
        <v>9</v>
      </c>
      <c r="T1221" t="s">
        <v>43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  <c r="AF1221">
        <f t="shared" si="247"/>
        <v>0</v>
      </c>
      <c r="AG1221">
        <f t="shared" si="248"/>
        <v>0</v>
      </c>
      <c r="AH1221" t="str">
        <f t="shared" si="249"/>
        <v>Master</v>
      </c>
      <c r="AI1221" t="str">
        <f t="shared" si="250"/>
        <v>Very High</v>
      </c>
      <c r="AJ1221" t="str">
        <f t="shared" si="251"/>
        <v>High</v>
      </c>
      <c r="AK1221" t="str">
        <f t="shared" si="252"/>
        <v>Entry</v>
      </c>
      <c r="AL1221" t="str">
        <f t="shared" si="253"/>
        <v>High</v>
      </c>
      <c r="AM1221" t="str">
        <f t="shared" si="254"/>
        <v>High</v>
      </c>
      <c r="AN1221" t="str">
        <f t="shared" si="255"/>
        <v>Low</v>
      </c>
      <c r="AO1221" t="str">
        <f t="shared" si="256"/>
        <v>Better</v>
      </c>
      <c r="AP1221" t="str">
        <f t="shared" si="257"/>
        <v>25-34</v>
      </c>
      <c r="AQ1221" t="str">
        <f t="shared" si="258"/>
        <v>Low</v>
      </c>
      <c r="AR1221" t="str">
        <f t="shared" si="259"/>
        <v>3-5 Years</v>
      </c>
    </row>
    <row r="1222" spans="1:44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51</v>
      </c>
      <c r="M1222">
        <v>3</v>
      </c>
      <c r="N1222">
        <v>2</v>
      </c>
      <c r="O1222" t="s">
        <v>57</v>
      </c>
      <c r="P1222">
        <v>4</v>
      </c>
      <c r="Q1222" t="s">
        <v>41</v>
      </c>
      <c r="R1222">
        <v>4502</v>
      </c>
      <c r="S1222">
        <v>3</v>
      </c>
      <c r="T1222" t="s">
        <v>43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  <c r="AF1222">
        <f t="shared" si="247"/>
        <v>0</v>
      </c>
      <c r="AG1222">
        <f t="shared" si="248"/>
        <v>0</v>
      </c>
      <c r="AH1222" t="str">
        <f t="shared" si="249"/>
        <v>Master</v>
      </c>
      <c r="AI1222" t="str">
        <f t="shared" si="250"/>
        <v>High</v>
      </c>
      <c r="AJ1222" t="str">
        <f t="shared" si="251"/>
        <v>High</v>
      </c>
      <c r="AK1222" t="str">
        <f t="shared" si="252"/>
        <v>Junior</v>
      </c>
      <c r="AL1222" t="str">
        <f t="shared" si="253"/>
        <v>Very High</v>
      </c>
      <c r="AM1222" t="str">
        <f t="shared" si="254"/>
        <v>High</v>
      </c>
      <c r="AN1222" t="str">
        <f t="shared" si="255"/>
        <v>No Options</v>
      </c>
      <c r="AO1222" t="str">
        <f t="shared" si="256"/>
        <v>Good</v>
      </c>
      <c r="AP1222" t="str">
        <f t="shared" si="257"/>
        <v>35-44</v>
      </c>
      <c r="AQ1222" t="str">
        <f t="shared" si="258"/>
        <v>Lower-Mid</v>
      </c>
      <c r="AR1222" t="str">
        <f t="shared" si="259"/>
        <v>11-20 Years</v>
      </c>
    </row>
    <row r="1223" spans="1:44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46</v>
      </c>
      <c r="L1223">
        <v>74</v>
      </c>
      <c r="M1223">
        <v>2</v>
      </c>
      <c r="N1223">
        <v>3</v>
      </c>
      <c r="O1223" t="s">
        <v>54</v>
      </c>
      <c r="P1223">
        <v>3</v>
      </c>
      <c r="Q1223" t="s">
        <v>48</v>
      </c>
      <c r="R1223">
        <v>10748</v>
      </c>
      <c r="S1223">
        <v>3</v>
      </c>
      <c r="T1223" t="s">
        <v>43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  <c r="AF1223">
        <f t="shared" si="247"/>
        <v>0</v>
      </c>
      <c r="AG1223">
        <f t="shared" si="248"/>
        <v>0</v>
      </c>
      <c r="AH1223" t="str">
        <f t="shared" si="249"/>
        <v>Below College</v>
      </c>
      <c r="AI1223" t="str">
        <f t="shared" si="250"/>
        <v>High</v>
      </c>
      <c r="AJ1223" t="str">
        <f t="shared" si="251"/>
        <v>Medium</v>
      </c>
      <c r="AK1223" t="str">
        <f t="shared" si="252"/>
        <v>Mid-Level</v>
      </c>
      <c r="AL1223" t="str">
        <f t="shared" si="253"/>
        <v>High</v>
      </c>
      <c r="AM1223" t="str">
        <f t="shared" si="254"/>
        <v>Very High</v>
      </c>
      <c r="AN1223" t="str">
        <f t="shared" si="255"/>
        <v>Low</v>
      </c>
      <c r="AO1223" t="str">
        <f t="shared" si="256"/>
        <v>Good</v>
      </c>
      <c r="AP1223" t="str">
        <f t="shared" si="257"/>
        <v>45-54</v>
      </c>
      <c r="AQ1223" t="str">
        <f t="shared" si="258"/>
        <v>Upper-Mid</v>
      </c>
      <c r="AR1223" t="str">
        <f t="shared" si="259"/>
        <v>20+ Years</v>
      </c>
    </row>
    <row r="1224" spans="1:44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t="s">
        <v>46</v>
      </c>
      <c r="L1224">
        <v>58</v>
      </c>
      <c r="M1224">
        <v>1</v>
      </c>
      <c r="N1224">
        <v>1</v>
      </c>
      <c r="O1224" t="s">
        <v>61</v>
      </c>
      <c r="P1224">
        <v>3</v>
      </c>
      <c r="Q1224" t="s">
        <v>48</v>
      </c>
      <c r="R1224">
        <v>1555</v>
      </c>
      <c r="S1224">
        <v>1</v>
      </c>
      <c r="T1224" t="s">
        <v>43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  <c r="AF1224">
        <f t="shared" si="247"/>
        <v>1</v>
      </c>
      <c r="AG1224">
        <f t="shared" si="248"/>
        <v>0</v>
      </c>
      <c r="AH1224" t="str">
        <f t="shared" si="249"/>
        <v>Below College</v>
      </c>
      <c r="AI1224" t="str">
        <f t="shared" si="250"/>
        <v>Very High</v>
      </c>
      <c r="AJ1224" t="str">
        <f t="shared" si="251"/>
        <v>Low</v>
      </c>
      <c r="AK1224" t="str">
        <f t="shared" si="252"/>
        <v>Entry</v>
      </c>
      <c r="AL1224" t="str">
        <f t="shared" si="253"/>
        <v>High</v>
      </c>
      <c r="AM1224" t="str">
        <f t="shared" si="254"/>
        <v>High</v>
      </c>
      <c r="AN1224" t="str">
        <f t="shared" si="255"/>
        <v>Low</v>
      </c>
      <c r="AO1224" t="str">
        <f t="shared" si="256"/>
        <v>Better</v>
      </c>
      <c r="AP1224" t="str">
        <f t="shared" si="257"/>
        <v>Under 25</v>
      </c>
      <c r="AQ1224" t="str">
        <f t="shared" si="258"/>
        <v>Low</v>
      </c>
      <c r="AR1224" t="str">
        <f t="shared" si="259"/>
        <v>0-2 Years</v>
      </c>
    </row>
    <row r="1225" spans="1:44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46</v>
      </c>
      <c r="L1225">
        <v>82</v>
      </c>
      <c r="M1225">
        <v>1</v>
      </c>
      <c r="N1225">
        <v>4</v>
      </c>
      <c r="O1225" t="s">
        <v>40</v>
      </c>
      <c r="P1225">
        <v>3</v>
      </c>
      <c r="Q1225" t="s">
        <v>48</v>
      </c>
      <c r="R1225">
        <v>12936</v>
      </c>
      <c r="S1225">
        <v>7</v>
      </c>
      <c r="T1225" t="s">
        <v>43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  <c r="AF1225">
        <f t="shared" si="247"/>
        <v>1</v>
      </c>
      <c r="AG1225">
        <f t="shared" si="248"/>
        <v>0</v>
      </c>
      <c r="AH1225" t="str">
        <f t="shared" si="249"/>
        <v>Bachelor</v>
      </c>
      <c r="AI1225" t="str">
        <f t="shared" si="250"/>
        <v>High</v>
      </c>
      <c r="AJ1225" t="str">
        <f t="shared" si="251"/>
        <v>Low</v>
      </c>
      <c r="AK1225" t="str">
        <f t="shared" si="252"/>
        <v>Senior</v>
      </c>
      <c r="AL1225" t="str">
        <f t="shared" si="253"/>
        <v>High</v>
      </c>
      <c r="AM1225" t="str">
        <f t="shared" si="254"/>
        <v>High</v>
      </c>
      <c r="AN1225" t="str">
        <f t="shared" si="255"/>
        <v>No Options</v>
      </c>
      <c r="AO1225" t="str">
        <f t="shared" si="256"/>
        <v>Bad</v>
      </c>
      <c r="AP1225" t="str">
        <f t="shared" si="257"/>
        <v>45-54</v>
      </c>
      <c r="AQ1225" t="str">
        <f t="shared" si="258"/>
        <v>Upper-Mid</v>
      </c>
      <c r="AR1225" t="str">
        <f t="shared" si="259"/>
        <v>20+ Years</v>
      </c>
    </row>
    <row r="1226" spans="1:44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46</v>
      </c>
      <c r="L1226">
        <v>62</v>
      </c>
      <c r="M1226">
        <v>1</v>
      </c>
      <c r="N1226">
        <v>1</v>
      </c>
      <c r="O1226" t="s">
        <v>50</v>
      </c>
      <c r="P1226">
        <v>3</v>
      </c>
      <c r="Q1226" t="s">
        <v>48</v>
      </c>
      <c r="R1226">
        <v>2305</v>
      </c>
      <c r="S1226">
        <v>1</v>
      </c>
      <c r="T1226" t="s">
        <v>43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  <c r="AF1226">
        <f t="shared" si="247"/>
        <v>0</v>
      </c>
      <c r="AG1226">
        <f t="shared" si="248"/>
        <v>0</v>
      </c>
      <c r="AH1226" t="str">
        <f t="shared" si="249"/>
        <v>Master</v>
      </c>
      <c r="AI1226" t="str">
        <f t="shared" si="250"/>
        <v>Very High</v>
      </c>
      <c r="AJ1226" t="str">
        <f t="shared" si="251"/>
        <v>Low</v>
      </c>
      <c r="AK1226" t="str">
        <f t="shared" si="252"/>
        <v>Entry</v>
      </c>
      <c r="AL1226" t="str">
        <f t="shared" si="253"/>
        <v>High</v>
      </c>
      <c r="AM1226" t="str">
        <f t="shared" si="254"/>
        <v>High</v>
      </c>
      <c r="AN1226" t="str">
        <f t="shared" si="255"/>
        <v>High</v>
      </c>
      <c r="AO1226" t="str">
        <f t="shared" si="256"/>
        <v>Best</v>
      </c>
      <c r="AP1226" t="str">
        <f t="shared" si="257"/>
        <v>25-34</v>
      </c>
      <c r="AQ1226" t="str">
        <f t="shared" si="258"/>
        <v>Low</v>
      </c>
      <c r="AR1226" t="str">
        <f t="shared" si="259"/>
        <v>3-5 Years</v>
      </c>
    </row>
    <row r="1227" spans="1:44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t="s">
        <v>39</v>
      </c>
      <c r="L1227">
        <v>48</v>
      </c>
      <c r="M1227">
        <v>2</v>
      </c>
      <c r="N1227">
        <v>4</v>
      </c>
      <c r="O1227" t="s">
        <v>58</v>
      </c>
      <c r="P1227">
        <v>2</v>
      </c>
      <c r="Q1227" t="s">
        <v>41</v>
      </c>
      <c r="R1227">
        <v>16704</v>
      </c>
      <c r="S1227">
        <v>1</v>
      </c>
      <c r="T1227" t="s">
        <v>43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  <c r="AF1227">
        <f t="shared" si="247"/>
        <v>0</v>
      </c>
      <c r="AG1227">
        <f t="shared" si="248"/>
        <v>0</v>
      </c>
      <c r="AH1227" t="str">
        <f t="shared" si="249"/>
        <v>College</v>
      </c>
      <c r="AI1227" t="str">
        <f t="shared" si="250"/>
        <v>Very High</v>
      </c>
      <c r="AJ1227" t="str">
        <f t="shared" si="251"/>
        <v>Medium</v>
      </c>
      <c r="AK1227" t="str">
        <f t="shared" si="252"/>
        <v>Senior</v>
      </c>
      <c r="AL1227" t="str">
        <f t="shared" si="253"/>
        <v>Medium</v>
      </c>
      <c r="AM1227" t="str">
        <f t="shared" si="254"/>
        <v>High</v>
      </c>
      <c r="AN1227" t="str">
        <f t="shared" si="255"/>
        <v>No Options</v>
      </c>
      <c r="AO1227" t="str">
        <f t="shared" si="256"/>
        <v>Better</v>
      </c>
      <c r="AP1227" t="str">
        <f t="shared" si="257"/>
        <v>45-54</v>
      </c>
      <c r="AQ1227" t="str">
        <f t="shared" si="258"/>
        <v>High</v>
      </c>
      <c r="AR1227" t="str">
        <f t="shared" si="259"/>
        <v>20+ Years</v>
      </c>
    </row>
    <row r="1228" spans="1:44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46</v>
      </c>
      <c r="L1228">
        <v>56</v>
      </c>
      <c r="M1228">
        <v>3</v>
      </c>
      <c r="N1228">
        <v>1</v>
      </c>
      <c r="O1228" t="s">
        <v>47</v>
      </c>
      <c r="P1228">
        <v>3</v>
      </c>
      <c r="Q1228" t="s">
        <v>48</v>
      </c>
      <c r="R1228">
        <v>3433</v>
      </c>
      <c r="S1228">
        <v>6</v>
      </c>
      <c r="T1228" t="s">
        <v>43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  <c r="AF1228">
        <f t="shared" si="247"/>
        <v>0</v>
      </c>
      <c r="AG1228">
        <f t="shared" si="248"/>
        <v>0</v>
      </c>
      <c r="AH1228" t="str">
        <f t="shared" si="249"/>
        <v>Bachelor</v>
      </c>
      <c r="AI1228" t="str">
        <f t="shared" si="250"/>
        <v>Low</v>
      </c>
      <c r="AJ1228" t="str">
        <f t="shared" si="251"/>
        <v>High</v>
      </c>
      <c r="AK1228" t="str">
        <f t="shared" si="252"/>
        <v>Entry</v>
      </c>
      <c r="AL1228" t="str">
        <f t="shared" si="253"/>
        <v>High</v>
      </c>
      <c r="AM1228" t="str">
        <f t="shared" si="254"/>
        <v>Low</v>
      </c>
      <c r="AN1228" t="str">
        <f t="shared" si="255"/>
        <v>Low</v>
      </c>
      <c r="AO1228" t="str">
        <f t="shared" si="256"/>
        <v>Good</v>
      </c>
      <c r="AP1228" t="str">
        <f t="shared" si="257"/>
        <v>25-34</v>
      </c>
      <c r="AQ1228" t="str">
        <f t="shared" si="258"/>
        <v>Lower-Mid</v>
      </c>
      <c r="AR1228" t="str">
        <f t="shared" si="259"/>
        <v>3-5 Years</v>
      </c>
    </row>
    <row r="1229" spans="1:44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46</v>
      </c>
      <c r="L1229">
        <v>69</v>
      </c>
      <c r="M1229">
        <v>3</v>
      </c>
      <c r="N1229">
        <v>1</v>
      </c>
      <c r="O1229" t="s">
        <v>50</v>
      </c>
      <c r="P1229">
        <v>3</v>
      </c>
      <c r="Q1229" t="s">
        <v>48</v>
      </c>
      <c r="R1229">
        <v>3477</v>
      </c>
      <c r="S1229">
        <v>1</v>
      </c>
      <c r="T1229" t="s">
        <v>43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  <c r="AF1229">
        <f t="shared" si="247"/>
        <v>0</v>
      </c>
      <c r="AG1229">
        <f t="shared" si="248"/>
        <v>0</v>
      </c>
      <c r="AH1229" t="str">
        <f t="shared" si="249"/>
        <v>Master</v>
      </c>
      <c r="AI1229" t="str">
        <f t="shared" si="250"/>
        <v>Medium</v>
      </c>
      <c r="AJ1229" t="str">
        <f t="shared" si="251"/>
        <v>High</v>
      </c>
      <c r="AK1229" t="str">
        <f t="shared" si="252"/>
        <v>Entry</v>
      </c>
      <c r="AL1229" t="str">
        <f t="shared" si="253"/>
        <v>High</v>
      </c>
      <c r="AM1229" t="str">
        <f t="shared" si="254"/>
        <v>Very High</v>
      </c>
      <c r="AN1229" t="str">
        <f t="shared" si="255"/>
        <v>Low</v>
      </c>
      <c r="AO1229" t="str">
        <f t="shared" si="256"/>
        <v>Best</v>
      </c>
      <c r="AP1229" t="str">
        <f t="shared" si="257"/>
        <v>25-34</v>
      </c>
      <c r="AQ1229" t="str">
        <f t="shared" si="258"/>
        <v>Lower-Mid</v>
      </c>
      <c r="AR1229" t="str">
        <f t="shared" si="259"/>
        <v>3-5 Years</v>
      </c>
    </row>
    <row r="1230" spans="1:44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t="s">
        <v>46</v>
      </c>
      <c r="L1230">
        <v>60</v>
      </c>
      <c r="M1230">
        <v>1</v>
      </c>
      <c r="N1230">
        <v>2</v>
      </c>
      <c r="O1230" t="s">
        <v>61</v>
      </c>
      <c r="P1230">
        <v>2</v>
      </c>
      <c r="Q1230" t="s">
        <v>48</v>
      </c>
      <c r="R1230">
        <v>6430</v>
      </c>
      <c r="S1230">
        <v>6</v>
      </c>
      <c r="T1230" t="s">
        <v>43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  <c r="AF1230">
        <f t="shared" si="247"/>
        <v>0</v>
      </c>
      <c r="AG1230">
        <f t="shared" si="248"/>
        <v>0</v>
      </c>
      <c r="AH1230" t="str">
        <f t="shared" si="249"/>
        <v>Bachelor</v>
      </c>
      <c r="AI1230" t="str">
        <f t="shared" si="250"/>
        <v>High</v>
      </c>
      <c r="AJ1230" t="str">
        <f t="shared" si="251"/>
        <v>Low</v>
      </c>
      <c r="AK1230" t="str">
        <f t="shared" si="252"/>
        <v>Junior</v>
      </c>
      <c r="AL1230" t="str">
        <f t="shared" si="253"/>
        <v>Medium</v>
      </c>
      <c r="AM1230" t="str">
        <f t="shared" si="254"/>
        <v>Medium</v>
      </c>
      <c r="AN1230" t="str">
        <f t="shared" si="255"/>
        <v>Low</v>
      </c>
      <c r="AO1230" t="str">
        <f t="shared" si="256"/>
        <v>Better</v>
      </c>
      <c r="AP1230" t="str">
        <f t="shared" si="257"/>
        <v>35-44</v>
      </c>
      <c r="AQ1230" t="str">
        <f t="shared" si="258"/>
        <v>Lower-Mid</v>
      </c>
      <c r="AR1230" t="str">
        <f t="shared" si="259"/>
        <v>3-5 Years</v>
      </c>
    </row>
    <row r="1231" spans="1:44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92</v>
      </c>
      <c r="M1231">
        <v>3</v>
      </c>
      <c r="N1231">
        <v>2</v>
      </c>
      <c r="O1231" t="s">
        <v>53</v>
      </c>
      <c r="P1231">
        <v>1</v>
      </c>
      <c r="Q1231" t="s">
        <v>48</v>
      </c>
      <c r="R1231">
        <v>6516</v>
      </c>
      <c r="S1231">
        <v>2</v>
      </c>
      <c r="T1231" t="s">
        <v>35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  <c r="AF1231">
        <f t="shared" si="247"/>
        <v>0</v>
      </c>
      <c r="AG1231">
        <f t="shared" si="248"/>
        <v>1</v>
      </c>
      <c r="AH1231" t="str">
        <f t="shared" si="249"/>
        <v>College</v>
      </c>
      <c r="AI1231" t="str">
        <f t="shared" si="250"/>
        <v>Medium</v>
      </c>
      <c r="AJ1231" t="str">
        <f t="shared" si="251"/>
        <v>High</v>
      </c>
      <c r="AK1231" t="str">
        <f t="shared" si="252"/>
        <v>Junior</v>
      </c>
      <c r="AL1231" t="str">
        <f t="shared" si="253"/>
        <v>Low</v>
      </c>
      <c r="AM1231" t="str">
        <f t="shared" si="254"/>
        <v>Medium</v>
      </c>
      <c r="AN1231" t="str">
        <f t="shared" si="255"/>
        <v>Low</v>
      </c>
      <c r="AO1231" t="str">
        <f t="shared" si="256"/>
        <v>Better</v>
      </c>
      <c r="AP1231" t="str">
        <f t="shared" si="257"/>
        <v>35-44</v>
      </c>
      <c r="AQ1231" t="str">
        <f t="shared" si="258"/>
        <v>Lower-Mid</v>
      </c>
      <c r="AR1231" t="str">
        <f t="shared" si="259"/>
        <v>0-2 Years</v>
      </c>
    </row>
    <row r="1232" spans="1:44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46</v>
      </c>
      <c r="L1232">
        <v>91</v>
      </c>
      <c r="M1232">
        <v>3</v>
      </c>
      <c r="N1232">
        <v>1</v>
      </c>
      <c r="O1232" t="s">
        <v>50</v>
      </c>
      <c r="P1232">
        <v>1</v>
      </c>
      <c r="Q1232" t="s">
        <v>52</v>
      </c>
      <c r="R1232">
        <v>3907</v>
      </c>
      <c r="S1232">
        <v>1</v>
      </c>
      <c r="T1232" t="s">
        <v>43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  <c r="AF1232">
        <f t="shared" si="247"/>
        <v>0</v>
      </c>
      <c r="AG1232">
        <f t="shared" si="248"/>
        <v>0</v>
      </c>
      <c r="AH1232" t="str">
        <f t="shared" si="249"/>
        <v>Below College</v>
      </c>
      <c r="AI1232" t="str">
        <f t="shared" si="250"/>
        <v>Medium</v>
      </c>
      <c r="AJ1232" t="str">
        <f t="shared" si="251"/>
        <v>High</v>
      </c>
      <c r="AK1232" t="str">
        <f t="shared" si="252"/>
        <v>Entry</v>
      </c>
      <c r="AL1232" t="str">
        <f t="shared" si="253"/>
        <v>Low</v>
      </c>
      <c r="AM1232" t="str">
        <f t="shared" si="254"/>
        <v>Medium</v>
      </c>
      <c r="AN1232" t="str">
        <f t="shared" si="255"/>
        <v>High</v>
      </c>
      <c r="AO1232" t="str">
        <f t="shared" si="256"/>
        <v>Best</v>
      </c>
      <c r="AP1232" t="str">
        <f t="shared" si="257"/>
        <v>Under 25</v>
      </c>
      <c r="AQ1232" t="str">
        <f t="shared" si="258"/>
        <v>Lower-Mid</v>
      </c>
      <c r="AR1232" t="str">
        <f t="shared" si="259"/>
        <v>6-10 Years</v>
      </c>
    </row>
    <row r="1233" spans="1:44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46</v>
      </c>
      <c r="L1233">
        <v>34</v>
      </c>
      <c r="M1233">
        <v>3</v>
      </c>
      <c r="N1233">
        <v>2</v>
      </c>
      <c r="O1233" t="s">
        <v>54</v>
      </c>
      <c r="P1233">
        <v>2</v>
      </c>
      <c r="Q1233" t="s">
        <v>41</v>
      </c>
      <c r="R1233">
        <v>5562</v>
      </c>
      <c r="S1233">
        <v>6</v>
      </c>
      <c r="T1233" t="s">
        <v>43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  <c r="AF1233">
        <f t="shared" si="247"/>
        <v>0</v>
      </c>
      <c r="AG1233">
        <f t="shared" si="248"/>
        <v>0</v>
      </c>
      <c r="AH1233" t="str">
        <f t="shared" si="249"/>
        <v>Master</v>
      </c>
      <c r="AI1233" t="str">
        <f t="shared" si="250"/>
        <v>High</v>
      </c>
      <c r="AJ1233" t="str">
        <f t="shared" si="251"/>
        <v>High</v>
      </c>
      <c r="AK1233" t="str">
        <f t="shared" si="252"/>
        <v>Junior</v>
      </c>
      <c r="AL1233" t="str">
        <f t="shared" si="253"/>
        <v>Medium</v>
      </c>
      <c r="AM1233" t="str">
        <f t="shared" si="254"/>
        <v>Very High</v>
      </c>
      <c r="AN1233" t="str">
        <f t="shared" si="255"/>
        <v>No Options</v>
      </c>
      <c r="AO1233" t="str">
        <f t="shared" si="256"/>
        <v>Better</v>
      </c>
      <c r="AP1233" t="str">
        <f t="shared" si="257"/>
        <v>45-54</v>
      </c>
      <c r="AQ1233" t="str">
        <f t="shared" si="258"/>
        <v>Lower-Mid</v>
      </c>
      <c r="AR1233" t="str">
        <f t="shared" si="259"/>
        <v>6-10 Years</v>
      </c>
    </row>
    <row r="1234" spans="1:44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46</v>
      </c>
      <c r="L1234">
        <v>49</v>
      </c>
      <c r="M1234">
        <v>3</v>
      </c>
      <c r="N1234">
        <v>2</v>
      </c>
      <c r="O1234" t="s">
        <v>53</v>
      </c>
      <c r="P1234">
        <v>3</v>
      </c>
      <c r="Q1234" t="s">
        <v>48</v>
      </c>
      <c r="R1234">
        <v>6883</v>
      </c>
      <c r="S1234">
        <v>2</v>
      </c>
      <c r="T1234" t="s">
        <v>43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  <c r="AF1234">
        <f t="shared" si="247"/>
        <v>0</v>
      </c>
      <c r="AG1234">
        <f t="shared" si="248"/>
        <v>0</v>
      </c>
      <c r="AH1234" t="str">
        <f t="shared" si="249"/>
        <v>Master</v>
      </c>
      <c r="AI1234" t="str">
        <f t="shared" si="250"/>
        <v>Very High</v>
      </c>
      <c r="AJ1234" t="str">
        <f t="shared" si="251"/>
        <v>High</v>
      </c>
      <c r="AK1234" t="str">
        <f t="shared" si="252"/>
        <v>Junior</v>
      </c>
      <c r="AL1234" t="str">
        <f t="shared" si="253"/>
        <v>High</v>
      </c>
      <c r="AM1234" t="str">
        <f t="shared" si="254"/>
        <v>Medium</v>
      </c>
      <c r="AN1234" t="str">
        <f t="shared" si="255"/>
        <v>Low</v>
      </c>
      <c r="AO1234" t="str">
        <f t="shared" si="256"/>
        <v>Better</v>
      </c>
      <c r="AP1234" t="str">
        <f t="shared" si="257"/>
        <v>35-44</v>
      </c>
      <c r="AQ1234" t="str">
        <f t="shared" si="258"/>
        <v>Lower-Mid</v>
      </c>
      <c r="AR1234" t="str">
        <f t="shared" si="259"/>
        <v>6-10 Years</v>
      </c>
    </row>
    <row r="1235" spans="1:44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46</v>
      </c>
      <c r="L1235">
        <v>33</v>
      </c>
      <c r="M1235">
        <v>3</v>
      </c>
      <c r="N1235">
        <v>1</v>
      </c>
      <c r="O1235" t="s">
        <v>47</v>
      </c>
      <c r="P1235">
        <v>4</v>
      </c>
      <c r="Q1235" t="s">
        <v>48</v>
      </c>
      <c r="R1235">
        <v>2862</v>
      </c>
      <c r="S1235">
        <v>1</v>
      </c>
      <c r="T1235" t="s">
        <v>43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  <c r="AF1235">
        <f t="shared" si="247"/>
        <v>0</v>
      </c>
      <c r="AG1235">
        <f t="shared" si="248"/>
        <v>0</v>
      </c>
      <c r="AH1235" t="str">
        <f t="shared" si="249"/>
        <v>Below College</v>
      </c>
      <c r="AI1235" t="str">
        <f t="shared" si="250"/>
        <v>Medium</v>
      </c>
      <c r="AJ1235" t="str">
        <f t="shared" si="251"/>
        <v>High</v>
      </c>
      <c r="AK1235" t="str">
        <f t="shared" si="252"/>
        <v>Entry</v>
      </c>
      <c r="AL1235" t="str">
        <f t="shared" si="253"/>
        <v>Very High</v>
      </c>
      <c r="AM1235" t="str">
        <f t="shared" si="254"/>
        <v>Medium</v>
      </c>
      <c r="AN1235" t="str">
        <f t="shared" si="255"/>
        <v>Low</v>
      </c>
      <c r="AO1235" t="str">
        <f t="shared" si="256"/>
        <v>Good</v>
      </c>
      <c r="AP1235" t="str">
        <f t="shared" si="257"/>
        <v>25-34</v>
      </c>
      <c r="AQ1235" t="str">
        <f t="shared" si="258"/>
        <v>Low</v>
      </c>
      <c r="AR1235" t="str">
        <f t="shared" si="259"/>
        <v>6-10 Years</v>
      </c>
    </row>
    <row r="1236" spans="1:44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t="s">
        <v>46</v>
      </c>
      <c r="L1236">
        <v>87</v>
      </c>
      <c r="M1236">
        <v>3</v>
      </c>
      <c r="N1236">
        <v>2</v>
      </c>
      <c r="O1236" t="s">
        <v>40</v>
      </c>
      <c r="P1236">
        <v>2</v>
      </c>
      <c r="Q1236" t="s">
        <v>48</v>
      </c>
      <c r="R1236">
        <v>4978</v>
      </c>
      <c r="S1236">
        <v>7</v>
      </c>
      <c r="T1236" t="s">
        <v>43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  <c r="AF1236">
        <f t="shared" si="247"/>
        <v>0</v>
      </c>
      <c r="AG1236">
        <f t="shared" si="248"/>
        <v>0</v>
      </c>
      <c r="AH1236" t="str">
        <f t="shared" si="249"/>
        <v>Master</v>
      </c>
      <c r="AI1236" t="str">
        <f t="shared" si="250"/>
        <v>High</v>
      </c>
      <c r="AJ1236" t="str">
        <f t="shared" si="251"/>
        <v>High</v>
      </c>
      <c r="AK1236" t="str">
        <f t="shared" si="252"/>
        <v>Junior</v>
      </c>
      <c r="AL1236" t="str">
        <f t="shared" si="253"/>
        <v>Medium</v>
      </c>
      <c r="AM1236" t="str">
        <f t="shared" si="254"/>
        <v>Very High</v>
      </c>
      <c r="AN1236" t="str">
        <f t="shared" si="255"/>
        <v>Low</v>
      </c>
      <c r="AO1236" t="str">
        <f t="shared" si="256"/>
        <v>Bad</v>
      </c>
      <c r="AP1236" t="str">
        <f t="shared" si="257"/>
        <v>45-54</v>
      </c>
      <c r="AQ1236" t="str">
        <f t="shared" si="258"/>
        <v>Lower-Mid</v>
      </c>
      <c r="AR1236" t="str">
        <f t="shared" si="259"/>
        <v>0-2 Years</v>
      </c>
    </row>
    <row r="1237" spans="1:44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46</v>
      </c>
      <c r="L1237">
        <v>74</v>
      </c>
      <c r="M1237">
        <v>3</v>
      </c>
      <c r="N1237">
        <v>3</v>
      </c>
      <c r="O1237" t="s">
        <v>40</v>
      </c>
      <c r="P1237">
        <v>4</v>
      </c>
      <c r="Q1237" t="s">
        <v>52</v>
      </c>
      <c r="R1237">
        <v>10368</v>
      </c>
      <c r="S1237">
        <v>4</v>
      </c>
      <c r="T1237" t="s">
        <v>35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  <c r="AF1237">
        <f t="shared" si="247"/>
        <v>0</v>
      </c>
      <c r="AG1237">
        <f t="shared" si="248"/>
        <v>1</v>
      </c>
      <c r="AH1237" t="str">
        <f t="shared" si="249"/>
        <v>Bachelor</v>
      </c>
      <c r="AI1237" t="str">
        <f t="shared" si="250"/>
        <v>High</v>
      </c>
      <c r="AJ1237" t="str">
        <f t="shared" si="251"/>
        <v>High</v>
      </c>
      <c r="AK1237" t="str">
        <f t="shared" si="252"/>
        <v>Mid-Level</v>
      </c>
      <c r="AL1237" t="str">
        <f t="shared" si="253"/>
        <v>Very High</v>
      </c>
      <c r="AM1237" t="str">
        <f t="shared" si="254"/>
        <v>Medium</v>
      </c>
      <c r="AN1237" t="str">
        <f t="shared" si="255"/>
        <v>Low</v>
      </c>
      <c r="AO1237" t="str">
        <f t="shared" si="256"/>
        <v>Good</v>
      </c>
      <c r="AP1237" t="str">
        <f t="shared" si="257"/>
        <v>45-54</v>
      </c>
      <c r="AQ1237" t="str">
        <f t="shared" si="258"/>
        <v>Upper-Mid</v>
      </c>
      <c r="AR1237" t="str">
        <f t="shared" si="259"/>
        <v>6-10 Years</v>
      </c>
    </row>
    <row r="1238" spans="1:44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t="s">
        <v>46</v>
      </c>
      <c r="L1238">
        <v>96</v>
      </c>
      <c r="M1238">
        <v>2</v>
      </c>
      <c r="N1238">
        <v>2</v>
      </c>
      <c r="O1238" t="s">
        <v>40</v>
      </c>
      <c r="P1238">
        <v>1</v>
      </c>
      <c r="Q1238" t="s">
        <v>52</v>
      </c>
      <c r="R1238">
        <v>6134</v>
      </c>
      <c r="S1238">
        <v>5</v>
      </c>
      <c r="T1238" t="s">
        <v>35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  <c r="AF1238">
        <f t="shared" si="247"/>
        <v>1</v>
      </c>
      <c r="AG1238">
        <f t="shared" si="248"/>
        <v>1</v>
      </c>
      <c r="AH1238" t="str">
        <f t="shared" si="249"/>
        <v>Doctor</v>
      </c>
      <c r="AI1238" t="str">
        <f t="shared" si="250"/>
        <v>Medium</v>
      </c>
      <c r="AJ1238" t="str">
        <f t="shared" si="251"/>
        <v>Medium</v>
      </c>
      <c r="AK1238" t="str">
        <f t="shared" si="252"/>
        <v>Junior</v>
      </c>
      <c r="AL1238" t="str">
        <f t="shared" si="253"/>
        <v>Low</v>
      </c>
      <c r="AM1238" t="str">
        <f t="shared" si="254"/>
        <v>Medium</v>
      </c>
      <c r="AN1238" t="str">
        <f t="shared" si="255"/>
        <v>High</v>
      </c>
      <c r="AO1238" t="str">
        <f t="shared" si="256"/>
        <v>Better</v>
      </c>
      <c r="AP1238" t="str">
        <f t="shared" si="257"/>
        <v>35-44</v>
      </c>
      <c r="AQ1238" t="str">
        <f t="shared" si="258"/>
        <v>Lower-Mid</v>
      </c>
      <c r="AR1238" t="str">
        <f t="shared" si="259"/>
        <v>0-2 Years</v>
      </c>
    </row>
    <row r="1239" spans="1:44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46</v>
      </c>
      <c r="L1239">
        <v>34</v>
      </c>
      <c r="M1239">
        <v>1</v>
      </c>
      <c r="N1239">
        <v>2</v>
      </c>
      <c r="O1239" t="s">
        <v>40</v>
      </c>
      <c r="P1239">
        <v>2</v>
      </c>
      <c r="Q1239" t="s">
        <v>41</v>
      </c>
      <c r="R1239">
        <v>6735</v>
      </c>
      <c r="S1239">
        <v>6</v>
      </c>
      <c r="T1239" t="s">
        <v>43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  <c r="AF1239">
        <f t="shared" si="247"/>
        <v>1</v>
      </c>
      <c r="AG1239">
        <f t="shared" si="248"/>
        <v>0</v>
      </c>
      <c r="AH1239" t="str">
        <f t="shared" si="249"/>
        <v>College</v>
      </c>
      <c r="AI1239" t="str">
        <f t="shared" si="250"/>
        <v>Low</v>
      </c>
      <c r="AJ1239" t="str">
        <f t="shared" si="251"/>
        <v>Low</v>
      </c>
      <c r="AK1239" t="str">
        <f t="shared" si="252"/>
        <v>Junior</v>
      </c>
      <c r="AL1239" t="str">
        <f t="shared" si="253"/>
        <v>Medium</v>
      </c>
      <c r="AM1239" t="str">
        <f t="shared" si="254"/>
        <v>Medium</v>
      </c>
      <c r="AN1239" t="str">
        <f t="shared" si="255"/>
        <v>No Options</v>
      </c>
      <c r="AO1239" t="str">
        <f t="shared" si="256"/>
        <v>Better</v>
      </c>
      <c r="AP1239" t="str">
        <f t="shared" si="257"/>
        <v>25-34</v>
      </c>
      <c r="AQ1239" t="str">
        <f t="shared" si="258"/>
        <v>Lower-Mid</v>
      </c>
      <c r="AR1239" t="str">
        <f t="shared" si="259"/>
        <v>0-2 Years</v>
      </c>
    </row>
    <row r="1240" spans="1:44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39</v>
      </c>
      <c r="L1240">
        <v>51</v>
      </c>
      <c r="M1240">
        <v>3</v>
      </c>
      <c r="N1240">
        <v>1</v>
      </c>
      <c r="O1240" t="s">
        <v>50</v>
      </c>
      <c r="P1240">
        <v>2</v>
      </c>
      <c r="Q1240" t="s">
        <v>41</v>
      </c>
      <c r="R1240">
        <v>3295</v>
      </c>
      <c r="S1240">
        <v>1</v>
      </c>
      <c r="T1240" t="s">
        <v>43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  <c r="AF1240">
        <f t="shared" si="247"/>
        <v>0</v>
      </c>
      <c r="AG1240">
        <f t="shared" si="248"/>
        <v>0</v>
      </c>
      <c r="AH1240" t="str">
        <f t="shared" si="249"/>
        <v>Below College</v>
      </c>
      <c r="AI1240" t="str">
        <f t="shared" si="250"/>
        <v>High</v>
      </c>
      <c r="AJ1240" t="str">
        <f t="shared" si="251"/>
        <v>High</v>
      </c>
      <c r="AK1240" t="str">
        <f t="shared" si="252"/>
        <v>Entry</v>
      </c>
      <c r="AL1240" t="str">
        <f t="shared" si="253"/>
        <v>Medium</v>
      </c>
      <c r="AM1240" t="str">
        <f t="shared" si="254"/>
        <v>High</v>
      </c>
      <c r="AN1240" t="str">
        <f t="shared" si="255"/>
        <v>No Options</v>
      </c>
      <c r="AO1240" t="str">
        <f t="shared" si="256"/>
        <v>Bad</v>
      </c>
      <c r="AP1240" t="str">
        <f t="shared" si="257"/>
        <v>Under 25</v>
      </c>
      <c r="AQ1240" t="str">
        <f t="shared" si="258"/>
        <v>Lower-Mid</v>
      </c>
      <c r="AR1240" t="str">
        <f t="shared" si="259"/>
        <v>3-5 Years</v>
      </c>
    </row>
    <row r="1241" spans="1:44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t="s">
        <v>39</v>
      </c>
      <c r="L1241">
        <v>30</v>
      </c>
      <c r="M1241">
        <v>3</v>
      </c>
      <c r="N1241">
        <v>2</v>
      </c>
      <c r="O1241" t="s">
        <v>53</v>
      </c>
      <c r="P1241">
        <v>4</v>
      </c>
      <c r="Q1241" t="s">
        <v>41</v>
      </c>
      <c r="R1241">
        <v>5238</v>
      </c>
      <c r="S1241">
        <v>2</v>
      </c>
      <c r="T1241" t="s">
        <v>43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  <c r="AF1241">
        <f t="shared" si="247"/>
        <v>0</v>
      </c>
      <c r="AG1241">
        <f t="shared" si="248"/>
        <v>0</v>
      </c>
      <c r="AH1241" t="str">
        <f t="shared" si="249"/>
        <v>Below College</v>
      </c>
      <c r="AI1241" t="str">
        <f t="shared" si="250"/>
        <v>Very High</v>
      </c>
      <c r="AJ1241" t="str">
        <f t="shared" si="251"/>
        <v>High</v>
      </c>
      <c r="AK1241" t="str">
        <f t="shared" si="252"/>
        <v>Junior</v>
      </c>
      <c r="AL1241" t="str">
        <f t="shared" si="253"/>
        <v>Very High</v>
      </c>
      <c r="AM1241" t="str">
        <f t="shared" si="254"/>
        <v>Very High</v>
      </c>
      <c r="AN1241" t="str">
        <f t="shared" si="255"/>
        <v>No Options</v>
      </c>
      <c r="AO1241" t="str">
        <f t="shared" si="256"/>
        <v>Good</v>
      </c>
      <c r="AP1241" t="str">
        <f t="shared" si="257"/>
        <v>25-34</v>
      </c>
      <c r="AQ1241" t="str">
        <f t="shared" si="258"/>
        <v>Lower-Mid</v>
      </c>
      <c r="AR1241" t="str">
        <f t="shared" si="259"/>
        <v>3-5 Years</v>
      </c>
    </row>
    <row r="1242" spans="1:44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46</v>
      </c>
      <c r="L1242">
        <v>77</v>
      </c>
      <c r="M1242">
        <v>3</v>
      </c>
      <c r="N1242">
        <v>2</v>
      </c>
      <c r="O1242" t="s">
        <v>50</v>
      </c>
      <c r="P1242">
        <v>4</v>
      </c>
      <c r="Q1242" t="s">
        <v>48</v>
      </c>
      <c r="R1242">
        <v>6472</v>
      </c>
      <c r="S1242">
        <v>1</v>
      </c>
      <c r="T1242" t="s">
        <v>35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  <c r="AF1242">
        <f t="shared" si="247"/>
        <v>0</v>
      </c>
      <c r="AG1242">
        <f t="shared" si="248"/>
        <v>1</v>
      </c>
      <c r="AH1242" t="str">
        <f t="shared" si="249"/>
        <v>Bachelor</v>
      </c>
      <c r="AI1242" t="str">
        <f t="shared" si="250"/>
        <v>Very High</v>
      </c>
      <c r="AJ1242" t="str">
        <f t="shared" si="251"/>
        <v>High</v>
      </c>
      <c r="AK1242" t="str">
        <f t="shared" si="252"/>
        <v>Junior</v>
      </c>
      <c r="AL1242" t="str">
        <f t="shared" si="253"/>
        <v>Very High</v>
      </c>
      <c r="AM1242" t="str">
        <f t="shared" si="254"/>
        <v>Very High</v>
      </c>
      <c r="AN1242" t="str">
        <f t="shared" si="255"/>
        <v>Low</v>
      </c>
      <c r="AO1242" t="str">
        <f t="shared" si="256"/>
        <v>Better</v>
      </c>
      <c r="AP1242" t="str">
        <f t="shared" si="257"/>
        <v>35-44</v>
      </c>
      <c r="AQ1242" t="str">
        <f t="shared" si="258"/>
        <v>Lower-Mid</v>
      </c>
      <c r="AR1242" t="str">
        <f t="shared" si="259"/>
        <v>6-10 Years</v>
      </c>
    </row>
    <row r="1243" spans="1:44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46</v>
      </c>
      <c r="L1243">
        <v>80</v>
      </c>
      <c r="M1243">
        <v>1</v>
      </c>
      <c r="N1243">
        <v>3</v>
      </c>
      <c r="O1243" t="s">
        <v>40</v>
      </c>
      <c r="P1243">
        <v>3</v>
      </c>
      <c r="Q1243" t="s">
        <v>48</v>
      </c>
      <c r="R1243">
        <v>9610</v>
      </c>
      <c r="S1243">
        <v>3</v>
      </c>
      <c r="T1243" t="s">
        <v>43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  <c r="AF1243">
        <f t="shared" si="247"/>
        <v>0</v>
      </c>
      <c r="AG1243">
        <f t="shared" si="248"/>
        <v>0</v>
      </c>
      <c r="AH1243" t="str">
        <f t="shared" si="249"/>
        <v>Bachelor</v>
      </c>
      <c r="AI1243" t="str">
        <f t="shared" si="250"/>
        <v>Very High</v>
      </c>
      <c r="AJ1243" t="str">
        <f t="shared" si="251"/>
        <v>Low</v>
      </c>
      <c r="AK1243" t="str">
        <f t="shared" si="252"/>
        <v>Mid-Level</v>
      </c>
      <c r="AL1243" t="str">
        <f t="shared" si="253"/>
        <v>High</v>
      </c>
      <c r="AM1243" t="str">
        <f t="shared" si="254"/>
        <v>High</v>
      </c>
      <c r="AN1243" t="str">
        <f t="shared" si="255"/>
        <v>Low</v>
      </c>
      <c r="AO1243" t="str">
        <f t="shared" si="256"/>
        <v>Bad</v>
      </c>
      <c r="AP1243" t="str">
        <f t="shared" si="257"/>
        <v>25-34</v>
      </c>
      <c r="AQ1243" t="str">
        <f t="shared" si="258"/>
        <v>Upper-Mid</v>
      </c>
      <c r="AR1243" t="str">
        <f t="shared" si="259"/>
        <v>3-5 Years</v>
      </c>
    </row>
    <row r="1244" spans="1:44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46</v>
      </c>
      <c r="L1244">
        <v>88</v>
      </c>
      <c r="M1244">
        <v>3</v>
      </c>
      <c r="N1244">
        <v>5</v>
      </c>
      <c r="O1244" t="s">
        <v>56</v>
      </c>
      <c r="P1244">
        <v>2</v>
      </c>
      <c r="Q1244" t="s">
        <v>41</v>
      </c>
      <c r="R1244">
        <v>19833</v>
      </c>
      <c r="S1244">
        <v>1</v>
      </c>
      <c r="T1244" t="s">
        <v>43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  <c r="AF1244">
        <f t="shared" si="247"/>
        <v>0</v>
      </c>
      <c r="AG1244">
        <f t="shared" si="248"/>
        <v>0</v>
      </c>
      <c r="AH1244" t="str">
        <f t="shared" si="249"/>
        <v>Master</v>
      </c>
      <c r="AI1244" t="str">
        <f t="shared" si="250"/>
        <v>Medium</v>
      </c>
      <c r="AJ1244" t="str">
        <f t="shared" si="251"/>
        <v>High</v>
      </c>
      <c r="AK1244" t="str">
        <f t="shared" si="252"/>
        <v>Executive</v>
      </c>
      <c r="AL1244" t="str">
        <f t="shared" si="253"/>
        <v>Medium</v>
      </c>
      <c r="AM1244" t="str">
        <f t="shared" si="254"/>
        <v>Medium</v>
      </c>
      <c r="AN1244" t="str">
        <f t="shared" si="255"/>
        <v>No Options</v>
      </c>
      <c r="AO1244" t="str">
        <f t="shared" si="256"/>
        <v>Good</v>
      </c>
      <c r="AP1244" t="str">
        <f t="shared" si="257"/>
        <v>35-44</v>
      </c>
      <c r="AQ1244" t="str">
        <f t="shared" si="258"/>
        <v>High</v>
      </c>
      <c r="AR1244" t="str">
        <f t="shared" si="259"/>
        <v>20+ Years</v>
      </c>
    </row>
    <row r="1245" spans="1:44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56</v>
      </c>
      <c r="M1245">
        <v>1</v>
      </c>
      <c r="N1245">
        <v>3</v>
      </c>
      <c r="O1245" t="s">
        <v>61</v>
      </c>
      <c r="P1245">
        <v>3</v>
      </c>
      <c r="Q1245" t="s">
        <v>48</v>
      </c>
      <c r="R1245">
        <v>9756</v>
      </c>
      <c r="S1245">
        <v>4</v>
      </c>
      <c r="T1245" t="s">
        <v>43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  <c r="AF1245">
        <f t="shared" si="247"/>
        <v>0</v>
      </c>
      <c r="AG1245">
        <f t="shared" si="248"/>
        <v>0</v>
      </c>
      <c r="AH1245" t="str">
        <f t="shared" si="249"/>
        <v>Bachelor</v>
      </c>
      <c r="AI1245" t="str">
        <f t="shared" si="250"/>
        <v>High</v>
      </c>
      <c r="AJ1245" t="str">
        <f t="shared" si="251"/>
        <v>Low</v>
      </c>
      <c r="AK1245" t="str">
        <f t="shared" si="252"/>
        <v>Mid-Level</v>
      </c>
      <c r="AL1245" t="str">
        <f t="shared" si="253"/>
        <v>High</v>
      </c>
      <c r="AM1245" t="str">
        <f t="shared" si="254"/>
        <v>High</v>
      </c>
      <c r="AN1245" t="str">
        <f t="shared" si="255"/>
        <v>Medium</v>
      </c>
      <c r="AO1245" t="str">
        <f t="shared" si="256"/>
        <v>Best</v>
      </c>
      <c r="AP1245" t="str">
        <f t="shared" si="257"/>
        <v>45-54</v>
      </c>
      <c r="AQ1245" t="str">
        <f t="shared" si="258"/>
        <v>Upper-Mid</v>
      </c>
      <c r="AR1245" t="str">
        <f t="shared" si="259"/>
        <v>3-5 Years</v>
      </c>
    </row>
    <row r="1246" spans="1:44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t="s">
        <v>39</v>
      </c>
      <c r="L1246">
        <v>78</v>
      </c>
      <c r="M1246">
        <v>2</v>
      </c>
      <c r="N1246">
        <v>1</v>
      </c>
      <c r="O1246" t="s">
        <v>47</v>
      </c>
      <c r="P1246">
        <v>1</v>
      </c>
      <c r="Q1246" t="s">
        <v>41</v>
      </c>
      <c r="R1246">
        <v>4968</v>
      </c>
      <c r="S1246">
        <v>0</v>
      </c>
      <c r="T1246" t="s">
        <v>43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  <c r="AF1246">
        <f t="shared" si="247"/>
        <v>0</v>
      </c>
      <c r="AG1246">
        <f t="shared" si="248"/>
        <v>0</v>
      </c>
      <c r="AH1246" t="str">
        <f t="shared" si="249"/>
        <v>Master</v>
      </c>
      <c r="AI1246" t="str">
        <f t="shared" si="250"/>
        <v>Very High</v>
      </c>
      <c r="AJ1246" t="str">
        <f t="shared" si="251"/>
        <v>Medium</v>
      </c>
      <c r="AK1246" t="str">
        <f t="shared" si="252"/>
        <v>Entry</v>
      </c>
      <c r="AL1246" t="str">
        <f t="shared" si="253"/>
        <v>Low</v>
      </c>
      <c r="AM1246" t="str">
        <f t="shared" si="254"/>
        <v>Very High</v>
      </c>
      <c r="AN1246" t="str">
        <f t="shared" si="255"/>
        <v>No Options</v>
      </c>
      <c r="AO1246" t="str">
        <f t="shared" si="256"/>
        <v>Better</v>
      </c>
      <c r="AP1246" t="str">
        <f t="shared" si="257"/>
        <v>25-34</v>
      </c>
      <c r="AQ1246" t="str">
        <f t="shared" si="258"/>
        <v>Lower-Mid</v>
      </c>
      <c r="AR1246" t="str">
        <f t="shared" si="259"/>
        <v>6-10 Years</v>
      </c>
    </row>
    <row r="1247" spans="1:44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46</v>
      </c>
      <c r="L1247">
        <v>59</v>
      </c>
      <c r="M1247">
        <v>3</v>
      </c>
      <c r="N1247">
        <v>1</v>
      </c>
      <c r="O1247" t="s">
        <v>61</v>
      </c>
      <c r="P1247">
        <v>4</v>
      </c>
      <c r="Q1247" t="s">
        <v>48</v>
      </c>
      <c r="R1247">
        <v>2145</v>
      </c>
      <c r="S1247">
        <v>0</v>
      </c>
      <c r="T1247" t="s">
        <v>43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  <c r="AF1247">
        <f t="shared" si="247"/>
        <v>0</v>
      </c>
      <c r="AG1247">
        <f t="shared" si="248"/>
        <v>0</v>
      </c>
      <c r="AH1247" t="str">
        <f t="shared" si="249"/>
        <v>Bachelor</v>
      </c>
      <c r="AI1247" t="str">
        <f t="shared" si="250"/>
        <v>Low</v>
      </c>
      <c r="AJ1247" t="str">
        <f t="shared" si="251"/>
        <v>High</v>
      </c>
      <c r="AK1247" t="str">
        <f t="shared" si="252"/>
        <v>Entry</v>
      </c>
      <c r="AL1247" t="str">
        <f t="shared" si="253"/>
        <v>Very High</v>
      </c>
      <c r="AM1247" t="str">
        <f t="shared" si="254"/>
        <v>Very High</v>
      </c>
      <c r="AN1247" t="str">
        <f t="shared" si="255"/>
        <v>Low</v>
      </c>
      <c r="AO1247" t="str">
        <f t="shared" si="256"/>
        <v>Better</v>
      </c>
      <c r="AP1247" t="str">
        <f t="shared" si="257"/>
        <v>Under 25</v>
      </c>
      <c r="AQ1247" t="str">
        <f t="shared" si="258"/>
        <v>Low</v>
      </c>
      <c r="AR1247" t="str">
        <f t="shared" si="259"/>
        <v>0-2 Years</v>
      </c>
    </row>
    <row r="1248" spans="1:44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t="s">
        <v>39</v>
      </c>
      <c r="L1248">
        <v>66</v>
      </c>
      <c r="M1248">
        <v>2</v>
      </c>
      <c r="N1248">
        <v>1</v>
      </c>
      <c r="O1248" t="s">
        <v>61</v>
      </c>
      <c r="P1248">
        <v>4</v>
      </c>
      <c r="Q1248" t="s">
        <v>52</v>
      </c>
      <c r="R1248">
        <v>2180</v>
      </c>
      <c r="S1248">
        <v>6</v>
      </c>
      <c r="T1248" t="s">
        <v>43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  <c r="AF1248">
        <f t="shared" si="247"/>
        <v>1</v>
      </c>
      <c r="AG1248">
        <f t="shared" si="248"/>
        <v>0</v>
      </c>
      <c r="AH1248" t="str">
        <f t="shared" si="249"/>
        <v>Bachelor</v>
      </c>
      <c r="AI1248" t="str">
        <f t="shared" si="250"/>
        <v>High</v>
      </c>
      <c r="AJ1248" t="str">
        <f t="shared" si="251"/>
        <v>Medium</v>
      </c>
      <c r="AK1248" t="str">
        <f t="shared" si="252"/>
        <v>Entry</v>
      </c>
      <c r="AL1248" t="str">
        <f t="shared" si="253"/>
        <v>Very High</v>
      </c>
      <c r="AM1248" t="str">
        <f t="shared" si="254"/>
        <v>High</v>
      </c>
      <c r="AN1248" t="str">
        <f t="shared" si="255"/>
        <v>Low</v>
      </c>
      <c r="AO1248" t="str">
        <f t="shared" si="256"/>
        <v>Good</v>
      </c>
      <c r="AP1248" t="str">
        <f t="shared" si="257"/>
        <v>25-34</v>
      </c>
      <c r="AQ1248" t="str">
        <f t="shared" si="258"/>
        <v>Low</v>
      </c>
      <c r="AR1248" t="str">
        <f t="shared" si="259"/>
        <v>3-5 Years</v>
      </c>
    </row>
    <row r="1249" spans="1:44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t="s">
        <v>46</v>
      </c>
      <c r="L1249">
        <v>51</v>
      </c>
      <c r="M1249">
        <v>3</v>
      </c>
      <c r="N1249">
        <v>2</v>
      </c>
      <c r="O1249" t="s">
        <v>40</v>
      </c>
      <c r="P1249">
        <v>3</v>
      </c>
      <c r="Q1249" t="s">
        <v>48</v>
      </c>
      <c r="R1249">
        <v>8346</v>
      </c>
      <c r="S1249">
        <v>1</v>
      </c>
      <c r="T1249" t="s">
        <v>43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  <c r="AF1249">
        <f t="shared" si="247"/>
        <v>0</v>
      </c>
      <c r="AG1249">
        <f t="shared" si="248"/>
        <v>0</v>
      </c>
      <c r="AH1249" t="str">
        <f t="shared" si="249"/>
        <v>Bachelor</v>
      </c>
      <c r="AI1249" t="str">
        <f t="shared" si="250"/>
        <v>Low</v>
      </c>
      <c r="AJ1249" t="str">
        <f t="shared" si="251"/>
        <v>High</v>
      </c>
      <c r="AK1249" t="str">
        <f t="shared" si="252"/>
        <v>Junior</v>
      </c>
      <c r="AL1249" t="str">
        <f t="shared" si="253"/>
        <v>High</v>
      </c>
      <c r="AM1249" t="str">
        <f t="shared" si="254"/>
        <v>High</v>
      </c>
      <c r="AN1249" t="str">
        <f t="shared" si="255"/>
        <v>Low</v>
      </c>
      <c r="AO1249" t="str">
        <f t="shared" si="256"/>
        <v>Better</v>
      </c>
      <c r="AP1249" t="str">
        <f t="shared" si="257"/>
        <v>25-34</v>
      </c>
      <c r="AQ1249" t="str">
        <f t="shared" si="258"/>
        <v>Upper-Mid</v>
      </c>
      <c r="AR1249" t="str">
        <f t="shared" si="259"/>
        <v>3-5 Years</v>
      </c>
    </row>
    <row r="1250" spans="1:44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39</v>
      </c>
      <c r="L1250">
        <v>67</v>
      </c>
      <c r="M1250">
        <v>3</v>
      </c>
      <c r="N1250">
        <v>1</v>
      </c>
      <c r="O1250" t="s">
        <v>47</v>
      </c>
      <c r="P1250">
        <v>4</v>
      </c>
      <c r="Q1250" t="s">
        <v>41</v>
      </c>
      <c r="R1250">
        <v>3445</v>
      </c>
      <c r="S1250">
        <v>1</v>
      </c>
      <c r="T1250" t="s">
        <v>43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  <c r="AF1250">
        <f t="shared" si="247"/>
        <v>0</v>
      </c>
      <c r="AG1250">
        <f t="shared" si="248"/>
        <v>0</v>
      </c>
      <c r="AH1250" t="str">
        <f t="shared" si="249"/>
        <v>Bachelor</v>
      </c>
      <c r="AI1250" t="str">
        <f t="shared" si="250"/>
        <v>High</v>
      </c>
      <c r="AJ1250" t="str">
        <f t="shared" si="251"/>
        <v>High</v>
      </c>
      <c r="AK1250" t="str">
        <f t="shared" si="252"/>
        <v>Entry</v>
      </c>
      <c r="AL1250" t="str">
        <f t="shared" si="253"/>
        <v>Very High</v>
      </c>
      <c r="AM1250" t="str">
        <f t="shared" si="254"/>
        <v>High</v>
      </c>
      <c r="AN1250" t="str">
        <f t="shared" si="255"/>
        <v>No Options</v>
      </c>
      <c r="AO1250" t="str">
        <f t="shared" si="256"/>
        <v>Good</v>
      </c>
      <c r="AP1250" t="str">
        <f t="shared" si="257"/>
        <v>25-34</v>
      </c>
      <c r="AQ1250" t="str">
        <f t="shared" si="258"/>
        <v>Lower-Mid</v>
      </c>
      <c r="AR1250" t="str">
        <f t="shared" si="259"/>
        <v>6-10 Years</v>
      </c>
    </row>
    <row r="1251" spans="1:44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t="s">
        <v>39</v>
      </c>
      <c r="L1251">
        <v>52</v>
      </c>
      <c r="M1251">
        <v>1</v>
      </c>
      <c r="N1251">
        <v>1</v>
      </c>
      <c r="O1251" t="s">
        <v>57</v>
      </c>
      <c r="P1251">
        <v>2</v>
      </c>
      <c r="Q1251" t="s">
        <v>41</v>
      </c>
      <c r="R1251">
        <v>2760</v>
      </c>
      <c r="S1251">
        <v>1</v>
      </c>
      <c r="T1251" t="s">
        <v>43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  <c r="AF1251">
        <f t="shared" si="247"/>
        <v>1</v>
      </c>
      <c r="AG1251">
        <f t="shared" si="248"/>
        <v>0</v>
      </c>
      <c r="AH1251" t="str">
        <f t="shared" si="249"/>
        <v>Bachelor</v>
      </c>
      <c r="AI1251" t="str">
        <f t="shared" si="250"/>
        <v>Medium</v>
      </c>
      <c r="AJ1251" t="str">
        <f t="shared" si="251"/>
        <v>Low</v>
      </c>
      <c r="AK1251" t="str">
        <f t="shared" si="252"/>
        <v>Entry</v>
      </c>
      <c r="AL1251" t="str">
        <f t="shared" si="253"/>
        <v>Medium</v>
      </c>
      <c r="AM1251" t="str">
        <f t="shared" si="254"/>
        <v>High</v>
      </c>
      <c r="AN1251" t="str">
        <f t="shared" si="255"/>
        <v>No Options</v>
      </c>
      <c r="AO1251" t="str">
        <f t="shared" si="256"/>
        <v>Better</v>
      </c>
      <c r="AP1251" t="str">
        <f t="shared" si="257"/>
        <v>25-34</v>
      </c>
      <c r="AQ1251" t="str">
        <f t="shared" si="258"/>
        <v>Low</v>
      </c>
      <c r="AR1251" t="str">
        <f t="shared" si="259"/>
        <v>0-2 Years</v>
      </c>
    </row>
    <row r="1252" spans="1:44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46</v>
      </c>
      <c r="L1252">
        <v>70</v>
      </c>
      <c r="M1252">
        <v>4</v>
      </c>
      <c r="N1252">
        <v>2</v>
      </c>
      <c r="O1252" t="s">
        <v>54</v>
      </c>
      <c r="P1252">
        <v>3</v>
      </c>
      <c r="Q1252" t="s">
        <v>41</v>
      </c>
      <c r="R1252">
        <v>6294</v>
      </c>
      <c r="S1252">
        <v>8</v>
      </c>
      <c r="T1252" t="s">
        <v>35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  <c r="AF1252">
        <f t="shared" si="247"/>
        <v>0</v>
      </c>
      <c r="AG1252">
        <f t="shared" si="248"/>
        <v>1</v>
      </c>
      <c r="AH1252" t="str">
        <f t="shared" si="249"/>
        <v>Bachelor</v>
      </c>
      <c r="AI1252" t="str">
        <f t="shared" si="250"/>
        <v>Very High</v>
      </c>
      <c r="AJ1252" t="str">
        <f t="shared" si="251"/>
        <v>Very High</v>
      </c>
      <c r="AK1252" t="str">
        <f t="shared" si="252"/>
        <v>Junior</v>
      </c>
      <c r="AL1252" t="str">
        <f t="shared" si="253"/>
        <v>High</v>
      </c>
      <c r="AM1252" t="str">
        <f t="shared" si="254"/>
        <v>Very High</v>
      </c>
      <c r="AN1252" t="str">
        <f t="shared" si="255"/>
        <v>No Options</v>
      </c>
      <c r="AO1252" t="str">
        <f t="shared" si="256"/>
        <v>Best</v>
      </c>
      <c r="AP1252" t="str">
        <f t="shared" si="257"/>
        <v>25-34</v>
      </c>
      <c r="AQ1252" t="str">
        <f t="shared" si="258"/>
        <v>Lower-Mid</v>
      </c>
      <c r="AR1252" t="str">
        <f t="shared" si="259"/>
        <v>3-5 Years</v>
      </c>
    </row>
    <row r="1253" spans="1:44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t="s">
        <v>46</v>
      </c>
      <c r="L1253">
        <v>94</v>
      </c>
      <c r="M1253">
        <v>2</v>
      </c>
      <c r="N1253">
        <v>3</v>
      </c>
      <c r="O1253" t="s">
        <v>40</v>
      </c>
      <c r="P1253">
        <v>1</v>
      </c>
      <c r="Q1253" t="s">
        <v>52</v>
      </c>
      <c r="R1253">
        <v>7140</v>
      </c>
      <c r="S1253">
        <v>2</v>
      </c>
      <c r="T1253" t="s">
        <v>43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  <c r="AF1253">
        <f t="shared" si="247"/>
        <v>0</v>
      </c>
      <c r="AG1253">
        <f t="shared" si="248"/>
        <v>0</v>
      </c>
      <c r="AH1253" t="str">
        <f t="shared" si="249"/>
        <v>College</v>
      </c>
      <c r="AI1253" t="str">
        <f t="shared" si="250"/>
        <v>High</v>
      </c>
      <c r="AJ1253" t="str">
        <f t="shared" si="251"/>
        <v>Medium</v>
      </c>
      <c r="AK1253" t="str">
        <f t="shared" si="252"/>
        <v>Mid-Level</v>
      </c>
      <c r="AL1253" t="str">
        <f t="shared" si="253"/>
        <v>Low</v>
      </c>
      <c r="AM1253" t="str">
        <f t="shared" si="254"/>
        <v>Low</v>
      </c>
      <c r="AN1253" t="str">
        <f t="shared" si="255"/>
        <v>Low</v>
      </c>
      <c r="AO1253" t="str">
        <f t="shared" si="256"/>
        <v>Better</v>
      </c>
      <c r="AP1253" t="str">
        <f t="shared" si="257"/>
        <v>25-34</v>
      </c>
      <c r="AQ1253" t="str">
        <f t="shared" si="258"/>
        <v>Upper-Mid</v>
      </c>
      <c r="AR1253" t="str">
        <f t="shared" si="259"/>
        <v>6-10 Years</v>
      </c>
    </row>
    <row r="1254" spans="1:44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46</v>
      </c>
      <c r="L1254">
        <v>97</v>
      </c>
      <c r="M1254">
        <v>4</v>
      </c>
      <c r="N1254">
        <v>1</v>
      </c>
      <c r="O1254" t="s">
        <v>47</v>
      </c>
      <c r="P1254">
        <v>4</v>
      </c>
      <c r="Q1254" t="s">
        <v>48</v>
      </c>
      <c r="R1254">
        <v>2932</v>
      </c>
      <c r="S1254">
        <v>0</v>
      </c>
      <c r="T1254" t="s">
        <v>35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  <c r="AF1254">
        <f t="shared" si="247"/>
        <v>0</v>
      </c>
      <c r="AG1254">
        <f t="shared" si="248"/>
        <v>1</v>
      </c>
      <c r="AH1254" t="str">
        <f t="shared" si="249"/>
        <v>Master</v>
      </c>
      <c r="AI1254" t="str">
        <f t="shared" si="250"/>
        <v>Very High</v>
      </c>
      <c r="AJ1254" t="str">
        <f t="shared" si="251"/>
        <v>Very High</v>
      </c>
      <c r="AK1254" t="str">
        <f t="shared" si="252"/>
        <v>Entry</v>
      </c>
      <c r="AL1254" t="str">
        <f t="shared" si="253"/>
        <v>Very High</v>
      </c>
      <c r="AM1254" t="str">
        <f t="shared" si="254"/>
        <v>Low</v>
      </c>
      <c r="AN1254" t="str">
        <f t="shared" si="255"/>
        <v>High</v>
      </c>
      <c r="AO1254" t="str">
        <f t="shared" si="256"/>
        <v>Better</v>
      </c>
      <c r="AP1254" t="str">
        <f t="shared" si="257"/>
        <v>25-34</v>
      </c>
      <c r="AQ1254" t="str">
        <f t="shared" si="258"/>
        <v>Low</v>
      </c>
      <c r="AR1254" t="str">
        <f t="shared" si="259"/>
        <v>3-5 Years</v>
      </c>
    </row>
    <row r="1255" spans="1:44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t="s">
        <v>39</v>
      </c>
      <c r="L1255">
        <v>62</v>
      </c>
      <c r="M1255">
        <v>3</v>
      </c>
      <c r="N1255">
        <v>2</v>
      </c>
      <c r="O1255" t="s">
        <v>40</v>
      </c>
      <c r="P1255">
        <v>2</v>
      </c>
      <c r="Q1255" t="s">
        <v>41</v>
      </c>
      <c r="R1255">
        <v>5147</v>
      </c>
      <c r="S1255">
        <v>8</v>
      </c>
      <c r="T1255" t="s">
        <v>43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  <c r="AF1255">
        <f t="shared" si="247"/>
        <v>0</v>
      </c>
      <c r="AG1255">
        <f t="shared" si="248"/>
        <v>0</v>
      </c>
      <c r="AH1255" t="str">
        <f t="shared" si="249"/>
        <v>Bachelor</v>
      </c>
      <c r="AI1255" t="str">
        <f t="shared" si="250"/>
        <v>Very High</v>
      </c>
      <c r="AJ1255" t="str">
        <f t="shared" si="251"/>
        <v>High</v>
      </c>
      <c r="AK1255" t="str">
        <f t="shared" si="252"/>
        <v>Junior</v>
      </c>
      <c r="AL1255" t="str">
        <f t="shared" si="253"/>
        <v>Medium</v>
      </c>
      <c r="AM1255" t="str">
        <f t="shared" si="254"/>
        <v>Very High</v>
      </c>
      <c r="AN1255" t="str">
        <f t="shared" si="255"/>
        <v>No Options</v>
      </c>
      <c r="AO1255" t="str">
        <f t="shared" si="256"/>
        <v>Good</v>
      </c>
      <c r="AP1255" t="str">
        <f t="shared" si="257"/>
        <v>25-34</v>
      </c>
      <c r="AQ1255" t="str">
        <f t="shared" si="258"/>
        <v>Lower-Mid</v>
      </c>
      <c r="AR1255" t="str">
        <f t="shared" si="259"/>
        <v>11-20 Years</v>
      </c>
    </row>
    <row r="1256" spans="1:44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t="s">
        <v>39</v>
      </c>
      <c r="L1256">
        <v>80</v>
      </c>
      <c r="M1256">
        <v>3</v>
      </c>
      <c r="N1256">
        <v>2</v>
      </c>
      <c r="O1256" t="s">
        <v>40</v>
      </c>
      <c r="P1256">
        <v>4</v>
      </c>
      <c r="Q1256" t="s">
        <v>41</v>
      </c>
      <c r="R1256">
        <v>4507</v>
      </c>
      <c r="S1256">
        <v>3</v>
      </c>
      <c r="T1256" t="s">
        <v>43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  <c r="AF1256">
        <f t="shared" si="247"/>
        <v>0</v>
      </c>
      <c r="AG1256">
        <f t="shared" si="248"/>
        <v>0</v>
      </c>
      <c r="AH1256" t="str">
        <f t="shared" si="249"/>
        <v>Master</v>
      </c>
      <c r="AI1256" t="str">
        <f t="shared" si="250"/>
        <v>Very High</v>
      </c>
      <c r="AJ1256" t="str">
        <f t="shared" si="251"/>
        <v>High</v>
      </c>
      <c r="AK1256" t="str">
        <f t="shared" si="252"/>
        <v>Junior</v>
      </c>
      <c r="AL1256" t="str">
        <f t="shared" si="253"/>
        <v>Very High</v>
      </c>
      <c r="AM1256" t="str">
        <f t="shared" si="254"/>
        <v>High</v>
      </c>
      <c r="AN1256" t="str">
        <f t="shared" si="255"/>
        <v>No Options</v>
      </c>
      <c r="AO1256" t="str">
        <f t="shared" si="256"/>
        <v>Best</v>
      </c>
      <c r="AP1256" t="str">
        <f t="shared" si="257"/>
        <v>45-54</v>
      </c>
      <c r="AQ1256" t="str">
        <f t="shared" si="258"/>
        <v>Lower-Mid</v>
      </c>
      <c r="AR1256" t="str">
        <f t="shared" si="259"/>
        <v>3-5 Years</v>
      </c>
    </row>
    <row r="1257" spans="1:44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74</v>
      </c>
      <c r="M1257">
        <v>3</v>
      </c>
      <c r="N1257">
        <v>3</v>
      </c>
      <c r="O1257" t="s">
        <v>40</v>
      </c>
      <c r="P1257">
        <v>1</v>
      </c>
      <c r="Q1257" t="s">
        <v>41</v>
      </c>
      <c r="R1257">
        <v>8564</v>
      </c>
      <c r="S1257">
        <v>2</v>
      </c>
      <c r="T1257" t="s">
        <v>35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  <c r="AF1257">
        <f t="shared" si="247"/>
        <v>1</v>
      </c>
      <c r="AG1257">
        <f t="shared" si="248"/>
        <v>1</v>
      </c>
      <c r="AH1257" t="str">
        <f t="shared" si="249"/>
        <v>Bachelor</v>
      </c>
      <c r="AI1257" t="str">
        <f t="shared" si="250"/>
        <v>Low</v>
      </c>
      <c r="AJ1257" t="str">
        <f t="shared" si="251"/>
        <v>High</v>
      </c>
      <c r="AK1257" t="str">
        <f t="shared" si="252"/>
        <v>Mid-Level</v>
      </c>
      <c r="AL1257" t="str">
        <f t="shared" si="253"/>
        <v>Low</v>
      </c>
      <c r="AM1257" t="str">
        <f t="shared" si="254"/>
        <v>High</v>
      </c>
      <c r="AN1257" t="str">
        <f t="shared" si="255"/>
        <v>No Options</v>
      </c>
      <c r="AO1257" t="str">
        <f t="shared" si="256"/>
        <v>Good</v>
      </c>
      <c r="AP1257" t="str">
        <f t="shared" si="257"/>
        <v>25-34</v>
      </c>
      <c r="AQ1257" t="str">
        <f t="shared" si="258"/>
        <v>Upper-Mid</v>
      </c>
      <c r="AR1257" t="str">
        <f t="shared" si="259"/>
        <v>0-2 Years</v>
      </c>
    </row>
    <row r="1258" spans="1:44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39</v>
      </c>
      <c r="L1258">
        <v>75</v>
      </c>
      <c r="M1258">
        <v>2</v>
      </c>
      <c r="N1258">
        <v>1</v>
      </c>
      <c r="O1258" t="s">
        <v>50</v>
      </c>
      <c r="P1258">
        <v>2</v>
      </c>
      <c r="Q1258" t="s">
        <v>48</v>
      </c>
      <c r="R1258">
        <v>2468</v>
      </c>
      <c r="S1258">
        <v>4</v>
      </c>
      <c r="T1258" t="s">
        <v>43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  <c r="AF1258">
        <f t="shared" si="247"/>
        <v>0</v>
      </c>
      <c r="AG1258">
        <f t="shared" si="248"/>
        <v>0</v>
      </c>
      <c r="AH1258" t="str">
        <f t="shared" si="249"/>
        <v>College</v>
      </c>
      <c r="AI1258" t="str">
        <f t="shared" si="250"/>
        <v>High</v>
      </c>
      <c r="AJ1258" t="str">
        <f t="shared" si="251"/>
        <v>Medium</v>
      </c>
      <c r="AK1258" t="str">
        <f t="shared" si="252"/>
        <v>Entry</v>
      </c>
      <c r="AL1258" t="str">
        <f t="shared" si="253"/>
        <v>Medium</v>
      </c>
      <c r="AM1258" t="str">
        <f t="shared" si="254"/>
        <v>Medium</v>
      </c>
      <c r="AN1258" t="str">
        <f t="shared" si="255"/>
        <v>Low</v>
      </c>
      <c r="AO1258" t="str">
        <f t="shared" si="256"/>
        <v>Good</v>
      </c>
      <c r="AP1258" t="str">
        <f t="shared" si="257"/>
        <v>35-44</v>
      </c>
      <c r="AQ1258" t="str">
        <f t="shared" si="258"/>
        <v>Low</v>
      </c>
      <c r="AR1258" t="str">
        <f t="shared" si="259"/>
        <v>6-10 Years</v>
      </c>
    </row>
    <row r="1259" spans="1:44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t="s">
        <v>46</v>
      </c>
      <c r="L1259">
        <v>70</v>
      </c>
      <c r="M1259">
        <v>3</v>
      </c>
      <c r="N1259">
        <v>3</v>
      </c>
      <c r="O1259" t="s">
        <v>40</v>
      </c>
      <c r="P1259">
        <v>3</v>
      </c>
      <c r="Q1259" t="s">
        <v>48</v>
      </c>
      <c r="R1259">
        <v>8161</v>
      </c>
      <c r="S1259">
        <v>2</v>
      </c>
      <c r="T1259" t="s">
        <v>43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  <c r="AF1259">
        <f t="shared" si="247"/>
        <v>1</v>
      </c>
      <c r="AG1259">
        <f t="shared" si="248"/>
        <v>0</v>
      </c>
      <c r="AH1259" t="str">
        <f t="shared" si="249"/>
        <v>Master</v>
      </c>
      <c r="AI1259" t="str">
        <f t="shared" si="250"/>
        <v>Low</v>
      </c>
      <c r="AJ1259" t="str">
        <f t="shared" si="251"/>
        <v>High</v>
      </c>
      <c r="AK1259" t="str">
        <f t="shared" si="252"/>
        <v>Mid-Level</v>
      </c>
      <c r="AL1259" t="str">
        <f t="shared" si="253"/>
        <v>High</v>
      </c>
      <c r="AM1259" t="str">
        <f t="shared" si="254"/>
        <v>Low</v>
      </c>
      <c r="AN1259" t="str">
        <f t="shared" si="255"/>
        <v>High</v>
      </c>
      <c r="AO1259" t="str">
        <f t="shared" si="256"/>
        <v>Better</v>
      </c>
      <c r="AP1259" t="str">
        <f t="shared" si="257"/>
        <v>25-34</v>
      </c>
      <c r="AQ1259" t="str">
        <f t="shared" si="258"/>
        <v>Upper-Mid</v>
      </c>
      <c r="AR1259" t="str">
        <f t="shared" si="259"/>
        <v>0-2 Years</v>
      </c>
    </row>
    <row r="1260" spans="1:44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t="s">
        <v>39</v>
      </c>
      <c r="L1260">
        <v>91</v>
      </c>
      <c r="M1260">
        <v>2</v>
      </c>
      <c r="N1260">
        <v>1</v>
      </c>
      <c r="O1260" t="s">
        <v>47</v>
      </c>
      <c r="P1260">
        <v>1</v>
      </c>
      <c r="Q1260" t="s">
        <v>52</v>
      </c>
      <c r="R1260">
        <v>2109</v>
      </c>
      <c r="S1260">
        <v>1</v>
      </c>
      <c r="T1260" t="s">
        <v>43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  <c r="AF1260">
        <f t="shared" si="247"/>
        <v>0</v>
      </c>
      <c r="AG1260">
        <f t="shared" si="248"/>
        <v>0</v>
      </c>
      <c r="AH1260" t="str">
        <f t="shared" si="249"/>
        <v>Bachelor</v>
      </c>
      <c r="AI1260" t="str">
        <f t="shared" si="250"/>
        <v>Very High</v>
      </c>
      <c r="AJ1260" t="str">
        <f t="shared" si="251"/>
        <v>Medium</v>
      </c>
      <c r="AK1260" t="str">
        <f t="shared" si="252"/>
        <v>Entry</v>
      </c>
      <c r="AL1260" t="str">
        <f t="shared" si="253"/>
        <v>Low</v>
      </c>
      <c r="AM1260" t="str">
        <f t="shared" si="254"/>
        <v>High</v>
      </c>
      <c r="AN1260" t="str">
        <f t="shared" si="255"/>
        <v>Low</v>
      </c>
      <c r="AO1260" t="str">
        <f t="shared" si="256"/>
        <v>Better</v>
      </c>
      <c r="AP1260" t="str">
        <f t="shared" si="257"/>
        <v>25-34</v>
      </c>
      <c r="AQ1260" t="str">
        <f t="shared" si="258"/>
        <v>Low</v>
      </c>
      <c r="AR1260" t="str">
        <f t="shared" si="259"/>
        <v>0-2 Years</v>
      </c>
    </row>
    <row r="1261" spans="1:44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46</v>
      </c>
      <c r="L1261">
        <v>58</v>
      </c>
      <c r="M1261">
        <v>4</v>
      </c>
      <c r="N1261">
        <v>2</v>
      </c>
      <c r="O1261" t="s">
        <v>54</v>
      </c>
      <c r="P1261">
        <v>3</v>
      </c>
      <c r="Q1261" t="s">
        <v>48</v>
      </c>
      <c r="R1261">
        <v>5294</v>
      </c>
      <c r="S1261">
        <v>3</v>
      </c>
      <c r="T1261" t="s">
        <v>43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  <c r="AF1261">
        <f t="shared" si="247"/>
        <v>0</v>
      </c>
      <c r="AG1261">
        <f t="shared" si="248"/>
        <v>0</v>
      </c>
      <c r="AH1261" t="str">
        <f t="shared" si="249"/>
        <v>Bachelor</v>
      </c>
      <c r="AI1261" t="str">
        <f t="shared" si="250"/>
        <v>High</v>
      </c>
      <c r="AJ1261" t="str">
        <f t="shared" si="251"/>
        <v>Very High</v>
      </c>
      <c r="AK1261" t="str">
        <f t="shared" si="252"/>
        <v>Junior</v>
      </c>
      <c r="AL1261" t="str">
        <f t="shared" si="253"/>
        <v>High</v>
      </c>
      <c r="AM1261" t="str">
        <f t="shared" si="254"/>
        <v>High</v>
      </c>
      <c r="AN1261" t="str">
        <f t="shared" si="255"/>
        <v>Low</v>
      </c>
      <c r="AO1261" t="str">
        <f t="shared" si="256"/>
        <v>Better</v>
      </c>
      <c r="AP1261" t="str">
        <f t="shared" si="257"/>
        <v>25-34</v>
      </c>
      <c r="AQ1261" t="str">
        <f t="shared" si="258"/>
        <v>Lower-Mid</v>
      </c>
      <c r="AR1261" t="str">
        <f t="shared" si="259"/>
        <v>6-10 Years</v>
      </c>
    </row>
    <row r="1262" spans="1:44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t="s">
        <v>46</v>
      </c>
      <c r="L1262">
        <v>65</v>
      </c>
      <c r="M1262">
        <v>3</v>
      </c>
      <c r="N1262">
        <v>1</v>
      </c>
      <c r="O1262" t="s">
        <v>47</v>
      </c>
      <c r="P1262">
        <v>2</v>
      </c>
      <c r="Q1262" t="s">
        <v>41</v>
      </c>
      <c r="R1262">
        <v>2718</v>
      </c>
      <c r="S1262">
        <v>2</v>
      </c>
      <c r="T1262" t="s">
        <v>43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  <c r="AF1262">
        <f t="shared" si="247"/>
        <v>0</v>
      </c>
      <c r="AG1262">
        <f t="shared" si="248"/>
        <v>0</v>
      </c>
      <c r="AH1262" t="str">
        <f t="shared" si="249"/>
        <v>Master</v>
      </c>
      <c r="AI1262" t="str">
        <f t="shared" si="250"/>
        <v>Medium</v>
      </c>
      <c r="AJ1262" t="str">
        <f t="shared" si="251"/>
        <v>High</v>
      </c>
      <c r="AK1262" t="str">
        <f t="shared" si="252"/>
        <v>Entry</v>
      </c>
      <c r="AL1262" t="str">
        <f t="shared" si="253"/>
        <v>Medium</v>
      </c>
      <c r="AM1262" t="str">
        <f t="shared" si="254"/>
        <v>Medium</v>
      </c>
      <c r="AN1262" t="str">
        <f t="shared" si="255"/>
        <v>No Options</v>
      </c>
      <c r="AO1262" t="str">
        <f t="shared" si="256"/>
        <v>Better</v>
      </c>
      <c r="AP1262" t="str">
        <f t="shared" si="257"/>
        <v>25-34</v>
      </c>
      <c r="AQ1262" t="str">
        <f t="shared" si="258"/>
        <v>Low</v>
      </c>
      <c r="AR1262" t="str">
        <f t="shared" si="259"/>
        <v>6-10 Years</v>
      </c>
    </row>
    <row r="1263" spans="1:44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46</v>
      </c>
      <c r="L1263">
        <v>60</v>
      </c>
      <c r="M1263">
        <v>1</v>
      </c>
      <c r="N1263">
        <v>2</v>
      </c>
      <c r="O1263" t="s">
        <v>54</v>
      </c>
      <c r="P1263">
        <v>4</v>
      </c>
      <c r="Q1263" t="s">
        <v>48</v>
      </c>
      <c r="R1263">
        <v>5811</v>
      </c>
      <c r="S1263">
        <v>3</v>
      </c>
      <c r="T1263" t="s">
        <v>35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  <c r="AF1263">
        <f t="shared" si="247"/>
        <v>0</v>
      </c>
      <c r="AG1263">
        <f t="shared" si="248"/>
        <v>1</v>
      </c>
      <c r="AH1263" t="str">
        <f t="shared" si="249"/>
        <v>Bachelor</v>
      </c>
      <c r="AI1263" t="str">
        <f t="shared" si="250"/>
        <v>Medium</v>
      </c>
      <c r="AJ1263" t="str">
        <f t="shared" si="251"/>
        <v>Low</v>
      </c>
      <c r="AK1263" t="str">
        <f t="shared" si="252"/>
        <v>Junior</v>
      </c>
      <c r="AL1263" t="str">
        <f t="shared" si="253"/>
        <v>Very High</v>
      </c>
      <c r="AM1263" t="str">
        <f t="shared" si="254"/>
        <v>High</v>
      </c>
      <c r="AN1263" t="str">
        <f t="shared" si="255"/>
        <v>Low</v>
      </c>
      <c r="AO1263" t="str">
        <f t="shared" si="256"/>
        <v>Better</v>
      </c>
      <c r="AP1263" t="str">
        <f t="shared" si="257"/>
        <v>35-44</v>
      </c>
      <c r="AQ1263" t="str">
        <f t="shared" si="258"/>
        <v>Lower-Mid</v>
      </c>
      <c r="AR1263" t="str">
        <f t="shared" si="259"/>
        <v>0-2 Years</v>
      </c>
    </row>
    <row r="1264" spans="1:44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t="s">
        <v>46</v>
      </c>
      <c r="L1264">
        <v>38</v>
      </c>
      <c r="M1264">
        <v>2</v>
      </c>
      <c r="N1264">
        <v>1</v>
      </c>
      <c r="O1264" t="s">
        <v>47</v>
      </c>
      <c r="P1264">
        <v>3</v>
      </c>
      <c r="Q1264" t="s">
        <v>48</v>
      </c>
      <c r="R1264">
        <v>2437</v>
      </c>
      <c r="S1264">
        <v>9</v>
      </c>
      <c r="T1264" t="s">
        <v>35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  <c r="AF1264">
        <f t="shared" si="247"/>
        <v>1</v>
      </c>
      <c r="AG1264">
        <f t="shared" si="248"/>
        <v>1</v>
      </c>
      <c r="AH1264" t="str">
        <f t="shared" si="249"/>
        <v>Bachelor</v>
      </c>
      <c r="AI1264" t="str">
        <f t="shared" si="250"/>
        <v>High</v>
      </c>
      <c r="AJ1264" t="str">
        <f t="shared" si="251"/>
        <v>Medium</v>
      </c>
      <c r="AK1264" t="str">
        <f t="shared" si="252"/>
        <v>Entry</v>
      </c>
      <c r="AL1264" t="str">
        <f t="shared" si="253"/>
        <v>High</v>
      </c>
      <c r="AM1264" t="str">
        <f t="shared" si="254"/>
        <v>Very High</v>
      </c>
      <c r="AN1264" t="str">
        <f t="shared" si="255"/>
        <v>Low</v>
      </c>
      <c r="AO1264" t="str">
        <f t="shared" si="256"/>
        <v>Better</v>
      </c>
      <c r="AP1264" t="str">
        <f t="shared" si="257"/>
        <v>35-44</v>
      </c>
      <c r="AQ1264" t="str">
        <f t="shared" si="258"/>
        <v>Low</v>
      </c>
      <c r="AR1264" t="str">
        <f t="shared" si="259"/>
        <v>0-2 Years</v>
      </c>
    </row>
    <row r="1265" spans="1:44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46</v>
      </c>
      <c r="L1265">
        <v>57</v>
      </c>
      <c r="M1265">
        <v>3</v>
      </c>
      <c r="N1265">
        <v>1</v>
      </c>
      <c r="O1265" t="s">
        <v>50</v>
      </c>
      <c r="P1265">
        <v>2</v>
      </c>
      <c r="Q1265" t="s">
        <v>52</v>
      </c>
      <c r="R1265">
        <v>2766</v>
      </c>
      <c r="S1265">
        <v>8</v>
      </c>
      <c r="T1265" t="s">
        <v>43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  <c r="AF1265">
        <f t="shared" si="247"/>
        <v>0</v>
      </c>
      <c r="AG1265">
        <f t="shared" si="248"/>
        <v>0</v>
      </c>
      <c r="AH1265" t="str">
        <f t="shared" si="249"/>
        <v>Bachelor</v>
      </c>
      <c r="AI1265" t="str">
        <f t="shared" si="250"/>
        <v>Medium</v>
      </c>
      <c r="AJ1265" t="str">
        <f t="shared" si="251"/>
        <v>High</v>
      </c>
      <c r="AK1265" t="str">
        <f t="shared" si="252"/>
        <v>Entry</v>
      </c>
      <c r="AL1265" t="str">
        <f t="shared" si="253"/>
        <v>Medium</v>
      </c>
      <c r="AM1265" t="str">
        <f t="shared" si="254"/>
        <v>Medium</v>
      </c>
      <c r="AN1265" t="str">
        <f t="shared" si="255"/>
        <v>High</v>
      </c>
      <c r="AO1265" t="str">
        <f t="shared" si="256"/>
        <v>Good</v>
      </c>
      <c r="AP1265" t="str">
        <f t="shared" si="257"/>
        <v>35-44</v>
      </c>
      <c r="AQ1265" t="str">
        <f t="shared" si="258"/>
        <v>Low</v>
      </c>
      <c r="AR1265" t="str">
        <f t="shared" si="259"/>
        <v>3-5 Years</v>
      </c>
    </row>
    <row r="1266" spans="1:44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46</v>
      </c>
      <c r="L1266">
        <v>60</v>
      </c>
      <c r="M1266">
        <v>2</v>
      </c>
      <c r="N1266">
        <v>5</v>
      </c>
      <c r="O1266" t="s">
        <v>58</v>
      </c>
      <c r="P1266">
        <v>1</v>
      </c>
      <c r="Q1266" t="s">
        <v>48</v>
      </c>
      <c r="R1266">
        <v>19038</v>
      </c>
      <c r="S1266">
        <v>8</v>
      </c>
      <c r="T1266" t="s">
        <v>43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  <c r="AF1266">
        <f t="shared" si="247"/>
        <v>0</v>
      </c>
      <c r="AG1266">
        <f t="shared" si="248"/>
        <v>0</v>
      </c>
      <c r="AH1266" t="str">
        <f t="shared" si="249"/>
        <v>Bachelor</v>
      </c>
      <c r="AI1266" t="str">
        <f t="shared" si="250"/>
        <v>High</v>
      </c>
      <c r="AJ1266" t="str">
        <f t="shared" si="251"/>
        <v>Medium</v>
      </c>
      <c r="AK1266" t="str">
        <f t="shared" si="252"/>
        <v>Executive</v>
      </c>
      <c r="AL1266" t="str">
        <f t="shared" si="253"/>
        <v>Low</v>
      </c>
      <c r="AM1266" t="str">
        <f t="shared" si="254"/>
        <v>Medium</v>
      </c>
      <c r="AN1266" t="str">
        <f t="shared" si="255"/>
        <v>High</v>
      </c>
      <c r="AO1266" t="str">
        <f t="shared" si="256"/>
        <v>Better</v>
      </c>
      <c r="AP1266" t="str">
        <f t="shared" si="257"/>
        <v>55+</v>
      </c>
      <c r="AQ1266" t="str">
        <f t="shared" si="258"/>
        <v>High</v>
      </c>
      <c r="AR1266" t="str">
        <f t="shared" si="259"/>
        <v>0-2 Years</v>
      </c>
    </row>
    <row r="1267" spans="1:44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t="s">
        <v>46</v>
      </c>
      <c r="L1267">
        <v>90</v>
      </c>
      <c r="M1267">
        <v>3</v>
      </c>
      <c r="N1267">
        <v>2</v>
      </c>
      <c r="O1267" t="s">
        <v>47</v>
      </c>
      <c r="P1267">
        <v>2</v>
      </c>
      <c r="Q1267" t="s">
        <v>52</v>
      </c>
      <c r="R1267">
        <v>3055</v>
      </c>
      <c r="S1267">
        <v>5</v>
      </c>
      <c r="T1267" t="s">
        <v>43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  <c r="AF1267">
        <f t="shared" si="247"/>
        <v>0</v>
      </c>
      <c r="AG1267">
        <f t="shared" si="248"/>
        <v>0</v>
      </c>
      <c r="AH1267" t="str">
        <f t="shared" si="249"/>
        <v>Bachelor</v>
      </c>
      <c r="AI1267" t="str">
        <f t="shared" si="250"/>
        <v>Very High</v>
      </c>
      <c r="AJ1267" t="str">
        <f t="shared" si="251"/>
        <v>High</v>
      </c>
      <c r="AK1267" t="str">
        <f t="shared" si="252"/>
        <v>Junior</v>
      </c>
      <c r="AL1267" t="str">
        <f t="shared" si="253"/>
        <v>Medium</v>
      </c>
      <c r="AM1267" t="str">
        <f t="shared" si="254"/>
        <v>Very High</v>
      </c>
      <c r="AN1267" t="str">
        <f t="shared" si="255"/>
        <v>Medium</v>
      </c>
      <c r="AO1267" t="str">
        <f t="shared" si="256"/>
        <v>Good</v>
      </c>
      <c r="AP1267" t="str">
        <f t="shared" si="257"/>
        <v>25-34</v>
      </c>
      <c r="AQ1267" t="str">
        <f t="shared" si="258"/>
        <v>Lower-Mid</v>
      </c>
      <c r="AR1267" t="str">
        <f t="shared" si="259"/>
        <v>6-10 Years</v>
      </c>
    </row>
    <row r="1268" spans="1:44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46</v>
      </c>
      <c r="L1268">
        <v>94</v>
      </c>
      <c r="M1268">
        <v>3</v>
      </c>
      <c r="N1268">
        <v>1</v>
      </c>
      <c r="O1268" t="s">
        <v>50</v>
      </c>
      <c r="P1268">
        <v>1</v>
      </c>
      <c r="Q1268" t="s">
        <v>52</v>
      </c>
      <c r="R1268">
        <v>2289</v>
      </c>
      <c r="S1268">
        <v>1</v>
      </c>
      <c r="T1268" t="s">
        <v>43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  <c r="AF1268">
        <f t="shared" si="247"/>
        <v>0</v>
      </c>
      <c r="AG1268">
        <f t="shared" si="248"/>
        <v>0</v>
      </c>
      <c r="AH1268" t="str">
        <f t="shared" si="249"/>
        <v>Master</v>
      </c>
      <c r="AI1268" t="str">
        <f t="shared" si="250"/>
        <v>High</v>
      </c>
      <c r="AJ1268" t="str">
        <f t="shared" si="251"/>
        <v>High</v>
      </c>
      <c r="AK1268" t="str">
        <f t="shared" si="252"/>
        <v>Entry</v>
      </c>
      <c r="AL1268" t="str">
        <f t="shared" si="253"/>
        <v>Low</v>
      </c>
      <c r="AM1268" t="str">
        <f t="shared" si="254"/>
        <v>Medium</v>
      </c>
      <c r="AN1268" t="str">
        <f t="shared" si="255"/>
        <v>Medium</v>
      </c>
      <c r="AO1268" t="str">
        <f t="shared" si="256"/>
        <v>Better</v>
      </c>
      <c r="AP1268" t="str">
        <f t="shared" si="257"/>
        <v>35-44</v>
      </c>
      <c r="AQ1268" t="str">
        <f t="shared" si="258"/>
        <v>Low</v>
      </c>
      <c r="AR1268" t="str">
        <f t="shared" si="259"/>
        <v>3-5 Years</v>
      </c>
    </row>
    <row r="1269" spans="1:44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46</v>
      </c>
      <c r="L1269">
        <v>87</v>
      </c>
      <c r="M1269">
        <v>3</v>
      </c>
      <c r="N1269">
        <v>2</v>
      </c>
      <c r="O1269" t="s">
        <v>40</v>
      </c>
      <c r="P1269">
        <v>3</v>
      </c>
      <c r="Q1269" t="s">
        <v>52</v>
      </c>
      <c r="R1269">
        <v>4001</v>
      </c>
      <c r="S1269">
        <v>1</v>
      </c>
      <c r="T1269" t="s">
        <v>35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  <c r="AF1269">
        <f t="shared" si="247"/>
        <v>0</v>
      </c>
      <c r="AG1269">
        <f t="shared" si="248"/>
        <v>1</v>
      </c>
      <c r="AH1269" t="str">
        <f t="shared" si="249"/>
        <v>Bachelor</v>
      </c>
      <c r="AI1269" t="str">
        <f t="shared" si="250"/>
        <v>Very High</v>
      </c>
      <c r="AJ1269" t="str">
        <f t="shared" si="251"/>
        <v>High</v>
      </c>
      <c r="AK1269" t="str">
        <f t="shared" si="252"/>
        <v>Junior</v>
      </c>
      <c r="AL1269" t="str">
        <f t="shared" si="253"/>
        <v>High</v>
      </c>
      <c r="AM1269" t="str">
        <f t="shared" si="254"/>
        <v>High</v>
      </c>
      <c r="AN1269" t="str">
        <f t="shared" si="255"/>
        <v>Low</v>
      </c>
      <c r="AO1269" t="str">
        <f t="shared" si="256"/>
        <v>Better</v>
      </c>
      <c r="AP1269" t="str">
        <f t="shared" si="257"/>
        <v>25-34</v>
      </c>
      <c r="AQ1269" t="str">
        <f t="shared" si="258"/>
        <v>Lower-Mid</v>
      </c>
      <c r="AR1269" t="str">
        <f t="shared" si="259"/>
        <v>11-20 Years</v>
      </c>
    </row>
    <row r="1270" spans="1:44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39</v>
      </c>
      <c r="L1270">
        <v>60</v>
      </c>
      <c r="M1270">
        <v>2</v>
      </c>
      <c r="N1270">
        <v>4</v>
      </c>
      <c r="O1270" t="s">
        <v>53</v>
      </c>
      <c r="P1270">
        <v>3</v>
      </c>
      <c r="Q1270" t="s">
        <v>48</v>
      </c>
      <c r="R1270">
        <v>12965</v>
      </c>
      <c r="S1270">
        <v>4</v>
      </c>
      <c r="T1270" t="s">
        <v>35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  <c r="AF1270">
        <f t="shared" si="247"/>
        <v>0</v>
      </c>
      <c r="AG1270">
        <f t="shared" si="248"/>
        <v>1</v>
      </c>
      <c r="AH1270" t="str">
        <f t="shared" si="249"/>
        <v>Master</v>
      </c>
      <c r="AI1270" t="str">
        <f t="shared" si="250"/>
        <v>Low</v>
      </c>
      <c r="AJ1270" t="str">
        <f t="shared" si="251"/>
        <v>Medium</v>
      </c>
      <c r="AK1270" t="str">
        <f t="shared" si="252"/>
        <v>Senior</v>
      </c>
      <c r="AL1270" t="str">
        <f t="shared" si="253"/>
        <v>High</v>
      </c>
      <c r="AM1270" t="str">
        <f t="shared" si="254"/>
        <v>Very High</v>
      </c>
      <c r="AN1270" t="str">
        <f t="shared" si="255"/>
        <v>High</v>
      </c>
      <c r="AO1270" t="str">
        <f t="shared" si="256"/>
        <v>Good</v>
      </c>
      <c r="AP1270" t="str">
        <f t="shared" si="257"/>
        <v>45-54</v>
      </c>
      <c r="AQ1270" t="str">
        <f t="shared" si="258"/>
        <v>Upper-Mid</v>
      </c>
      <c r="AR1270" t="str">
        <f t="shared" si="259"/>
        <v>3-5 Years</v>
      </c>
    </row>
    <row r="1271" spans="1:44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46</v>
      </c>
      <c r="L1271">
        <v>97</v>
      </c>
      <c r="M1271">
        <v>3</v>
      </c>
      <c r="N1271">
        <v>1</v>
      </c>
      <c r="O1271" t="s">
        <v>61</v>
      </c>
      <c r="P1271">
        <v>4</v>
      </c>
      <c r="Q1271" t="s">
        <v>41</v>
      </c>
      <c r="R1271">
        <v>3539</v>
      </c>
      <c r="S1271">
        <v>0</v>
      </c>
      <c r="T1271" t="s">
        <v>43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  <c r="AF1271">
        <f t="shared" si="247"/>
        <v>0</v>
      </c>
      <c r="AG1271">
        <f t="shared" si="248"/>
        <v>0</v>
      </c>
      <c r="AH1271" t="str">
        <f t="shared" si="249"/>
        <v>Bachelor</v>
      </c>
      <c r="AI1271" t="str">
        <f t="shared" si="250"/>
        <v>Medium</v>
      </c>
      <c r="AJ1271" t="str">
        <f t="shared" si="251"/>
        <v>High</v>
      </c>
      <c r="AK1271" t="str">
        <f t="shared" si="252"/>
        <v>Entry</v>
      </c>
      <c r="AL1271" t="str">
        <f t="shared" si="253"/>
        <v>Very High</v>
      </c>
      <c r="AM1271" t="str">
        <f t="shared" si="254"/>
        <v>Medium</v>
      </c>
      <c r="AN1271" t="str">
        <f t="shared" si="255"/>
        <v>No Options</v>
      </c>
      <c r="AO1271" t="str">
        <f t="shared" si="256"/>
        <v>Better</v>
      </c>
      <c r="AP1271" t="str">
        <f t="shared" si="257"/>
        <v>35-44</v>
      </c>
      <c r="AQ1271" t="str">
        <f t="shared" si="258"/>
        <v>Lower-Mid</v>
      </c>
      <c r="AR1271" t="str">
        <f t="shared" si="259"/>
        <v>6-10 Years</v>
      </c>
    </row>
    <row r="1272" spans="1:44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32</v>
      </c>
      <c r="M1272">
        <v>1</v>
      </c>
      <c r="N1272">
        <v>2</v>
      </c>
      <c r="O1272" t="s">
        <v>40</v>
      </c>
      <c r="P1272">
        <v>4</v>
      </c>
      <c r="Q1272" t="s">
        <v>41</v>
      </c>
      <c r="R1272">
        <v>6029</v>
      </c>
      <c r="S1272">
        <v>5</v>
      </c>
      <c r="T1272" t="s">
        <v>43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  <c r="AF1272">
        <f t="shared" si="247"/>
        <v>0</v>
      </c>
      <c r="AG1272">
        <f t="shared" si="248"/>
        <v>0</v>
      </c>
      <c r="AH1272" t="str">
        <f t="shared" si="249"/>
        <v>College</v>
      </c>
      <c r="AI1272" t="str">
        <f t="shared" si="250"/>
        <v>Very High</v>
      </c>
      <c r="AJ1272" t="str">
        <f t="shared" si="251"/>
        <v>Low</v>
      </c>
      <c r="AK1272" t="str">
        <f t="shared" si="252"/>
        <v>Junior</v>
      </c>
      <c r="AL1272" t="str">
        <f t="shared" si="253"/>
        <v>Very High</v>
      </c>
      <c r="AM1272" t="str">
        <f t="shared" si="254"/>
        <v>Low</v>
      </c>
      <c r="AN1272" t="str">
        <f t="shared" si="255"/>
        <v>No Options</v>
      </c>
      <c r="AO1272" t="str">
        <f t="shared" si="256"/>
        <v>Better</v>
      </c>
      <c r="AP1272" t="str">
        <f t="shared" si="257"/>
        <v>25-34</v>
      </c>
      <c r="AQ1272" t="str">
        <f t="shared" si="258"/>
        <v>Lower-Mid</v>
      </c>
      <c r="AR1272" t="str">
        <f t="shared" si="259"/>
        <v>0-2 Years</v>
      </c>
    </row>
    <row r="1273" spans="1:44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t="s">
        <v>46</v>
      </c>
      <c r="L1273">
        <v>31</v>
      </c>
      <c r="M1273">
        <v>3</v>
      </c>
      <c r="N1273">
        <v>1</v>
      </c>
      <c r="O1273" t="s">
        <v>57</v>
      </c>
      <c r="P1273">
        <v>2</v>
      </c>
      <c r="Q1273" t="s">
        <v>41</v>
      </c>
      <c r="R1273">
        <v>2679</v>
      </c>
      <c r="S1273">
        <v>1</v>
      </c>
      <c r="T1273" t="s">
        <v>43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  <c r="AF1273">
        <f t="shared" si="247"/>
        <v>1</v>
      </c>
      <c r="AG1273">
        <f t="shared" si="248"/>
        <v>0</v>
      </c>
      <c r="AH1273" t="str">
        <f t="shared" si="249"/>
        <v>Below College</v>
      </c>
      <c r="AI1273" t="str">
        <f t="shared" si="250"/>
        <v>Medium</v>
      </c>
      <c r="AJ1273" t="str">
        <f t="shared" si="251"/>
        <v>High</v>
      </c>
      <c r="AK1273" t="str">
        <f t="shared" si="252"/>
        <v>Entry</v>
      </c>
      <c r="AL1273" t="str">
        <f t="shared" si="253"/>
        <v>Medium</v>
      </c>
      <c r="AM1273" t="str">
        <f t="shared" si="254"/>
        <v>Medium</v>
      </c>
      <c r="AN1273" t="str">
        <f t="shared" si="255"/>
        <v>No Options</v>
      </c>
      <c r="AO1273" t="str">
        <f t="shared" si="256"/>
        <v>Better</v>
      </c>
      <c r="AP1273" t="str">
        <f t="shared" si="257"/>
        <v>Under 25</v>
      </c>
      <c r="AQ1273" t="str">
        <f t="shared" si="258"/>
        <v>Low</v>
      </c>
      <c r="AR1273" t="str">
        <f t="shared" si="259"/>
        <v>0-2 Years</v>
      </c>
    </row>
    <row r="1274" spans="1:44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39</v>
      </c>
      <c r="L1274">
        <v>40</v>
      </c>
      <c r="M1274">
        <v>2</v>
      </c>
      <c r="N1274">
        <v>1</v>
      </c>
      <c r="O1274" t="s">
        <v>50</v>
      </c>
      <c r="P1274">
        <v>3</v>
      </c>
      <c r="Q1274" t="s">
        <v>48</v>
      </c>
      <c r="R1274">
        <v>3702</v>
      </c>
      <c r="S1274">
        <v>1</v>
      </c>
      <c r="T1274" t="s">
        <v>43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  <c r="AF1274">
        <f t="shared" si="247"/>
        <v>0</v>
      </c>
      <c r="AG1274">
        <f t="shared" si="248"/>
        <v>0</v>
      </c>
      <c r="AH1274" t="str">
        <f t="shared" si="249"/>
        <v>College</v>
      </c>
      <c r="AI1274" t="str">
        <f t="shared" si="250"/>
        <v>Very High</v>
      </c>
      <c r="AJ1274" t="str">
        <f t="shared" si="251"/>
        <v>Medium</v>
      </c>
      <c r="AK1274" t="str">
        <f t="shared" si="252"/>
        <v>Entry</v>
      </c>
      <c r="AL1274" t="str">
        <f t="shared" si="253"/>
        <v>High</v>
      </c>
      <c r="AM1274" t="str">
        <f t="shared" si="254"/>
        <v>Medium</v>
      </c>
      <c r="AN1274" t="str">
        <f t="shared" si="255"/>
        <v>Low</v>
      </c>
      <c r="AO1274" t="str">
        <f t="shared" si="256"/>
        <v>Better</v>
      </c>
      <c r="AP1274" t="str">
        <f t="shared" si="257"/>
        <v>35-44</v>
      </c>
      <c r="AQ1274" t="str">
        <f t="shared" si="258"/>
        <v>Lower-Mid</v>
      </c>
      <c r="AR1274" t="str">
        <f t="shared" si="259"/>
        <v>3-5 Years</v>
      </c>
    </row>
    <row r="1275" spans="1:44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39</v>
      </c>
      <c r="L1275">
        <v>79</v>
      </c>
      <c r="M1275">
        <v>3</v>
      </c>
      <c r="N1275">
        <v>1</v>
      </c>
      <c r="O1275" t="s">
        <v>50</v>
      </c>
      <c r="P1275">
        <v>1</v>
      </c>
      <c r="Q1275" t="s">
        <v>48</v>
      </c>
      <c r="R1275">
        <v>2398</v>
      </c>
      <c r="S1275">
        <v>1</v>
      </c>
      <c r="T1275" t="s">
        <v>35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  <c r="AF1275">
        <f t="shared" si="247"/>
        <v>1</v>
      </c>
      <c r="AG1275">
        <f t="shared" si="248"/>
        <v>1</v>
      </c>
      <c r="AH1275" t="str">
        <f t="shared" si="249"/>
        <v>Below College</v>
      </c>
      <c r="AI1275" t="str">
        <f t="shared" si="250"/>
        <v>High</v>
      </c>
      <c r="AJ1275" t="str">
        <f t="shared" si="251"/>
        <v>High</v>
      </c>
      <c r="AK1275" t="str">
        <f t="shared" si="252"/>
        <v>Entry</v>
      </c>
      <c r="AL1275" t="str">
        <f t="shared" si="253"/>
        <v>Low</v>
      </c>
      <c r="AM1275" t="str">
        <f t="shared" si="254"/>
        <v>High</v>
      </c>
      <c r="AN1275" t="str">
        <f t="shared" si="255"/>
        <v>No Options</v>
      </c>
      <c r="AO1275" t="str">
        <f t="shared" si="256"/>
        <v>Better</v>
      </c>
      <c r="AP1275" t="str">
        <f t="shared" si="257"/>
        <v>Under 25</v>
      </c>
      <c r="AQ1275" t="str">
        <f t="shared" si="258"/>
        <v>Low</v>
      </c>
      <c r="AR1275" t="str">
        <f t="shared" si="259"/>
        <v>0-2 Years</v>
      </c>
    </row>
    <row r="1276" spans="1:44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t="s">
        <v>39</v>
      </c>
      <c r="L1276">
        <v>91</v>
      </c>
      <c r="M1276">
        <v>2</v>
      </c>
      <c r="N1276">
        <v>2</v>
      </c>
      <c r="O1276" t="s">
        <v>40</v>
      </c>
      <c r="P1276">
        <v>4</v>
      </c>
      <c r="Q1276" t="s">
        <v>48</v>
      </c>
      <c r="R1276">
        <v>5468</v>
      </c>
      <c r="S1276">
        <v>1</v>
      </c>
      <c r="T1276" t="s">
        <v>43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  <c r="AF1276">
        <f t="shared" si="247"/>
        <v>0</v>
      </c>
      <c r="AG1276">
        <f t="shared" si="248"/>
        <v>0</v>
      </c>
      <c r="AH1276" t="str">
        <f t="shared" si="249"/>
        <v>Master</v>
      </c>
      <c r="AI1276" t="str">
        <f t="shared" si="250"/>
        <v>Low</v>
      </c>
      <c r="AJ1276" t="str">
        <f t="shared" si="251"/>
        <v>Medium</v>
      </c>
      <c r="AK1276" t="str">
        <f t="shared" si="252"/>
        <v>Junior</v>
      </c>
      <c r="AL1276" t="str">
        <f t="shared" si="253"/>
        <v>Very High</v>
      </c>
      <c r="AM1276" t="str">
        <f t="shared" si="254"/>
        <v>Low</v>
      </c>
      <c r="AN1276" t="str">
        <f t="shared" si="255"/>
        <v>Medium</v>
      </c>
      <c r="AO1276" t="str">
        <f t="shared" si="256"/>
        <v>Better</v>
      </c>
      <c r="AP1276" t="str">
        <f t="shared" si="257"/>
        <v>25-34</v>
      </c>
      <c r="AQ1276" t="str">
        <f t="shared" si="258"/>
        <v>Lower-Mid</v>
      </c>
      <c r="AR1276" t="str">
        <f t="shared" si="259"/>
        <v>11-20 Years</v>
      </c>
    </row>
    <row r="1277" spans="1:44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t="s">
        <v>39</v>
      </c>
      <c r="L1277">
        <v>53</v>
      </c>
      <c r="M1277">
        <v>3</v>
      </c>
      <c r="N1277">
        <v>3</v>
      </c>
      <c r="O1277" t="s">
        <v>56</v>
      </c>
      <c r="P1277">
        <v>3</v>
      </c>
      <c r="Q1277" t="s">
        <v>48</v>
      </c>
      <c r="R1277">
        <v>13116</v>
      </c>
      <c r="S1277">
        <v>2</v>
      </c>
      <c r="T1277" t="s">
        <v>43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  <c r="AF1277">
        <f t="shared" si="247"/>
        <v>0</v>
      </c>
      <c r="AG1277">
        <f t="shared" si="248"/>
        <v>0</v>
      </c>
      <c r="AH1277" t="str">
        <f t="shared" si="249"/>
        <v>Bachelor</v>
      </c>
      <c r="AI1277" t="str">
        <f t="shared" si="250"/>
        <v>Low</v>
      </c>
      <c r="AJ1277" t="str">
        <f t="shared" si="251"/>
        <v>High</v>
      </c>
      <c r="AK1277" t="str">
        <f t="shared" si="252"/>
        <v>Mid-Level</v>
      </c>
      <c r="AL1277" t="str">
        <f t="shared" si="253"/>
        <v>High</v>
      </c>
      <c r="AM1277" t="str">
        <f t="shared" si="254"/>
        <v>Very High</v>
      </c>
      <c r="AN1277" t="str">
        <f t="shared" si="255"/>
        <v>No Options</v>
      </c>
      <c r="AO1277" t="str">
        <f t="shared" si="256"/>
        <v>Better</v>
      </c>
      <c r="AP1277" t="str">
        <f t="shared" si="257"/>
        <v>45-54</v>
      </c>
      <c r="AQ1277" t="str">
        <f t="shared" si="258"/>
        <v>High</v>
      </c>
      <c r="AR1277" t="str">
        <f t="shared" si="259"/>
        <v>0-2 Years</v>
      </c>
    </row>
    <row r="1278" spans="1:44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t="s">
        <v>46</v>
      </c>
      <c r="L1278">
        <v>46</v>
      </c>
      <c r="M1278">
        <v>2</v>
      </c>
      <c r="N1278">
        <v>2</v>
      </c>
      <c r="O1278" t="s">
        <v>40</v>
      </c>
      <c r="P1278">
        <v>2</v>
      </c>
      <c r="Q1278" t="s">
        <v>48</v>
      </c>
      <c r="R1278">
        <v>4189</v>
      </c>
      <c r="S1278">
        <v>1</v>
      </c>
      <c r="T1278" t="s">
        <v>43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  <c r="AF1278">
        <f t="shared" si="247"/>
        <v>0</v>
      </c>
      <c r="AG1278">
        <f t="shared" si="248"/>
        <v>0</v>
      </c>
      <c r="AH1278" t="str">
        <f t="shared" si="249"/>
        <v>College</v>
      </c>
      <c r="AI1278" t="str">
        <f t="shared" si="250"/>
        <v>Medium</v>
      </c>
      <c r="AJ1278" t="str">
        <f t="shared" si="251"/>
        <v>Medium</v>
      </c>
      <c r="AK1278" t="str">
        <f t="shared" si="252"/>
        <v>Junior</v>
      </c>
      <c r="AL1278" t="str">
        <f t="shared" si="253"/>
        <v>Medium</v>
      </c>
      <c r="AM1278" t="str">
        <f t="shared" si="254"/>
        <v>Low</v>
      </c>
      <c r="AN1278" t="str">
        <f t="shared" si="255"/>
        <v>Medium</v>
      </c>
      <c r="AO1278" t="str">
        <f t="shared" si="256"/>
        <v>Better</v>
      </c>
      <c r="AP1278" t="str">
        <f t="shared" si="257"/>
        <v>35-44</v>
      </c>
      <c r="AQ1278" t="str">
        <f t="shared" si="258"/>
        <v>Lower-Mid</v>
      </c>
      <c r="AR1278" t="str">
        <f t="shared" si="259"/>
        <v>3-5 Years</v>
      </c>
    </row>
    <row r="1279" spans="1:44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46</v>
      </c>
      <c r="L1279">
        <v>46</v>
      </c>
      <c r="M1279">
        <v>3</v>
      </c>
      <c r="N1279">
        <v>5</v>
      </c>
      <c r="O1279" t="s">
        <v>58</v>
      </c>
      <c r="P1279">
        <v>4</v>
      </c>
      <c r="Q1279" t="s">
        <v>52</v>
      </c>
      <c r="R1279">
        <v>19328</v>
      </c>
      <c r="S1279">
        <v>7</v>
      </c>
      <c r="T1279" t="s">
        <v>35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  <c r="AF1279">
        <f t="shared" si="247"/>
        <v>0</v>
      </c>
      <c r="AG1279">
        <f t="shared" si="248"/>
        <v>1</v>
      </c>
      <c r="AH1279" t="str">
        <f t="shared" si="249"/>
        <v>Master</v>
      </c>
      <c r="AI1279" t="str">
        <f t="shared" si="250"/>
        <v>High</v>
      </c>
      <c r="AJ1279" t="str">
        <f t="shared" si="251"/>
        <v>High</v>
      </c>
      <c r="AK1279" t="str">
        <f t="shared" si="252"/>
        <v>Executive</v>
      </c>
      <c r="AL1279" t="str">
        <f t="shared" si="253"/>
        <v>Very High</v>
      </c>
      <c r="AM1279" t="str">
        <f t="shared" si="254"/>
        <v>High</v>
      </c>
      <c r="AN1279" t="str">
        <f t="shared" si="255"/>
        <v>Low</v>
      </c>
      <c r="AO1279" t="str">
        <f t="shared" si="256"/>
        <v>Better</v>
      </c>
      <c r="AP1279" t="str">
        <f t="shared" si="257"/>
        <v>45-54</v>
      </c>
      <c r="AQ1279" t="str">
        <f t="shared" si="258"/>
        <v>High</v>
      </c>
      <c r="AR1279" t="str">
        <f t="shared" si="259"/>
        <v>0-2 Years</v>
      </c>
    </row>
    <row r="1280" spans="1:44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46</v>
      </c>
      <c r="L1280">
        <v>90</v>
      </c>
      <c r="M1280">
        <v>3</v>
      </c>
      <c r="N1280">
        <v>3</v>
      </c>
      <c r="O1280" t="s">
        <v>54</v>
      </c>
      <c r="P1280">
        <v>1</v>
      </c>
      <c r="Q1280" t="s">
        <v>48</v>
      </c>
      <c r="R1280">
        <v>8321</v>
      </c>
      <c r="S1280">
        <v>7</v>
      </c>
      <c r="T1280" t="s">
        <v>35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  <c r="AF1280">
        <f t="shared" si="247"/>
        <v>0</v>
      </c>
      <c r="AG1280">
        <f t="shared" si="248"/>
        <v>1</v>
      </c>
      <c r="AH1280" t="str">
        <f t="shared" si="249"/>
        <v>Bachelor</v>
      </c>
      <c r="AI1280" t="str">
        <f t="shared" si="250"/>
        <v>Very High</v>
      </c>
      <c r="AJ1280" t="str">
        <f t="shared" si="251"/>
        <v>High</v>
      </c>
      <c r="AK1280" t="str">
        <f t="shared" si="252"/>
        <v>Mid-Level</v>
      </c>
      <c r="AL1280" t="str">
        <f t="shared" si="253"/>
        <v>Low</v>
      </c>
      <c r="AM1280" t="str">
        <f t="shared" si="254"/>
        <v>Very High</v>
      </c>
      <c r="AN1280" t="str">
        <f t="shared" si="255"/>
        <v>Low</v>
      </c>
      <c r="AO1280" t="str">
        <f t="shared" si="256"/>
        <v>Better</v>
      </c>
      <c r="AP1280" t="str">
        <f t="shared" si="257"/>
        <v>35-44</v>
      </c>
      <c r="AQ1280" t="str">
        <f t="shared" si="258"/>
        <v>Upper-Mid</v>
      </c>
      <c r="AR1280" t="str">
        <f t="shared" si="259"/>
        <v>11-20 Years</v>
      </c>
    </row>
    <row r="1281" spans="1:44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46</v>
      </c>
      <c r="L1281">
        <v>99</v>
      </c>
      <c r="M1281">
        <v>3</v>
      </c>
      <c r="N1281">
        <v>1</v>
      </c>
      <c r="O1281" t="s">
        <v>47</v>
      </c>
      <c r="P1281">
        <v>2</v>
      </c>
      <c r="Q1281" t="s">
        <v>52</v>
      </c>
      <c r="R1281">
        <v>2342</v>
      </c>
      <c r="S1281">
        <v>1</v>
      </c>
      <c r="T1281" t="s">
        <v>35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  <c r="AF1281">
        <f t="shared" si="247"/>
        <v>1</v>
      </c>
      <c r="AG1281">
        <f t="shared" si="248"/>
        <v>1</v>
      </c>
      <c r="AH1281" t="str">
        <f t="shared" si="249"/>
        <v>College</v>
      </c>
      <c r="AI1281" t="str">
        <f t="shared" si="250"/>
        <v>High</v>
      </c>
      <c r="AJ1281" t="str">
        <f t="shared" si="251"/>
        <v>High</v>
      </c>
      <c r="AK1281" t="str">
        <f t="shared" si="252"/>
        <v>Entry</v>
      </c>
      <c r="AL1281" t="str">
        <f t="shared" si="253"/>
        <v>Medium</v>
      </c>
      <c r="AM1281" t="str">
        <f t="shared" si="254"/>
        <v>High</v>
      </c>
      <c r="AN1281" t="str">
        <f t="shared" si="255"/>
        <v>High</v>
      </c>
      <c r="AO1281" t="str">
        <f t="shared" si="256"/>
        <v>Good</v>
      </c>
      <c r="AP1281" t="str">
        <f t="shared" si="257"/>
        <v>35-44</v>
      </c>
      <c r="AQ1281" t="str">
        <f t="shared" si="258"/>
        <v>Low</v>
      </c>
      <c r="AR1281" t="str">
        <f t="shared" si="259"/>
        <v>3-5 Years</v>
      </c>
    </row>
    <row r="1282" spans="1:44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89</v>
      </c>
      <c r="M1282">
        <v>3</v>
      </c>
      <c r="N1282">
        <v>2</v>
      </c>
      <c r="O1282" t="s">
        <v>61</v>
      </c>
      <c r="P1282">
        <v>2</v>
      </c>
      <c r="Q1282" t="s">
        <v>52</v>
      </c>
      <c r="R1282">
        <v>4071</v>
      </c>
      <c r="S1282">
        <v>2</v>
      </c>
      <c r="T1282" t="s">
        <v>43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  <c r="AF1282">
        <f t="shared" si="247"/>
        <v>0</v>
      </c>
      <c r="AG1282">
        <f t="shared" si="248"/>
        <v>0</v>
      </c>
      <c r="AH1282" t="str">
        <f t="shared" si="249"/>
        <v>College</v>
      </c>
      <c r="AI1282" t="str">
        <f t="shared" si="250"/>
        <v>High</v>
      </c>
      <c r="AJ1282" t="str">
        <f t="shared" si="251"/>
        <v>High</v>
      </c>
      <c r="AK1282" t="str">
        <f t="shared" si="252"/>
        <v>Junior</v>
      </c>
      <c r="AL1282" t="str">
        <f t="shared" si="253"/>
        <v>Medium</v>
      </c>
      <c r="AM1282" t="str">
        <f t="shared" si="254"/>
        <v>High</v>
      </c>
      <c r="AN1282" t="str">
        <f t="shared" si="255"/>
        <v>No Options</v>
      </c>
      <c r="AO1282" t="str">
        <f t="shared" si="256"/>
        <v>Good</v>
      </c>
      <c r="AP1282" t="str">
        <f t="shared" si="257"/>
        <v>35-44</v>
      </c>
      <c r="AQ1282" t="str">
        <f t="shared" si="258"/>
        <v>Lower-Mid</v>
      </c>
      <c r="AR1282" t="str">
        <f t="shared" si="259"/>
        <v>6-10 Years</v>
      </c>
    </row>
    <row r="1283" spans="1:44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46</v>
      </c>
      <c r="L1283">
        <v>84</v>
      </c>
      <c r="M1283">
        <v>3</v>
      </c>
      <c r="N1283">
        <v>2</v>
      </c>
      <c r="O1283" t="s">
        <v>40</v>
      </c>
      <c r="P1283">
        <v>4</v>
      </c>
      <c r="Q1283" t="s">
        <v>41</v>
      </c>
      <c r="R1283">
        <v>5813</v>
      </c>
      <c r="S1283">
        <v>1</v>
      </c>
      <c r="T1283" t="s">
        <v>35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  <c r="AF1283">
        <f t="shared" ref="AF1283:AF1346" si="260">IF(B1283="Yes",1,0)</f>
        <v>1</v>
      </c>
      <c r="AG1283">
        <f t="shared" ref="AG1283:AG1346" si="261">IF(T1283="Yes",1,0)</f>
        <v>1</v>
      </c>
      <c r="AH1283" t="str">
        <f t="shared" ref="AH1283:AH1346" si="262">CHOOSE(G1283,"Below College","College","Bachelor","Master","Doctor")</f>
        <v>Bachelor</v>
      </c>
      <c r="AI1283" t="str">
        <f t="shared" ref="AI1283:AI1346" si="263">CHOOSE(J1283,"Low","Medium","High","Very High")</f>
        <v>High</v>
      </c>
      <c r="AJ1283" t="str">
        <f t="shared" ref="AJ1283:AJ1346" si="264">CHOOSE(M1283,"Low","Medium","High","Very High")</f>
        <v>High</v>
      </c>
      <c r="AK1283" t="str">
        <f t="shared" ref="AK1283:AK1346" si="265">CHOOSE(N1283,"Entry","Junior","Mid-Level","Senior","Executive")</f>
        <v>Junior</v>
      </c>
      <c r="AL1283" t="str">
        <f t="shared" ref="AL1283:AL1346" si="266">CHOOSE(P1283,"Low","Medium","High","Very High")</f>
        <v>Very High</v>
      </c>
      <c r="AM1283" t="str">
        <f t="shared" ref="AM1283:AM1346" si="267">CHOOSE(W1283,"Low","Medium","High","Very High")</f>
        <v>Very High</v>
      </c>
      <c r="AN1283" t="str">
        <f t="shared" ref="AN1283:AN1346" si="268">CHOOSE(X1283+1,"No Options","Low","Medium","High")</f>
        <v>No Options</v>
      </c>
      <c r="AO1283" t="str">
        <f t="shared" ref="AO1283:AO1346" si="269">CHOOSE(AA1283,"Bad","Good","Better","Best")</f>
        <v>Better</v>
      </c>
      <c r="AP1283" t="str">
        <f t="shared" ref="AP1283:AP1346" si="270">IF(A1283&lt;=24,"Under 25",IF(A1283&lt;=34,"25-34",IF(A1283&lt;=44,"35-44",IF(A1283&lt;=54,"45-54","55+"))))</f>
        <v>35-44</v>
      </c>
      <c r="AQ1283" t="str">
        <f t="shared" ref="AQ1283:AQ1346" si="271">IF(R1283&lt;3000,"Low",IF(R1283&lt;7000,"Lower-Mid",IF(R1283&lt;13000,"Upper-Mid","High")))</f>
        <v>Lower-Mid</v>
      </c>
      <c r="AR1283" t="str">
        <f t="shared" ref="AR1283:AR1346" si="272">IF(AB1283&lt;=2,"0-2 Years",IF(AB1283&lt;=5,"3-5 Years",IF(AB1283&lt;=10,"6-10 Years",IF(AB1283&lt;=20,"11-20 Years","20+ Years"))))</f>
        <v>6-10 Years</v>
      </c>
    </row>
    <row r="1284" spans="1:44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46</v>
      </c>
      <c r="L1284">
        <v>90</v>
      </c>
      <c r="M1284">
        <v>4</v>
      </c>
      <c r="N1284">
        <v>1</v>
      </c>
      <c r="O1284" t="s">
        <v>47</v>
      </c>
      <c r="P1284">
        <v>1</v>
      </c>
      <c r="Q1284" t="s">
        <v>48</v>
      </c>
      <c r="R1284">
        <v>3143</v>
      </c>
      <c r="S1284">
        <v>6</v>
      </c>
      <c r="T1284" t="s">
        <v>43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  <c r="AF1284">
        <f t="shared" si="260"/>
        <v>0</v>
      </c>
      <c r="AG1284">
        <f t="shared" si="261"/>
        <v>0</v>
      </c>
      <c r="AH1284" t="str">
        <f t="shared" si="262"/>
        <v>Master</v>
      </c>
      <c r="AI1284" t="str">
        <f t="shared" si="263"/>
        <v>Very High</v>
      </c>
      <c r="AJ1284" t="str">
        <f t="shared" si="264"/>
        <v>Very High</v>
      </c>
      <c r="AK1284" t="str">
        <f t="shared" si="265"/>
        <v>Entry</v>
      </c>
      <c r="AL1284" t="str">
        <f t="shared" si="266"/>
        <v>Low</v>
      </c>
      <c r="AM1284" t="str">
        <f t="shared" si="267"/>
        <v>Medium</v>
      </c>
      <c r="AN1284" t="str">
        <f t="shared" si="268"/>
        <v>Low</v>
      </c>
      <c r="AO1284" t="str">
        <f t="shared" si="269"/>
        <v>Better</v>
      </c>
      <c r="AP1284" t="str">
        <f t="shared" si="270"/>
        <v>25-34</v>
      </c>
      <c r="AQ1284" t="str">
        <f t="shared" si="271"/>
        <v>Lower-Mid</v>
      </c>
      <c r="AR1284" t="str">
        <f t="shared" si="272"/>
        <v>6-10 Years</v>
      </c>
    </row>
    <row r="1285" spans="1:44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46</v>
      </c>
      <c r="L1285">
        <v>82</v>
      </c>
      <c r="M1285">
        <v>3</v>
      </c>
      <c r="N1285">
        <v>1</v>
      </c>
      <c r="O1285" t="s">
        <v>47</v>
      </c>
      <c r="P1285">
        <v>4</v>
      </c>
      <c r="Q1285" t="s">
        <v>48</v>
      </c>
      <c r="R1285">
        <v>2044</v>
      </c>
      <c r="S1285">
        <v>1</v>
      </c>
      <c r="T1285" t="s">
        <v>43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  <c r="AF1285">
        <f t="shared" si="260"/>
        <v>0</v>
      </c>
      <c r="AG1285">
        <f t="shared" si="261"/>
        <v>0</v>
      </c>
      <c r="AH1285" t="str">
        <f t="shared" si="262"/>
        <v>Bachelor</v>
      </c>
      <c r="AI1285" t="str">
        <f t="shared" si="263"/>
        <v>High</v>
      </c>
      <c r="AJ1285" t="str">
        <f t="shared" si="264"/>
        <v>High</v>
      </c>
      <c r="AK1285" t="str">
        <f t="shared" si="265"/>
        <v>Entry</v>
      </c>
      <c r="AL1285" t="str">
        <f t="shared" si="266"/>
        <v>Very High</v>
      </c>
      <c r="AM1285" t="str">
        <f t="shared" si="267"/>
        <v>High</v>
      </c>
      <c r="AN1285" t="str">
        <f t="shared" si="268"/>
        <v>Low</v>
      </c>
      <c r="AO1285" t="str">
        <f t="shared" si="269"/>
        <v>Best</v>
      </c>
      <c r="AP1285" t="str">
        <f t="shared" si="270"/>
        <v>25-34</v>
      </c>
      <c r="AQ1285" t="str">
        <f t="shared" si="271"/>
        <v>Low</v>
      </c>
      <c r="AR1285" t="str">
        <f t="shared" si="272"/>
        <v>3-5 Years</v>
      </c>
    </row>
    <row r="1286" spans="1:44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46</v>
      </c>
      <c r="L1286">
        <v>65</v>
      </c>
      <c r="M1286">
        <v>3</v>
      </c>
      <c r="N1286">
        <v>3</v>
      </c>
      <c r="O1286" t="s">
        <v>58</v>
      </c>
      <c r="P1286">
        <v>3</v>
      </c>
      <c r="Q1286" t="s">
        <v>41</v>
      </c>
      <c r="R1286">
        <v>13464</v>
      </c>
      <c r="S1286">
        <v>7</v>
      </c>
      <c r="T1286" t="s">
        <v>43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  <c r="AF1286">
        <f t="shared" si="260"/>
        <v>0</v>
      </c>
      <c r="AG1286">
        <f t="shared" si="261"/>
        <v>0</v>
      </c>
      <c r="AH1286" t="str">
        <f t="shared" si="262"/>
        <v>Below College</v>
      </c>
      <c r="AI1286" t="str">
        <f t="shared" si="263"/>
        <v>High</v>
      </c>
      <c r="AJ1286" t="str">
        <f t="shared" si="264"/>
        <v>High</v>
      </c>
      <c r="AK1286" t="str">
        <f t="shared" si="265"/>
        <v>Mid-Level</v>
      </c>
      <c r="AL1286" t="str">
        <f t="shared" si="266"/>
        <v>High</v>
      </c>
      <c r="AM1286" t="str">
        <f t="shared" si="267"/>
        <v>High</v>
      </c>
      <c r="AN1286" t="str">
        <f t="shared" si="268"/>
        <v>No Options</v>
      </c>
      <c r="AO1286" t="str">
        <f t="shared" si="269"/>
        <v>Better</v>
      </c>
      <c r="AP1286" t="str">
        <f t="shared" si="270"/>
        <v>35-44</v>
      </c>
      <c r="AQ1286" t="str">
        <f t="shared" si="271"/>
        <v>High</v>
      </c>
      <c r="AR1286" t="str">
        <f t="shared" si="272"/>
        <v>3-5 Years</v>
      </c>
    </row>
    <row r="1287" spans="1:44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46</v>
      </c>
      <c r="L1287">
        <v>98</v>
      </c>
      <c r="M1287">
        <v>2</v>
      </c>
      <c r="N1287">
        <v>2</v>
      </c>
      <c r="O1287" t="s">
        <v>40</v>
      </c>
      <c r="P1287">
        <v>2</v>
      </c>
      <c r="Q1287" t="s">
        <v>41</v>
      </c>
      <c r="R1287">
        <v>7991</v>
      </c>
      <c r="S1287">
        <v>8</v>
      </c>
      <c r="T1287" t="s">
        <v>43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  <c r="AF1287">
        <f t="shared" si="260"/>
        <v>0</v>
      </c>
      <c r="AG1287">
        <f t="shared" si="261"/>
        <v>0</v>
      </c>
      <c r="AH1287" t="str">
        <f t="shared" si="262"/>
        <v>College</v>
      </c>
      <c r="AI1287" t="str">
        <f t="shared" si="263"/>
        <v>Medium</v>
      </c>
      <c r="AJ1287" t="str">
        <f t="shared" si="264"/>
        <v>Medium</v>
      </c>
      <c r="AK1287" t="str">
        <f t="shared" si="265"/>
        <v>Junior</v>
      </c>
      <c r="AL1287" t="str">
        <f t="shared" si="266"/>
        <v>Medium</v>
      </c>
      <c r="AM1287" t="str">
        <f t="shared" si="267"/>
        <v>High</v>
      </c>
      <c r="AN1287" t="str">
        <f t="shared" si="268"/>
        <v>No Options</v>
      </c>
      <c r="AO1287" t="str">
        <f t="shared" si="269"/>
        <v>Better</v>
      </c>
      <c r="AP1287" t="str">
        <f t="shared" si="270"/>
        <v>45-54</v>
      </c>
      <c r="AQ1287" t="str">
        <f t="shared" si="271"/>
        <v>Upper-Mid</v>
      </c>
      <c r="AR1287" t="str">
        <f t="shared" si="272"/>
        <v>0-2 Years</v>
      </c>
    </row>
    <row r="1288" spans="1:44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99</v>
      </c>
      <c r="M1288">
        <v>3</v>
      </c>
      <c r="N1288">
        <v>1</v>
      </c>
      <c r="O1288" t="s">
        <v>50</v>
      </c>
      <c r="P1288">
        <v>1</v>
      </c>
      <c r="Q1288" t="s">
        <v>48</v>
      </c>
      <c r="R1288">
        <v>3377</v>
      </c>
      <c r="S1288">
        <v>4</v>
      </c>
      <c r="T1288" t="s">
        <v>43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  <c r="AF1288">
        <f t="shared" si="260"/>
        <v>0</v>
      </c>
      <c r="AG1288">
        <f t="shared" si="261"/>
        <v>0</v>
      </c>
      <c r="AH1288" t="str">
        <f t="shared" si="262"/>
        <v>College</v>
      </c>
      <c r="AI1288" t="str">
        <f t="shared" si="263"/>
        <v>High</v>
      </c>
      <c r="AJ1288" t="str">
        <f t="shared" si="264"/>
        <v>High</v>
      </c>
      <c r="AK1288" t="str">
        <f t="shared" si="265"/>
        <v>Entry</v>
      </c>
      <c r="AL1288" t="str">
        <f t="shared" si="266"/>
        <v>Low</v>
      </c>
      <c r="AM1288" t="str">
        <f t="shared" si="267"/>
        <v>Very High</v>
      </c>
      <c r="AN1288" t="str">
        <f t="shared" si="268"/>
        <v>Low</v>
      </c>
      <c r="AO1288" t="str">
        <f t="shared" si="269"/>
        <v>Good</v>
      </c>
      <c r="AP1288" t="str">
        <f t="shared" si="270"/>
        <v>35-44</v>
      </c>
      <c r="AQ1288" t="str">
        <f t="shared" si="271"/>
        <v>Lower-Mid</v>
      </c>
      <c r="AR1288" t="str">
        <f t="shared" si="272"/>
        <v>3-5 Years</v>
      </c>
    </row>
    <row r="1289" spans="1:44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46</v>
      </c>
      <c r="L1289">
        <v>95</v>
      </c>
      <c r="M1289">
        <v>4</v>
      </c>
      <c r="N1289">
        <v>2</v>
      </c>
      <c r="O1289" t="s">
        <v>54</v>
      </c>
      <c r="P1289">
        <v>1</v>
      </c>
      <c r="Q1289" t="s">
        <v>48</v>
      </c>
      <c r="R1289">
        <v>5538</v>
      </c>
      <c r="S1289">
        <v>5</v>
      </c>
      <c r="T1289" t="s">
        <v>43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  <c r="AF1289">
        <f t="shared" si="260"/>
        <v>0</v>
      </c>
      <c r="AG1289">
        <f t="shared" si="261"/>
        <v>0</v>
      </c>
      <c r="AH1289" t="str">
        <f t="shared" si="262"/>
        <v>Bachelor</v>
      </c>
      <c r="AI1289" t="str">
        <f t="shared" si="263"/>
        <v>Medium</v>
      </c>
      <c r="AJ1289" t="str">
        <f t="shared" si="264"/>
        <v>Very High</v>
      </c>
      <c r="AK1289" t="str">
        <f t="shared" si="265"/>
        <v>Junior</v>
      </c>
      <c r="AL1289" t="str">
        <f t="shared" si="266"/>
        <v>Low</v>
      </c>
      <c r="AM1289" t="str">
        <f t="shared" si="267"/>
        <v>High</v>
      </c>
      <c r="AN1289" t="str">
        <f t="shared" si="268"/>
        <v>Medium</v>
      </c>
      <c r="AO1289" t="str">
        <f t="shared" si="269"/>
        <v>Good</v>
      </c>
      <c r="AP1289" t="str">
        <f t="shared" si="270"/>
        <v>35-44</v>
      </c>
      <c r="AQ1289" t="str">
        <f t="shared" si="271"/>
        <v>Lower-Mid</v>
      </c>
      <c r="AR1289" t="str">
        <f t="shared" si="272"/>
        <v>0-2 Years</v>
      </c>
    </row>
    <row r="1290" spans="1:44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46</v>
      </c>
      <c r="L1290">
        <v>90</v>
      </c>
      <c r="M1290">
        <v>3</v>
      </c>
      <c r="N1290">
        <v>2</v>
      </c>
      <c r="O1290" t="s">
        <v>53</v>
      </c>
      <c r="P1290">
        <v>4</v>
      </c>
      <c r="Q1290" t="s">
        <v>52</v>
      </c>
      <c r="R1290">
        <v>5762</v>
      </c>
      <c r="S1290">
        <v>2</v>
      </c>
      <c r="T1290" t="s">
        <v>43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  <c r="AF1290">
        <f t="shared" si="260"/>
        <v>0</v>
      </c>
      <c r="AG1290">
        <f t="shared" si="261"/>
        <v>0</v>
      </c>
      <c r="AH1290" t="str">
        <f t="shared" si="262"/>
        <v>College</v>
      </c>
      <c r="AI1290" t="str">
        <f t="shared" si="263"/>
        <v>Medium</v>
      </c>
      <c r="AJ1290" t="str">
        <f t="shared" si="264"/>
        <v>High</v>
      </c>
      <c r="AK1290" t="str">
        <f t="shared" si="265"/>
        <v>Junior</v>
      </c>
      <c r="AL1290" t="str">
        <f t="shared" si="266"/>
        <v>Very High</v>
      </c>
      <c r="AM1290" t="str">
        <f t="shared" si="267"/>
        <v>High</v>
      </c>
      <c r="AN1290" t="str">
        <f t="shared" si="268"/>
        <v>Low</v>
      </c>
      <c r="AO1290" t="str">
        <f t="shared" si="269"/>
        <v>Better</v>
      </c>
      <c r="AP1290" t="str">
        <f t="shared" si="270"/>
        <v>35-44</v>
      </c>
      <c r="AQ1290" t="str">
        <f t="shared" si="271"/>
        <v>Lower-Mid</v>
      </c>
      <c r="AR1290" t="str">
        <f t="shared" si="272"/>
        <v>6-10 Years</v>
      </c>
    </row>
    <row r="1291" spans="1:44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t="s">
        <v>46</v>
      </c>
      <c r="L1291">
        <v>100</v>
      </c>
      <c r="M1291">
        <v>3</v>
      </c>
      <c r="N1291">
        <v>1</v>
      </c>
      <c r="O1291" t="s">
        <v>61</v>
      </c>
      <c r="P1291">
        <v>2</v>
      </c>
      <c r="Q1291" t="s">
        <v>52</v>
      </c>
      <c r="R1291">
        <v>2592</v>
      </c>
      <c r="S1291">
        <v>5</v>
      </c>
      <c r="T1291" t="s">
        <v>43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  <c r="AF1291">
        <f t="shared" si="260"/>
        <v>0</v>
      </c>
      <c r="AG1291">
        <f t="shared" si="261"/>
        <v>0</v>
      </c>
      <c r="AH1291" t="str">
        <f t="shared" si="262"/>
        <v>Bachelor</v>
      </c>
      <c r="AI1291" t="str">
        <f t="shared" si="263"/>
        <v>Low</v>
      </c>
      <c r="AJ1291" t="str">
        <f t="shared" si="264"/>
        <v>High</v>
      </c>
      <c r="AK1291" t="str">
        <f t="shared" si="265"/>
        <v>Entry</v>
      </c>
      <c r="AL1291" t="str">
        <f t="shared" si="266"/>
        <v>Medium</v>
      </c>
      <c r="AM1291" t="str">
        <f t="shared" si="267"/>
        <v>Very High</v>
      </c>
      <c r="AN1291" t="str">
        <f t="shared" si="268"/>
        <v>High</v>
      </c>
      <c r="AO1291" t="str">
        <f t="shared" si="269"/>
        <v>Better</v>
      </c>
      <c r="AP1291" t="str">
        <f t="shared" si="270"/>
        <v>35-44</v>
      </c>
      <c r="AQ1291" t="str">
        <f t="shared" si="271"/>
        <v>Low</v>
      </c>
      <c r="AR1291" t="str">
        <f t="shared" si="272"/>
        <v>11-20 Years</v>
      </c>
    </row>
    <row r="1292" spans="1:44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46</v>
      </c>
      <c r="L1292">
        <v>93</v>
      </c>
      <c r="M1292">
        <v>3</v>
      </c>
      <c r="N1292">
        <v>2</v>
      </c>
      <c r="O1292" t="s">
        <v>50</v>
      </c>
      <c r="P1292">
        <v>1</v>
      </c>
      <c r="Q1292" t="s">
        <v>48</v>
      </c>
      <c r="R1292">
        <v>5346</v>
      </c>
      <c r="S1292">
        <v>4</v>
      </c>
      <c r="T1292" t="s">
        <v>43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  <c r="AF1292">
        <f t="shared" si="260"/>
        <v>1</v>
      </c>
      <c r="AG1292">
        <f t="shared" si="261"/>
        <v>0</v>
      </c>
      <c r="AH1292" t="str">
        <f t="shared" si="262"/>
        <v>Master</v>
      </c>
      <c r="AI1292" t="str">
        <f t="shared" si="263"/>
        <v>Very High</v>
      </c>
      <c r="AJ1292" t="str">
        <f t="shared" si="264"/>
        <v>High</v>
      </c>
      <c r="AK1292" t="str">
        <f t="shared" si="265"/>
        <v>Junior</v>
      </c>
      <c r="AL1292" t="str">
        <f t="shared" si="266"/>
        <v>Low</v>
      </c>
      <c r="AM1292" t="str">
        <f t="shared" si="267"/>
        <v>High</v>
      </c>
      <c r="AN1292" t="str">
        <f t="shared" si="268"/>
        <v>Low</v>
      </c>
      <c r="AO1292" t="str">
        <f t="shared" si="269"/>
        <v>Good</v>
      </c>
      <c r="AP1292" t="str">
        <f t="shared" si="270"/>
        <v>25-34</v>
      </c>
      <c r="AQ1292" t="str">
        <f t="shared" si="271"/>
        <v>Lower-Mid</v>
      </c>
      <c r="AR1292" t="str">
        <f t="shared" si="272"/>
        <v>6-10 Years</v>
      </c>
    </row>
    <row r="1293" spans="1:44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46</v>
      </c>
      <c r="L1293">
        <v>58</v>
      </c>
      <c r="M1293">
        <v>3</v>
      </c>
      <c r="N1293">
        <v>2</v>
      </c>
      <c r="O1293" t="s">
        <v>53</v>
      </c>
      <c r="P1293">
        <v>1</v>
      </c>
      <c r="Q1293" t="s">
        <v>41</v>
      </c>
      <c r="R1293">
        <v>4213</v>
      </c>
      <c r="S1293">
        <v>1</v>
      </c>
      <c r="T1293" t="s">
        <v>43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  <c r="AF1293">
        <f t="shared" si="260"/>
        <v>1</v>
      </c>
      <c r="AG1293">
        <f t="shared" si="261"/>
        <v>0</v>
      </c>
      <c r="AH1293" t="str">
        <f t="shared" si="262"/>
        <v>Master</v>
      </c>
      <c r="AI1293" t="str">
        <f t="shared" si="263"/>
        <v>Very High</v>
      </c>
      <c r="AJ1293" t="str">
        <f t="shared" si="264"/>
        <v>High</v>
      </c>
      <c r="AK1293" t="str">
        <f t="shared" si="265"/>
        <v>Junior</v>
      </c>
      <c r="AL1293" t="str">
        <f t="shared" si="266"/>
        <v>Low</v>
      </c>
      <c r="AM1293" t="str">
        <f t="shared" si="267"/>
        <v>Medium</v>
      </c>
      <c r="AN1293" t="str">
        <f t="shared" si="268"/>
        <v>No Options</v>
      </c>
      <c r="AO1293" t="str">
        <f t="shared" si="269"/>
        <v>Bad</v>
      </c>
      <c r="AP1293" t="str">
        <f t="shared" si="270"/>
        <v>35-44</v>
      </c>
      <c r="AQ1293" t="str">
        <f t="shared" si="271"/>
        <v>Lower-Mid</v>
      </c>
      <c r="AR1293" t="str">
        <f t="shared" si="272"/>
        <v>6-10 Years</v>
      </c>
    </row>
    <row r="1294" spans="1:44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46</v>
      </c>
      <c r="L1294">
        <v>83</v>
      </c>
      <c r="M1294">
        <v>3</v>
      </c>
      <c r="N1294">
        <v>2</v>
      </c>
      <c r="O1294" t="s">
        <v>40</v>
      </c>
      <c r="P1294">
        <v>4</v>
      </c>
      <c r="Q1294" t="s">
        <v>52</v>
      </c>
      <c r="R1294">
        <v>4127</v>
      </c>
      <c r="S1294">
        <v>2</v>
      </c>
      <c r="T1294" t="s">
        <v>43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  <c r="AF1294">
        <f t="shared" si="260"/>
        <v>0</v>
      </c>
      <c r="AG1294">
        <f t="shared" si="261"/>
        <v>0</v>
      </c>
      <c r="AH1294" t="str">
        <f t="shared" si="262"/>
        <v>Bachelor</v>
      </c>
      <c r="AI1294" t="str">
        <f t="shared" si="263"/>
        <v>High</v>
      </c>
      <c r="AJ1294" t="str">
        <f t="shared" si="264"/>
        <v>High</v>
      </c>
      <c r="AK1294" t="str">
        <f t="shared" si="265"/>
        <v>Junior</v>
      </c>
      <c r="AL1294" t="str">
        <f t="shared" si="266"/>
        <v>Very High</v>
      </c>
      <c r="AM1294" t="str">
        <f t="shared" si="267"/>
        <v>Very High</v>
      </c>
      <c r="AN1294" t="str">
        <f t="shared" si="268"/>
        <v>Low</v>
      </c>
      <c r="AO1294" t="str">
        <f t="shared" si="269"/>
        <v>Better</v>
      </c>
      <c r="AP1294" t="str">
        <f t="shared" si="270"/>
        <v>35-44</v>
      </c>
      <c r="AQ1294" t="str">
        <f t="shared" si="271"/>
        <v>Lower-Mid</v>
      </c>
      <c r="AR1294" t="str">
        <f t="shared" si="272"/>
        <v>0-2 Years</v>
      </c>
    </row>
    <row r="1295" spans="1:44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46</v>
      </c>
      <c r="L1295">
        <v>52</v>
      </c>
      <c r="M1295">
        <v>3</v>
      </c>
      <c r="N1295">
        <v>1</v>
      </c>
      <c r="O1295" t="s">
        <v>47</v>
      </c>
      <c r="P1295">
        <v>3</v>
      </c>
      <c r="Q1295" t="s">
        <v>41</v>
      </c>
      <c r="R1295">
        <v>2438</v>
      </c>
      <c r="S1295">
        <v>4</v>
      </c>
      <c r="T1295" t="s">
        <v>43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  <c r="AF1295">
        <f t="shared" si="260"/>
        <v>0</v>
      </c>
      <c r="AG1295">
        <f t="shared" si="261"/>
        <v>0</v>
      </c>
      <c r="AH1295" t="str">
        <f t="shared" si="262"/>
        <v>Bachelor</v>
      </c>
      <c r="AI1295" t="str">
        <f t="shared" si="263"/>
        <v>Low</v>
      </c>
      <c r="AJ1295" t="str">
        <f t="shared" si="264"/>
        <v>High</v>
      </c>
      <c r="AK1295" t="str">
        <f t="shared" si="265"/>
        <v>Entry</v>
      </c>
      <c r="AL1295" t="str">
        <f t="shared" si="266"/>
        <v>High</v>
      </c>
      <c r="AM1295" t="str">
        <f t="shared" si="267"/>
        <v>High</v>
      </c>
      <c r="AN1295" t="str">
        <f t="shared" si="268"/>
        <v>No Options</v>
      </c>
      <c r="AO1295" t="str">
        <f t="shared" si="269"/>
        <v>Good</v>
      </c>
      <c r="AP1295" t="str">
        <f t="shared" si="270"/>
        <v>35-44</v>
      </c>
      <c r="AQ1295" t="str">
        <f t="shared" si="271"/>
        <v>Low</v>
      </c>
      <c r="AR1295" t="str">
        <f t="shared" si="272"/>
        <v>3-5 Years</v>
      </c>
    </row>
    <row r="1296" spans="1:44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46</v>
      </c>
      <c r="L1296">
        <v>85</v>
      </c>
      <c r="M1296">
        <v>4</v>
      </c>
      <c r="N1296">
        <v>2</v>
      </c>
      <c r="O1296" t="s">
        <v>54</v>
      </c>
      <c r="P1296">
        <v>2</v>
      </c>
      <c r="Q1296" t="s">
        <v>41</v>
      </c>
      <c r="R1296">
        <v>6870</v>
      </c>
      <c r="S1296">
        <v>3</v>
      </c>
      <c r="T1296" t="s">
        <v>43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  <c r="AF1296">
        <f t="shared" si="260"/>
        <v>0</v>
      </c>
      <c r="AG1296">
        <f t="shared" si="261"/>
        <v>0</v>
      </c>
      <c r="AH1296" t="str">
        <f t="shared" si="262"/>
        <v>Bachelor</v>
      </c>
      <c r="AI1296" t="str">
        <f t="shared" si="263"/>
        <v>Medium</v>
      </c>
      <c r="AJ1296" t="str">
        <f t="shared" si="264"/>
        <v>Very High</v>
      </c>
      <c r="AK1296" t="str">
        <f t="shared" si="265"/>
        <v>Junior</v>
      </c>
      <c r="AL1296" t="str">
        <f t="shared" si="266"/>
        <v>Medium</v>
      </c>
      <c r="AM1296" t="str">
        <f t="shared" si="267"/>
        <v>Low</v>
      </c>
      <c r="AN1296" t="str">
        <f t="shared" si="268"/>
        <v>No Options</v>
      </c>
      <c r="AO1296" t="str">
        <f t="shared" si="269"/>
        <v>Bad</v>
      </c>
      <c r="AP1296" t="str">
        <f t="shared" si="270"/>
        <v>35-44</v>
      </c>
      <c r="AQ1296" t="str">
        <f t="shared" si="271"/>
        <v>Lower-Mid</v>
      </c>
      <c r="AR1296" t="str">
        <f t="shared" si="272"/>
        <v>3-5 Years</v>
      </c>
    </row>
    <row r="1297" spans="1:44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t="s">
        <v>39</v>
      </c>
      <c r="L1297">
        <v>81</v>
      </c>
      <c r="M1297">
        <v>3</v>
      </c>
      <c r="N1297">
        <v>3</v>
      </c>
      <c r="O1297" t="s">
        <v>40</v>
      </c>
      <c r="P1297">
        <v>3</v>
      </c>
      <c r="Q1297" t="s">
        <v>52</v>
      </c>
      <c r="R1297">
        <v>10447</v>
      </c>
      <c r="S1297">
        <v>0</v>
      </c>
      <c r="T1297" t="s">
        <v>35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  <c r="AF1297">
        <f t="shared" si="260"/>
        <v>0</v>
      </c>
      <c r="AG1297">
        <f t="shared" si="261"/>
        <v>1</v>
      </c>
      <c r="AH1297" t="str">
        <f t="shared" si="262"/>
        <v>Below College</v>
      </c>
      <c r="AI1297" t="str">
        <f t="shared" si="263"/>
        <v>High</v>
      </c>
      <c r="AJ1297" t="str">
        <f t="shared" si="264"/>
        <v>High</v>
      </c>
      <c r="AK1297" t="str">
        <f t="shared" si="265"/>
        <v>Mid-Level</v>
      </c>
      <c r="AL1297" t="str">
        <f t="shared" si="266"/>
        <v>High</v>
      </c>
      <c r="AM1297" t="str">
        <f t="shared" si="267"/>
        <v>Very High</v>
      </c>
      <c r="AN1297" t="str">
        <f t="shared" si="268"/>
        <v>Low</v>
      </c>
      <c r="AO1297" t="str">
        <f t="shared" si="269"/>
        <v>Best</v>
      </c>
      <c r="AP1297" t="str">
        <f t="shared" si="270"/>
        <v>35-44</v>
      </c>
      <c r="AQ1297" t="str">
        <f t="shared" si="271"/>
        <v>Upper-Mid</v>
      </c>
      <c r="AR1297" t="str">
        <f t="shared" si="272"/>
        <v>20+ Years</v>
      </c>
    </row>
    <row r="1298" spans="1:44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39</v>
      </c>
      <c r="L1298">
        <v>64</v>
      </c>
      <c r="M1298">
        <v>3</v>
      </c>
      <c r="N1298">
        <v>3</v>
      </c>
      <c r="O1298" t="s">
        <v>53</v>
      </c>
      <c r="P1298">
        <v>3</v>
      </c>
      <c r="Q1298" t="s">
        <v>41</v>
      </c>
      <c r="R1298">
        <v>9667</v>
      </c>
      <c r="S1298">
        <v>9</v>
      </c>
      <c r="T1298" t="s">
        <v>43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  <c r="AF1298">
        <f t="shared" si="260"/>
        <v>0</v>
      </c>
      <c r="AG1298">
        <f t="shared" si="261"/>
        <v>0</v>
      </c>
      <c r="AH1298" t="str">
        <f t="shared" si="262"/>
        <v>Bachelor</v>
      </c>
      <c r="AI1298" t="str">
        <f t="shared" si="263"/>
        <v>Low</v>
      </c>
      <c r="AJ1298" t="str">
        <f t="shared" si="264"/>
        <v>High</v>
      </c>
      <c r="AK1298" t="str">
        <f t="shared" si="265"/>
        <v>Mid-Level</v>
      </c>
      <c r="AL1298" t="str">
        <f t="shared" si="266"/>
        <v>High</v>
      </c>
      <c r="AM1298" t="str">
        <f t="shared" si="267"/>
        <v>Medium</v>
      </c>
      <c r="AN1298" t="str">
        <f t="shared" si="268"/>
        <v>No Options</v>
      </c>
      <c r="AO1298" t="str">
        <f t="shared" si="269"/>
        <v>Better</v>
      </c>
      <c r="AP1298" t="str">
        <f t="shared" si="270"/>
        <v>25-34</v>
      </c>
      <c r="AQ1298" t="str">
        <f t="shared" si="271"/>
        <v>Upper-Mid</v>
      </c>
      <c r="AR1298" t="str">
        <f t="shared" si="272"/>
        <v>6-10 Years</v>
      </c>
    </row>
    <row r="1299" spans="1:44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39</v>
      </c>
      <c r="L1299">
        <v>69</v>
      </c>
      <c r="M1299">
        <v>3</v>
      </c>
      <c r="N1299">
        <v>1</v>
      </c>
      <c r="O1299" t="s">
        <v>61</v>
      </c>
      <c r="P1299">
        <v>2</v>
      </c>
      <c r="Q1299" t="s">
        <v>48</v>
      </c>
      <c r="R1299">
        <v>2148</v>
      </c>
      <c r="S1299">
        <v>0</v>
      </c>
      <c r="T1299" t="s">
        <v>35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  <c r="AF1299">
        <f t="shared" si="260"/>
        <v>1</v>
      </c>
      <c r="AG1299">
        <f t="shared" si="261"/>
        <v>1</v>
      </c>
      <c r="AH1299" t="str">
        <f t="shared" si="262"/>
        <v>College</v>
      </c>
      <c r="AI1299" t="str">
        <f t="shared" si="263"/>
        <v>Very High</v>
      </c>
      <c r="AJ1299" t="str">
        <f t="shared" si="264"/>
        <v>High</v>
      </c>
      <c r="AK1299" t="str">
        <f t="shared" si="265"/>
        <v>Entry</v>
      </c>
      <c r="AL1299" t="str">
        <f t="shared" si="266"/>
        <v>Medium</v>
      </c>
      <c r="AM1299" t="str">
        <f t="shared" si="267"/>
        <v>High</v>
      </c>
      <c r="AN1299" t="str">
        <f t="shared" si="268"/>
        <v>No Options</v>
      </c>
      <c r="AO1299" t="str">
        <f t="shared" si="269"/>
        <v>Better</v>
      </c>
      <c r="AP1299" t="str">
        <f t="shared" si="270"/>
        <v>25-34</v>
      </c>
      <c r="AQ1299" t="str">
        <f t="shared" si="271"/>
        <v>Low</v>
      </c>
      <c r="AR1299" t="str">
        <f t="shared" si="272"/>
        <v>3-5 Years</v>
      </c>
    </row>
    <row r="1300" spans="1:44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39</v>
      </c>
      <c r="L1300">
        <v>66</v>
      </c>
      <c r="M1300">
        <v>3</v>
      </c>
      <c r="N1300">
        <v>2</v>
      </c>
      <c r="O1300" t="s">
        <v>54</v>
      </c>
      <c r="P1300">
        <v>2</v>
      </c>
      <c r="Q1300" t="s">
        <v>48</v>
      </c>
      <c r="R1300">
        <v>8926</v>
      </c>
      <c r="S1300">
        <v>4</v>
      </c>
      <c r="T1300" t="s">
        <v>43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  <c r="AF1300">
        <f t="shared" si="260"/>
        <v>1</v>
      </c>
      <c r="AG1300">
        <f t="shared" si="261"/>
        <v>0</v>
      </c>
      <c r="AH1300" t="str">
        <f t="shared" si="262"/>
        <v>College</v>
      </c>
      <c r="AI1300" t="str">
        <f t="shared" si="263"/>
        <v>Very High</v>
      </c>
      <c r="AJ1300" t="str">
        <f t="shared" si="264"/>
        <v>High</v>
      </c>
      <c r="AK1300" t="str">
        <f t="shared" si="265"/>
        <v>Junior</v>
      </c>
      <c r="AL1300" t="str">
        <f t="shared" si="266"/>
        <v>Medium</v>
      </c>
      <c r="AM1300" t="str">
        <f t="shared" si="267"/>
        <v>Very High</v>
      </c>
      <c r="AN1300" t="str">
        <f t="shared" si="268"/>
        <v>Low</v>
      </c>
      <c r="AO1300" t="str">
        <f t="shared" si="269"/>
        <v>Best</v>
      </c>
      <c r="AP1300" t="str">
        <f t="shared" si="270"/>
        <v>45-54</v>
      </c>
      <c r="AQ1300" t="str">
        <f t="shared" si="271"/>
        <v>Upper-Mid</v>
      </c>
      <c r="AR1300" t="str">
        <f t="shared" si="272"/>
        <v>6-10 Years</v>
      </c>
    </row>
    <row r="1301" spans="1:44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52</v>
      </c>
      <c r="M1301">
        <v>3</v>
      </c>
      <c r="N1301">
        <v>2</v>
      </c>
      <c r="O1301" t="s">
        <v>54</v>
      </c>
      <c r="P1301">
        <v>4</v>
      </c>
      <c r="Q1301" t="s">
        <v>52</v>
      </c>
      <c r="R1301">
        <v>6513</v>
      </c>
      <c r="S1301">
        <v>4</v>
      </c>
      <c r="T1301" t="s">
        <v>43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  <c r="AF1301">
        <f t="shared" si="260"/>
        <v>0</v>
      </c>
      <c r="AG1301">
        <f t="shared" si="261"/>
        <v>0</v>
      </c>
      <c r="AH1301" t="str">
        <f t="shared" si="262"/>
        <v>Bachelor</v>
      </c>
      <c r="AI1301" t="str">
        <f t="shared" si="263"/>
        <v>High</v>
      </c>
      <c r="AJ1301" t="str">
        <f t="shared" si="264"/>
        <v>High</v>
      </c>
      <c r="AK1301" t="str">
        <f t="shared" si="265"/>
        <v>Junior</v>
      </c>
      <c r="AL1301" t="str">
        <f t="shared" si="266"/>
        <v>Very High</v>
      </c>
      <c r="AM1301" t="str">
        <f t="shared" si="267"/>
        <v>Very High</v>
      </c>
      <c r="AN1301" t="str">
        <f t="shared" si="268"/>
        <v>Low</v>
      </c>
      <c r="AO1301" t="str">
        <f t="shared" si="269"/>
        <v>Better</v>
      </c>
      <c r="AP1301" t="str">
        <f t="shared" si="270"/>
        <v>35-44</v>
      </c>
      <c r="AQ1301" t="str">
        <f t="shared" si="271"/>
        <v>Lower-Mid</v>
      </c>
      <c r="AR1301" t="str">
        <f t="shared" si="272"/>
        <v>3-5 Years</v>
      </c>
    </row>
    <row r="1302" spans="1:44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t="s">
        <v>46</v>
      </c>
      <c r="L1302">
        <v>92</v>
      </c>
      <c r="M1302">
        <v>4</v>
      </c>
      <c r="N1302">
        <v>2</v>
      </c>
      <c r="O1302" t="s">
        <v>40</v>
      </c>
      <c r="P1302">
        <v>3</v>
      </c>
      <c r="Q1302" t="s">
        <v>48</v>
      </c>
      <c r="R1302">
        <v>6799</v>
      </c>
      <c r="S1302">
        <v>1</v>
      </c>
      <c r="T1302" t="s">
        <v>43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  <c r="AF1302">
        <f t="shared" si="260"/>
        <v>0</v>
      </c>
      <c r="AG1302">
        <f t="shared" si="261"/>
        <v>0</v>
      </c>
      <c r="AH1302" t="str">
        <f t="shared" si="262"/>
        <v>College</v>
      </c>
      <c r="AI1302" t="str">
        <f t="shared" si="263"/>
        <v>Medium</v>
      </c>
      <c r="AJ1302" t="str">
        <f t="shared" si="264"/>
        <v>Very High</v>
      </c>
      <c r="AK1302" t="str">
        <f t="shared" si="265"/>
        <v>Junior</v>
      </c>
      <c r="AL1302" t="str">
        <f t="shared" si="266"/>
        <v>High</v>
      </c>
      <c r="AM1302" t="str">
        <f t="shared" si="267"/>
        <v>High</v>
      </c>
      <c r="AN1302" t="str">
        <f t="shared" si="268"/>
        <v>Medium</v>
      </c>
      <c r="AO1302" t="str">
        <f t="shared" si="269"/>
        <v>Better</v>
      </c>
      <c r="AP1302" t="str">
        <f t="shared" si="270"/>
        <v>25-34</v>
      </c>
      <c r="AQ1302" t="str">
        <f t="shared" si="271"/>
        <v>Lower-Mid</v>
      </c>
      <c r="AR1302" t="str">
        <f t="shared" si="272"/>
        <v>6-10 Years</v>
      </c>
    </row>
    <row r="1303" spans="1:44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46</v>
      </c>
      <c r="L1303">
        <v>52</v>
      </c>
      <c r="M1303">
        <v>3</v>
      </c>
      <c r="N1303">
        <v>4</v>
      </c>
      <c r="O1303" t="s">
        <v>56</v>
      </c>
      <c r="P1303">
        <v>2</v>
      </c>
      <c r="Q1303" t="s">
        <v>52</v>
      </c>
      <c r="R1303">
        <v>16291</v>
      </c>
      <c r="S1303">
        <v>4</v>
      </c>
      <c r="T1303" t="s">
        <v>43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  <c r="AF1303">
        <f t="shared" si="260"/>
        <v>0</v>
      </c>
      <c r="AG1303">
        <f t="shared" si="261"/>
        <v>0</v>
      </c>
      <c r="AH1303" t="str">
        <f t="shared" si="262"/>
        <v>Bachelor</v>
      </c>
      <c r="AI1303" t="str">
        <f t="shared" si="263"/>
        <v>Medium</v>
      </c>
      <c r="AJ1303" t="str">
        <f t="shared" si="264"/>
        <v>High</v>
      </c>
      <c r="AK1303" t="str">
        <f t="shared" si="265"/>
        <v>Senior</v>
      </c>
      <c r="AL1303" t="str">
        <f t="shared" si="266"/>
        <v>Medium</v>
      </c>
      <c r="AM1303" t="str">
        <f t="shared" si="267"/>
        <v>Very High</v>
      </c>
      <c r="AN1303" t="str">
        <f t="shared" si="268"/>
        <v>Low</v>
      </c>
      <c r="AO1303" t="str">
        <f t="shared" si="269"/>
        <v>Good</v>
      </c>
      <c r="AP1303" t="str">
        <f t="shared" si="270"/>
        <v>55+</v>
      </c>
      <c r="AQ1303" t="str">
        <f t="shared" si="271"/>
        <v>High</v>
      </c>
      <c r="AR1303" t="str">
        <f t="shared" si="272"/>
        <v>11-20 Years</v>
      </c>
    </row>
    <row r="1304" spans="1:44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46</v>
      </c>
      <c r="L1304">
        <v>91</v>
      </c>
      <c r="M1304">
        <v>1</v>
      </c>
      <c r="N1304">
        <v>1</v>
      </c>
      <c r="O1304" t="s">
        <v>50</v>
      </c>
      <c r="P1304">
        <v>3</v>
      </c>
      <c r="Q1304" t="s">
        <v>48</v>
      </c>
      <c r="R1304">
        <v>2705</v>
      </c>
      <c r="S1304">
        <v>0</v>
      </c>
      <c r="T1304" t="s">
        <v>43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  <c r="AF1304">
        <f t="shared" si="260"/>
        <v>0</v>
      </c>
      <c r="AG1304">
        <f t="shared" si="261"/>
        <v>0</v>
      </c>
      <c r="AH1304" t="str">
        <f t="shared" si="262"/>
        <v>Master</v>
      </c>
      <c r="AI1304" t="str">
        <f t="shared" si="263"/>
        <v>Medium</v>
      </c>
      <c r="AJ1304" t="str">
        <f t="shared" si="264"/>
        <v>Low</v>
      </c>
      <c r="AK1304" t="str">
        <f t="shared" si="265"/>
        <v>Entry</v>
      </c>
      <c r="AL1304" t="str">
        <f t="shared" si="266"/>
        <v>High</v>
      </c>
      <c r="AM1304" t="str">
        <f t="shared" si="267"/>
        <v>Medium</v>
      </c>
      <c r="AN1304" t="str">
        <f t="shared" si="268"/>
        <v>Low</v>
      </c>
      <c r="AO1304" t="str">
        <f t="shared" si="269"/>
        <v>Best</v>
      </c>
      <c r="AP1304" t="str">
        <f t="shared" si="270"/>
        <v>35-44</v>
      </c>
      <c r="AQ1304" t="str">
        <f t="shared" si="271"/>
        <v>Low</v>
      </c>
      <c r="AR1304" t="str">
        <f t="shared" si="272"/>
        <v>3-5 Years</v>
      </c>
    </row>
    <row r="1305" spans="1:44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92</v>
      </c>
      <c r="M1305">
        <v>2</v>
      </c>
      <c r="N1305">
        <v>3</v>
      </c>
      <c r="O1305" t="s">
        <v>53</v>
      </c>
      <c r="P1305">
        <v>2</v>
      </c>
      <c r="Q1305" t="s">
        <v>52</v>
      </c>
      <c r="R1305">
        <v>10333</v>
      </c>
      <c r="S1305">
        <v>8</v>
      </c>
      <c r="T1305" t="s">
        <v>35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  <c r="AF1305">
        <f t="shared" si="260"/>
        <v>0</v>
      </c>
      <c r="AG1305">
        <f t="shared" si="261"/>
        <v>1</v>
      </c>
      <c r="AH1305" t="str">
        <f t="shared" si="262"/>
        <v>Bachelor</v>
      </c>
      <c r="AI1305" t="str">
        <f t="shared" si="263"/>
        <v>High</v>
      </c>
      <c r="AJ1305" t="str">
        <f t="shared" si="264"/>
        <v>Medium</v>
      </c>
      <c r="AK1305" t="str">
        <f t="shared" si="265"/>
        <v>Mid-Level</v>
      </c>
      <c r="AL1305" t="str">
        <f t="shared" si="266"/>
        <v>Medium</v>
      </c>
      <c r="AM1305" t="str">
        <f t="shared" si="267"/>
        <v>High</v>
      </c>
      <c r="AN1305" t="str">
        <f t="shared" si="268"/>
        <v>Low</v>
      </c>
      <c r="AO1305" t="str">
        <f t="shared" si="269"/>
        <v>Better</v>
      </c>
      <c r="AP1305" t="str">
        <f t="shared" si="270"/>
        <v>45-54</v>
      </c>
      <c r="AQ1305" t="str">
        <f t="shared" si="271"/>
        <v>Upper-Mid</v>
      </c>
      <c r="AR1305" t="str">
        <f t="shared" si="272"/>
        <v>20+ Years</v>
      </c>
    </row>
    <row r="1306" spans="1:44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47</v>
      </c>
      <c r="M1306">
        <v>3</v>
      </c>
      <c r="N1306">
        <v>2</v>
      </c>
      <c r="O1306" t="s">
        <v>54</v>
      </c>
      <c r="P1306">
        <v>1</v>
      </c>
      <c r="Q1306" t="s">
        <v>52</v>
      </c>
      <c r="R1306">
        <v>4448</v>
      </c>
      <c r="S1306">
        <v>2</v>
      </c>
      <c r="T1306" t="s">
        <v>43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  <c r="AF1306">
        <f t="shared" si="260"/>
        <v>0</v>
      </c>
      <c r="AG1306">
        <f t="shared" si="261"/>
        <v>0</v>
      </c>
      <c r="AH1306" t="str">
        <f t="shared" si="262"/>
        <v>Bachelor</v>
      </c>
      <c r="AI1306" t="str">
        <f t="shared" si="263"/>
        <v>Medium</v>
      </c>
      <c r="AJ1306" t="str">
        <f t="shared" si="264"/>
        <v>High</v>
      </c>
      <c r="AK1306" t="str">
        <f t="shared" si="265"/>
        <v>Junior</v>
      </c>
      <c r="AL1306" t="str">
        <f t="shared" si="266"/>
        <v>Low</v>
      </c>
      <c r="AM1306" t="str">
        <f t="shared" si="267"/>
        <v>Medium</v>
      </c>
      <c r="AN1306" t="str">
        <f t="shared" si="268"/>
        <v>Low</v>
      </c>
      <c r="AO1306" t="str">
        <f t="shared" si="269"/>
        <v>Better</v>
      </c>
      <c r="AP1306" t="str">
        <f t="shared" si="270"/>
        <v>35-44</v>
      </c>
      <c r="AQ1306" t="str">
        <f t="shared" si="271"/>
        <v>Lower-Mid</v>
      </c>
      <c r="AR1306" t="str">
        <f t="shared" si="272"/>
        <v>6-10 Years</v>
      </c>
    </row>
    <row r="1307" spans="1:44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39</v>
      </c>
      <c r="L1307">
        <v>68</v>
      </c>
      <c r="M1307">
        <v>3</v>
      </c>
      <c r="N1307">
        <v>2</v>
      </c>
      <c r="O1307" t="s">
        <v>47</v>
      </c>
      <c r="P1307">
        <v>4</v>
      </c>
      <c r="Q1307" t="s">
        <v>48</v>
      </c>
      <c r="R1307">
        <v>6854</v>
      </c>
      <c r="S1307">
        <v>4</v>
      </c>
      <c r="T1307" t="s">
        <v>43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  <c r="AF1307">
        <f t="shared" si="260"/>
        <v>0</v>
      </c>
      <c r="AG1307">
        <f t="shared" si="261"/>
        <v>0</v>
      </c>
      <c r="AH1307" t="str">
        <f t="shared" si="262"/>
        <v>Master</v>
      </c>
      <c r="AI1307" t="str">
        <f t="shared" si="263"/>
        <v>Very High</v>
      </c>
      <c r="AJ1307" t="str">
        <f t="shared" si="264"/>
        <v>High</v>
      </c>
      <c r="AK1307" t="str">
        <f t="shared" si="265"/>
        <v>Junior</v>
      </c>
      <c r="AL1307" t="str">
        <f t="shared" si="266"/>
        <v>Very High</v>
      </c>
      <c r="AM1307" t="str">
        <f t="shared" si="267"/>
        <v>Medium</v>
      </c>
      <c r="AN1307" t="str">
        <f t="shared" si="268"/>
        <v>Low</v>
      </c>
      <c r="AO1307" t="str">
        <f t="shared" si="269"/>
        <v>Good</v>
      </c>
      <c r="AP1307" t="str">
        <f t="shared" si="270"/>
        <v>45-54</v>
      </c>
      <c r="AQ1307" t="str">
        <f t="shared" si="271"/>
        <v>Lower-Mid</v>
      </c>
      <c r="AR1307" t="str">
        <f t="shared" si="272"/>
        <v>6-10 Years</v>
      </c>
    </row>
    <row r="1308" spans="1:44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t="s">
        <v>39</v>
      </c>
      <c r="L1308">
        <v>68</v>
      </c>
      <c r="M1308">
        <v>3</v>
      </c>
      <c r="N1308">
        <v>3</v>
      </c>
      <c r="O1308" t="s">
        <v>40</v>
      </c>
      <c r="P1308">
        <v>1</v>
      </c>
      <c r="Q1308" t="s">
        <v>48</v>
      </c>
      <c r="R1308">
        <v>9637</v>
      </c>
      <c r="S1308">
        <v>2</v>
      </c>
      <c r="T1308" t="s">
        <v>43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  <c r="AF1308">
        <f t="shared" si="260"/>
        <v>0</v>
      </c>
      <c r="AG1308">
        <f t="shared" si="261"/>
        <v>0</v>
      </c>
      <c r="AH1308" t="str">
        <f t="shared" si="262"/>
        <v>Master</v>
      </c>
      <c r="AI1308" t="str">
        <f t="shared" si="263"/>
        <v>Low</v>
      </c>
      <c r="AJ1308" t="str">
        <f t="shared" si="264"/>
        <v>High</v>
      </c>
      <c r="AK1308" t="str">
        <f t="shared" si="265"/>
        <v>Mid-Level</v>
      </c>
      <c r="AL1308" t="str">
        <f t="shared" si="266"/>
        <v>Low</v>
      </c>
      <c r="AM1308" t="str">
        <f t="shared" si="267"/>
        <v>Very High</v>
      </c>
      <c r="AN1308" t="str">
        <f t="shared" si="268"/>
        <v>Medium</v>
      </c>
      <c r="AO1308" t="str">
        <f t="shared" si="269"/>
        <v>Better</v>
      </c>
      <c r="AP1308" t="str">
        <f t="shared" si="270"/>
        <v>25-34</v>
      </c>
      <c r="AQ1308" t="str">
        <f t="shared" si="271"/>
        <v>Upper-Mid</v>
      </c>
      <c r="AR1308" t="str">
        <f t="shared" si="272"/>
        <v>3-5 Years</v>
      </c>
    </row>
    <row r="1309" spans="1:44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39</v>
      </c>
      <c r="L1309">
        <v>67</v>
      </c>
      <c r="M1309">
        <v>3</v>
      </c>
      <c r="N1309">
        <v>1</v>
      </c>
      <c r="O1309" t="s">
        <v>47</v>
      </c>
      <c r="P1309">
        <v>1</v>
      </c>
      <c r="Q1309" t="s">
        <v>48</v>
      </c>
      <c r="R1309">
        <v>3591</v>
      </c>
      <c r="S1309">
        <v>1</v>
      </c>
      <c r="T1309" t="s">
        <v>43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  <c r="AF1309">
        <f t="shared" si="260"/>
        <v>0</v>
      </c>
      <c r="AG1309">
        <f t="shared" si="261"/>
        <v>0</v>
      </c>
      <c r="AH1309" t="str">
        <f t="shared" si="262"/>
        <v>Bachelor</v>
      </c>
      <c r="AI1309" t="str">
        <f t="shared" si="263"/>
        <v>High</v>
      </c>
      <c r="AJ1309" t="str">
        <f t="shared" si="264"/>
        <v>High</v>
      </c>
      <c r="AK1309" t="str">
        <f t="shared" si="265"/>
        <v>Entry</v>
      </c>
      <c r="AL1309" t="str">
        <f t="shared" si="266"/>
        <v>Low</v>
      </c>
      <c r="AM1309" t="str">
        <f t="shared" si="267"/>
        <v>High</v>
      </c>
      <c r="AN1309" t="str">
        <f t="shared" si="268"/>
        <v>Low</v>
      </c>
      <c r="AO1309" t="str">
        <f t="shared" si="269"/>
        <v>Better</v>
      </c>
      <c r="AP1309" t="str">
        <f t="shared" si="270"/>
        <v>25-34</v>
      </c>
      <c r="AQ1309" t="str">
        <f t="shared" si="271"/>
        <v>Lower-Mid</v>
      </c>
      <c r="AR1309" t="str">
        <f t="shared" si="272"/>
        <v>3-5 Years</v>
      </c>
    </row>
    <row r="1310" spans="1:44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t="s">
        <v>39</v>
      </c>
      <c r="L1310">
        <v>77</v>
      </c>
      <c r="M1310">
        <v>1</v>
      </c>
      <c r="N1310">
        <v>2</v>
      </c>
      <c r="O1310" t="s">
        <v>57</v>
      </c>
      <c r="P1310">
        <v>4</v>
      </c>
      <c r="Q1310" t="s">
        <v>48</v>
      </c>
      <c r="R1310">
        <v>5405</v>
      </c>
      <c r="S1310">
        <v>2</v>
      </c>
      <c r="T1310" t="s">
        <v>35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  <c r="AF1310">
        <f t="shared" si="260"/>
        <v>0</v>
      </c>
      <c r="AG1310">
        <f t="shared" si="261"/>
        <v>1</v>
      </c>
      <c r="AH1310" t="str">
        <f t="shared" si="262"/>
        <v>Master</v>
      </c>
      <c r="AI1310" t="str">
        <f t="shared" si="263"/>
        <v>Medium</v>
      </c>
      <c r="AJ1310" t="str">
        <f t="shared" si="264"/>
        <v>Low</v>
      </c>
      <c r="AK1310" t="str">
        <f t="shared" si="265"/>
        <v>Junior</v>
      </c>
      <c r="AL1310" t="str">
        <f t="shared" si="266"/>
        <v>Very High</v>
      </c>
      <c r="AM1310" t="str">
        <f t="shared" si="267"/>
        <v>Low</v>
      </c>
      <c r="AN1310" t="str">
        <f t="shared" si="268"/>
        <v>Medium</v>
      </c>
      <c r="AO1310" t="str">
        <f t="shared" si="269"/>
        <v>Good</v>
      </c>
      <c r="AP1310" t="str">
        <f t="shared" si="270"/>
        <v>35-44</v>
      </c>
      <c r="AQ1310" t="str">
        <f t="shared" si="271"/>
        <v>Lower-Mid</v>
      </c>
      <c r="AR1310" t="str">
        <f t="shared" si="272"/>
        <v>3-5 Years</v>
      </c>
    </row>
    <row r="1311" spans="1:44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46</v>
      </c>
      <c r="L1311">
        <v>46</v>
      </c>
      <c r="M1311">
        <v>3</v>
      </c>
      <c r="N1311">
        <v>2</v>
      </c>
      <c r="O1311" t="s">
        <v>40</v>
      </c>
      <c r="P1311">
        <v>4</v>
      </c>
      <c r="Q1311" t="s">
        <v>41</v>
      </c>
      <c r="R1311">
        <v>4684</v>
      </c>
      <c r="S1311">
        <v>1</v>
      </c>
      <c r="T1311" t="s">
        <v>43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  <c r="AF1311">
        <f t="shared" si="260"/>
        <v>0</v>
      </c>
      <c r="AG1311">
        <f t="shared" si="261"/>
        <v>0</v>
      </c>
      <c r="AH1311" t="str">
        <f t="shared" si="262"/>
        <v>Bachelor</v>
      </c>
      <c r="AI1311" t="str">
        <f t="shared" si="263"/>
        <v>High</v>
      </c>
      <c r="AJ1311" t="str">
        <f t="shared" si="264"/>
        <v>High</v>
      </c>
      <c r="AK1311" t="str">
        <f t="shared" si="265"/>
        <v>Junior</v>
      </c>
      <c r="AL1311" t="str">
        <f t="shared" si="266"/>
        <v>Very High</v>
      </c>
      <c r="AM1311" t="str">
        <f t="shared" si="267"/>
        <v>Low</v>
      </c>
      <c r="AN1311" t="str">
        <f t="shared" si="268"/>
        <v>No Options</v>
      </c>
      <c r="AO1311" t="str">
        <f t="shared" si="269"/>
        <v>Better</v>
      </c>
      <c r="AP1311" t="str">
        <f t="shared" si="270"/>
        <v>25-34</v>
      </c>
      <c r="AQ1311" t="str">
        <f t="shared" si="271"/>
        <v>Lower-Mid</v>
      </c>
      <c r="AR1311" t="str">
        <f t="shared" si="272"/>
        <v>3-5 Years</v>
      </c>
    </row>
    <row r="1312" spans="1:44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46</v>
      </c>
      <c r="L1312">
        <v>87</v>
      </c>
      <c r="M1312">
        <v>3</v>
      </c>
      <c r="N1312">
        <v>4</v>
      </c>
      <c r="O1312" t="s">
        <v>58</v>
      </c>
      <c r="P1312">
        <v>3</v>
      </c>
      <c r="Q1312" t="s">
        <v>48</v>
      </c>
      <c r="R1312">
        <v>15787</v>
      </c>
      <c r="S1312">
        <v>2</v>
      </c>
      <c r="T1312" t="s">
        <v>35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  <c r="AF1312">
        <f t="shared" si="260"/>
        <v>0</v>
      </c>
      <c r="AG1312">
        <f t="shared" si="261"/>
        <v>1</v>
      </c>
      <c r="AH1312" t="str">
        <f t="shared" si="262"/>
        <v>Master</v>
      </c>
      <c r="AI1312" t="str">
        <f t="shared" si="263"/>
        <v>Low</v>
      </c>
      <c r="AJ1312" t="str">
        <f t="shared" si="264"/>
        <v>High</v>
      </c>
      <c r="AK1312" t="str">
        <f t="shared" si="265"/>
        <v>Senior</v>
      </c>
      <c r="AL1312" t="str">
        <f t="shared" si="266"/>
        <v>High</v>
      </c>
      <c r="AM1312" t="str">
        <f t="shared" si="267"/>
        <v>Medium</v>
      </c>
      <c r="AN1312" t="str">
        <f t="shared" si="268"/>
        <v>No Options</v>
      </c>
      <c r="AO1312" t="str">
        <f t="shared" si="269"/>
        <v>Better</v>
      </c>
      <c r="AP1312" t="str">
        <f t="shared" si="270"/>
        <v>55+</v>
      </c>
      <c r="AQ1312" t="str">
        <f t="shared" si="271"/>
        <v>High</v>
      </c>
      <c r="AR1312" t="str">
        <f t="shared" si="272"/>
        <v>0-2 Years</v>
      </c>
    </row>
    <row r="1313" spans="1:44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39</v>
      </c>
      <c r="L1313">
        <v>33</v>
      </c>
      <c r="M1313">
        <v>3</v>
      </c>
      <c r="N1313">
        <v>1</v>
      </c>
      <c r="O1313" t="s">
        <v>47</v>
      </c>
      <c r="P1313">
        <v>3</v>
      </c>
      <c r="Q1313" t="s">
        <v>41</v>
      </c>
      <c r="R1313">
        <v>1514</v>
      </c>
      <c r="S1313">
        <v>1</v>
      </c>
      <c r="T1313" t="s">
        <v>43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f t="shared" si="260"/>
        <v>0</v>
      </c>
      <c r="AG1313">
        <f t="shared" si="261"/>
        <v>0</v>
      </c>
      <c r="AH1313" t="str">
        <f t="shared" si="262"/>
        <v>Bachelor</v>
      </c>
      <c r="AI1313" t="str">
        <f t="shared" si="263"/>
        <v>Medium</v>
      </c>
      <c r="AJ1313" t="str">
        <f t="shared" si="264"/>
        <v>High</v>
      </c>
      <c r="AK1313" t="str">
        <f t="shared" si="265"/>
        <v>Entry</v>
      </c>
      <c r="AL1313" t="str">
        <f t="shared" si="266"/>
        <v>High</v>
      </c>
      <c r="AM1313" t="str">
        <f t="shared" si="267"/>
        <v>High</v>
      </c>
      <c r="AN1313" t="str">
        <f t="shared" si="268"/>
        <v>No Options</v>
      </c>
      <c r="AO1313" t="str">
        <f t="shared" si="269"/>
        <v>Bad</v>
      </c>
      <c r="AP1313" t="str">
        <f t="shared" si="270"/>
        <v>Under 25</v>
      </c>
      <c r="AQ1313" t="str">
        <f t="shared" si="271"/>
        <v>Low</v>
      </c>
      <c r="AR1313" t="str">
        <f t="shared" si="272"/>
        <v>0-2 Years</v>
      </c>
    </row>
    <row r="1314" spans="1:44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t="s">
        <v>46</v>
      </c>
      <c r="L1314">
        <v>89</v>
      </c>
      <c r="M1314">
        <v>4</v>
      </c>
      <c r="N1314">
        <v>1</v>
      </c>
      <c r="O1314" t="s">
        <v>61</v>
      </c>
      <c r="P1314">
        <v>1</v>
      </c>
      <c r="Q1314" t="s">
        <v>48</v>
      </c>
      <c r="R1314">
        <v>2956</v>
      </c>
      <c r="S1314">
        <v>0</v>
      </c>
      <c r="T1314" t="s">
        <v>43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  <c r="AF1314">
        <f t="shared" si="260"/>
        <v>1</v>
      </c>
      <c r="AG1314">
        <f t="shared" si="261"/>
        <v>0</v>
      </c>
      <c r="AH1314" t="str">
        <f t="shared" si="262"/>
        <v>Doctor</v>
      </c>
      <c r="AI1314" t="str">
        <f t="shared" si="263"/>
        <v>Very High</v>
      </c>
      <c r="AJ1314" t="str">
        <f t="shared" si="264"/>
        <v>Very High</v>
      </c>
      <c r="AK1314" t="str">
        <f t="shared" si="265"/>
        <v>Entry</v>
      </c>
      <c r="AL1314" t="str">
        <f t="shared" si="266"/>
        <v>Low</v>
      </c>
      <c r="AM1314" t="str">
        <f t="shared" si="267"/>
        <v>High</v>
      </c>
      <c r="AN1314" t="str">
        <f t="shared" si="268"/>
        <v>No Options</v>
      </c>
      <c r="AO1314" t="str">
        <f t="shared" si="269"/>
        <v>Better</v>
      </c>
      <c r="AP1314" t="str">
        <f t="shared" si="270"/>
        <v>25-34</v>
      </c>
      <c r="AQ1314" t="str">
        <f t="shared" si="271"/>
        <v>Low</v>
      </c>
      <c r="AR1314" t="str">
        <f t="shared" si="272"/>
        <v>0-2 Years</v>
      </c>
    </row>
    <row r="1315" spans="1:44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t="s">
        <v>46</v>
      </c>
      <c r="L1315">
        <v>56</v>
      </c>
      <c r="M1315">
        <v>2</v>
      </c>
      <c r="N1315">
        <v>1</v>
      </c>
      <c r="O1315" t="s">
        <v>61</v>
      </c>
      <c r="P1315">
        <v>1</v>
      </c>
      <c r="Q1315" t="s">
        <v>52</v>
      </c>
      <c r="R1315">
        <v>2335</v>
      </c>
      <c r="S1315">
        <v>4</v>
      </c>
      <c r="T1315" t="s">
        <v>35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  <c r="AF1315">
        <f t="shared" si="260"/>
        <v>1</v>
      </c>
      <c r="AG1315">
        <f t="shared" si="261"/>
        <v>1</v>
      </c>
      <c r="AH1315" t="str">
        <f t="shared" si="262"/>
        <v>Bachelor</v>
      </c>
      <c r="AI1315" t="str">
        <f t="shared" si="263"/>
        <v>Low</v>
      </c>
      <c r="AJ1315" t="str">
        <f t="shared" si="264"/>
        <v>Medium</v>
      </c>
      <c r="AK1315" t="str">
        <f t="shared" si="265"/>
        <v>Entry</v>
      </c>
      <c r="AL1315" t="str">
        <f t="shared" si="266"/>
        <v>Low</v>
      </c>
      <c r="AM1315" t="str">
        <f t="shared" si="267"/>
        <v>Very High</v>
      </c>
      <c r="AN1315" t="str">
        <f t="shared" si="268"/>
        <v>High</v>
      </c>
      <c r="AO1315" t="str">
        <f t="shared" si="269"/>
        <v>Better</v>
      </c>
      <c r="AP1315" t="str">
        <f t="shared" si="270"/>
        <v>25-34</v>
      </c>
      <c r="AQ1315" t="str">
        <f t="shared" si="271"/>
        <v>Low</v>
      </c>
      <c r="AR1315" t="str">
        <f t="shared" si="272"/>
        <v>0-2 Years</v>
      </c>
    </row>
    <row r="1316" spans="1:44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67</v>
      </c>
      <c r="M1316">
        <v>3</v>
      </c>
      <c r="N1316">
        <v>2</v>
      </c>
      <c r="O1316" t="s">
        <v>40</v>
      </c>
      <c r="P1316">
        <v>3</v>
      </c>
      <c r="Q1316" t="s">
        <v>48</v>
      </c>
      <c r="R1316">
        <v>5154</v>
      </c>
      <c r="S1316">
        <v>4</v>
      </c>
      <c r="T1316" t="s">
        <v>43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  <c r="AF1316">
        <f t="shared" si="260"/>
        <v>0</v>
      </c>
      <c r="AG1316">
        <f t="shared" si="261"/>
        <v>0</v>
      </c>
      <c r="AH1316" t="str">
        <f t="shared" si="262"/>
        <v>Master</v>
      </c>
      <c r="AI1316" t="str">
        <f t="shared" si="263"/>
        <v>High</v>
      </c>
      <c r="AJ1316" t="str">
        <f t="shared" si="264"/>
        <v>High</v>
      </c>
      <c r="AK1316" t="str">
        <f t="shared" si="265"/>
        <v>Junior</v>
      </c>
      <c r="AL1316" t="str">
        <f t="shared" si="266"/>
        <v>High</v>
      </c>
      <c r="AM1316" t="str">
        <f t="shared" si="267"/>
        <v>Medium</v>
      </c>
      <c r="AN1316" t="str">
        <f t="shared" si="268"/>
        <v>Medium</v>
      </c>
      <c r="AO1316" t="str">
        <f t="shared" si="269"/>
        <v>Best</v>
      </c>
      <c r="AP1316" t="str">
        <f t="shared" si="270"/>
        <v>45-54</v>
      </c>
      <c r="AQ1316" t="str">
        <f t="shared" si="271"/>
        <v>Lower-Mid</v>
      </c>
      <c r="AR1316" t="str">
        <f t="shared" si="272"/>
        <v>6-10 Years</v>
      </c>
    </row>
    <row r="1317" spans="1:44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39</v>
      </c>
      <c r="L1317">
        <v>73</v>
      </c>
      <c r="M1317">
        <v>3</v>
      </c>
      <c r="N1317">
        <v>2</v>
      </c>
      <c r="O1317" t="s">
        <v>47</v>
      </c>
      <c r="P1317">
        <v>2</v>
      </c>
      <c r="Q1317" t="s">
        <v>48</v>
      </c>
      <c r="R1317">
        <v>6962</v>
      </c>
      <c r="S1317">
        <v>4</v>
      </c>
      <c r="T1317" t="s">
        <v>35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  <c r="AF1317">
        <f t="shared" si="260"/>
        <v>0</v>
      </c>
      <c r="AG1317">
        <f t="shared" si="261"/>
        <v>1</v>
      </c>
      <c r="AH1317" t="str">
        <f t="shared" si="262"/>
        <v>Master</v>
      </c>
      <c r="AI1317" t="str">
        <f t="shared" si="263"/>
        <v>Very High</v>
      </c>
      <c r="AJ1317" t="str">
        <f t="shared" si="264"/>
        <v>High</v>
      </c>
      <c r="AK1317" t="str">
        <f t="shared" si="265"/>
        <v>Junior</v>
      </c>
      <c r="AL1317" t="str">
        <f t="shared" si="266"/>
        <v>Medium</v>
      </c>
      <c r="AM1317" t="str">
        <f t="shared" si="267"/>
        <v>Very High</v>
      </c>
      <c r="AN1317" t="str">
        <f t="shared" si="268"/>
        <v>Low</v>
      </c>
      <c r="AO1317" t="str">
        <f t="shared" si="269"/>
        <v>Better</v>
      </c>
      <c r="AP1317" t="str">
        <f t="shared" si="270"/>
        <v>35-44</v>
      </c>
      <c r="AQ1317" t="str">
        <f t="shared" si="271"/>
        <v>Lower-Mid</v>
      </c>
      <c r="AR1317" t="str">
        <f t="shared" si="272"/>
        <v>0-2 Years</v>
      </c>
    </row>
    <row r="1318" spans="1:44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46</v>
      </c>
      <c r="L1318">
        <v>92</v>
      </c>
      <c r="M1318">
        <v>3</v>
      </c>
      <c r="N1318">
        <v>2</v>
      </c>
      <c r="O1318" t="s">
        <v>40</v>
      </c>
      <c r="P1318">
        <v>4</v>
      </c>
      <c r="Q1318" t="s">
        <v>48</v>
      </c>
      <c r="R1318">
        <v>5675</v>
      </c>
      <c r="S1318">
        <v>1</v>
      </c>
      <c r="T1318" t="s">
        <v>43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  <c r="AF1318">
        <f t="shared" si="260"/>
        <v>0</v>
      </c>
      <c r="AG1318">
        <f t="shared" si="261"/>
        <v>0</v>
      </c>
      <c r="AH1318" t="str">
        <f t="shared" si="262"/>
        <v>Master</v>
      </c>
      <c r="AI1318" t="str">
        <f t="shared" si="263"/>
        <v>Low</v>
      </c>
      <c r="AJ1318" t="str">
        <f t="shared" si="264"/>
        <v>High</v>
      </c>
      <c r="AK1318" t="str">
        <f t="shared" si="265"/>
        <v>Junior</v>
      </c>
      <c r="AL1318" t="str">
        <f t="shared" si="266"/>
        <v>Very High</v>
      </c>
      <c r="AM1318" t="str">
        <f t="shared" si="267"/>
        <v>High</v>
      </c>
      <c r="AN1318" t="str">
        <f t="shared" si="268"/>
        <v>Low</v>
      </c>
      <c r="AO1318" t="str">
        <f t="shared" si="269"/>
        <v>Better</v>
      </c>
      <c r="AP1318" t="str">
        <f t="shared" si="270"/>
        <v>35-44</v>
      </c>
      <c r="AQ1318" t="str">
        <f t="shared" si="271"/>
        <v>Lower-Mid</v>
      </c>
      <c r="AR1318" t="str">
        <f t="shared" si="272"/>
        <v>6-10 Years</v>
      </c>
    </row>
    <row r="1319" spans="1:44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53</v>
      </c>
      <c r="M1319">
        <v>3</v>
      </c>
      <c r="N1319">
        <v>1</v>
      </c>
      <c r="O1319" t="s">
        <v>50</v>
      </c>
      <c r="P1319">
        <v>4</v>
      </c>
      <c r="Q1319" t="s">
        <v>41</v>
      </c>
      <c r="R1319">
        <v>2379</v>
      </c>
      <c r="S1319">
        <v>0</v>
      </c>
      <c r="T1319" t="s">
        <v>35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  <c r="AF1319">
        <f t="shared" si="260"/>
        <v>0</v>
      </c>
      <c r="AG1319">
        <f t="shared" si="261"/>
        <v>1</v>
      </c>
      <c r="AH1319" t="str">
        <f t="shared" si="262"/>
        <v>College</v>
      </c>
      <c r="AI1319" t="str">
        <f t="shared" si="263"/>
        <v>Very High</v>
      </c>
      <c r="AJ1319" t="str">
        <f t="shared" si="264"/>
        <v>High</v>
      </c>
      <c r="AK1319" t="str">
        <f t="shared" si="265"/>
        <v>Entry</v>
      </c>
      <c r="AL1319" t="str">
        <f t="shared" si="266"/>
        <v>Very High</v>
      </c>
      <c r="AM1319" t="str">
        <f t="shared" si="267"/>
        <v>High</v>
      </c>
      <c r="AN1319" t="str">
        <f t="shared" si="268"/>
        <v>No Options</v>
      </c>
      <c r="AO1319" t="str">
        <f t="shared" si="269"/>
        <v>Good</v>
      </c>
      <c r="AP1319" t="str">
        <f t="shared" si="270"/>
        <v>25-34</v>
      </c>
      <c r="AQ1319" t="str">
        <f t="shared" si="271"/>
        <v>Low</v>
      </c>
      <c r="AR1319" t="str">
        <f t="shared" si="272"/>
        <v>3-5 Years</v>
      </c>
    </row>
    <row r="1320" spans="1:44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46</v>
      </c>
      <c r="L1320">
        <v>40</v>
      </c>
      <c r="M1320">
        <v>3</v>
      </c>
      <c r="N1320">
        <v>1</v>
      </c>
      <c r="O1320" t="s">
        <v>50</v>
      </c>
      <c r="P1320">
        <v>4</v>
      </c>
      <c r="Q1320" t="s">
        <v>48</v>
      </c>
      <c r="R1320">
        <v>3812</v>
      </c>
      <c r="S1320">
        <v>1</v>
      </c>
      <c r="T1320" t="s">
        <v>43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  <c r="AF1320">
        <f t="shared" si="260"/>
        <v>0</v>
      </c>
      <c r="AG1320">
        <f t="shared" si="261"/>
        <v>0</v>
      </c>
      <c r="AH1320" t="str">
        <f t="shared" si="262"/>
        <v>Below College</v>
      </c>
      <c r="AI1320" t="str">
        <f t="shared" si="263"/>
        <v>Very High</v>
      </c>
      <c r="AJ1320" t="str">
        <f t="shared" si="264"/>
        <v>High</v>
      </c>
      <c r="AK1320" t="str">
        <f t="shared" si="265"/>
        <v>Entry</v>
      </c>
      <c r="AL1320" t="str">
        <f t="shared" si="266"/>
        <v>Very High</v>
      </c>
      <c r="AM1320" t="str">
        <f t="shared" si="267"/>
        <v>Medium</v>
      </c>
      <c r="AN1320" t="str">
        <f t="shared" si="268"/>
        <v>No Options</v>
      </c>
      <c r="AO1320" t="str">
        <f t="shared" si="269"/>
        <v>Best</v>
      </c>
      <c r="AP1320" t="str">
        <f t="shared" si="270"/>
        <v>25-34</v>
      </c>
      <c r="AQ1320" t="str">
        <f t="shared" si="271"/>
        <v>Lower-Mid</v>
      </c>
      <c r="AR1320" t="str">
        <f t="shared" si="272"/>
        <v>11-20 Years</v>
      </c>
    </row>
    <row r="1321" spans="1:44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t="s">
        <v>46</v>
      </c>
      <c r="L1321">
        <v>79</v>
      </c>
      <c r="M1321">
        <v>3</v>
      </c>
      <c r="N1321">
        <v>2</v>
      </c>
      <c r="O1321" t="s">
        <v>40</v>
      </c>
      <c r="P1321">
        <v>4</v>
      </c>
      <c r="Q1321" t="s">
        <v>41</v>
      </c>
      <c r="R1321">
        <v>4648</v>
      </c>
      <c r="S1321">
        <v>8</v>
      </c>
      <c r="T1321" t="s">
        <v>43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  <c r="AF1321">
        <f t="shared" si="260"/>
        <v>0</v>
      </c>
      <c r="AG1321">
        <f t="shared" si="261"/>
        <v>0</v>
      </c>
      <c r="AH1321" t="str">
        <f t="shared" si="262"/>
        <v>Master</v>
      </c>
      <c r="AI1321" t="str">
        <f t="shared" si="263"/>
        <v>Very High</v>
      </c>
      <c r="AJ1321" t="str">
        <f t="shared" si="264"/>
        <v>High</v>
      </c>
      <c r="AK1321" t="str">
        <f t="shared" si="265"/>
        <v>Junior</v>
      </c>
      <c r="AL1321" t="str">
        <f t="shared" si="266"/>
        <v>Very High</v>
      </c>
      <c r="AM1321" t="str">
        <f t="shared" si="267"/>
        <v>High</v>
      </c>
      <c r="AN1321" t="str">
        <f t="shared" si="268"/>
        <v>No Options</v>
      </c>
      <c r="AO1321" t="str">
        <f t="shared" si="269"/>
        <v>Best</v>
      </c>
      <c r="AP1321" t="str">
        <f t="shared" si="270"/>
        <v>25-34</v>
      </c>
      <c r="AQ1321" t="str">
        <f t="shared" si="271"/>
        <v>Lower-Mid</v>
      </c>
      <c r="AR1321" t="str">
        <f t="shared" si="272"/>
        <v>0-2 Years</v>
      </c>
    </row>
    <row r="1322" spans="1:44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t="s">
        <v>46</v>
      </c>
      <c r="L1322">
        <v>38</v>
      </c>
      <c r="M1322">
        <v>3</v>
      </c>
      <c r="N1322">
        <v>1</v>
      </c>
      <c r="O1322" t="s">
        <v>47</v>
      </c>
      <c r="P1322">
        <v>3</v>
      </c>
      <c r="Q1322" t="s">
        <v>48</v>
      </c>
      <c r="R1322">
        <v>2936</v>
      </c>
      <c r="S1322">
        <v>3</v>
      </c>
      <c r="T1322" t="s">
        <v>43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  <c r="AF1322">
        <f t="shared" si="260"/>
        <v>0</v>
      </c>
      <c r="AG1322">
        <f t="shared" si="261"/>
        <v>0</v>
      </c>
      <c r="AH1322" t="str">
        <f t="shared" si="262"/>
        <v>Master</v>
      </c>
      <c r="AI1322" t="str">
        <f t="shared" si="263"/>
        <v>High</v>
      </c>
      <c r="AJ1322" t="str">
        <f t="shared" si="264"/>
        <v>High</v>
      </c>
      <c r="AK1322" t="str">
        <f t="shared" si="265"/>
        <v>Entry</v>
      </c>
      <c r="AL1322" t="str">
        <f t="shared" si="266"/>
        <v>High</v>
      </c>
      <c r="AM1322" t="str">
        <f t="shared" si="267"/>
        <v>Medium</v>
      </c>
      <c r="AN1322" t="str">
        <f t="shared" si="268"/>
        <v>Medium</v>
      </c>
      <c r="AO1322" t="str">
        <f t="shared" si="269"/>
        <v>Good</v>
      </c>
      <c r="AP1322" t="str">
        <f t="shared" si="270"/>
        <v>35-44</v>
      </c>
      <c r="AQ1322" t="str">
        <f t="shared" si="271"/>
        <v>Low</v>
      </c>
      <c r="AR1322" t="str">
        <f t="shared" si="272"/>
        <v>6-10 Years</v>
      </c>
    </row>
    <row r="1323" spans="1:44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64</v>
      </c>
      <c r="M1323">
        <v>3</v>
      </c>
      <c r="N1323">
        <v>1</v>
      </c>
      <c r="O1323" t="s">
        <v>50</v>
      </c>
      <c r="P1323">
        <v>3</v>
      </c>
      <c r="Q1323" t="s">
        <v>41</v>
      </c>
      <c r="R1323">
        <v>2105</v>
      </c>
      <c r="S1323">
        <v>4</v>
      </c>
      <c r="T1323" t="s">
        <v>43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  <c r="AF1323">
        <f t="shared" si="260"/>
        <v>0</v>
      </c>
      <c r="AG1323">
        <f t="shared" si="261"/>
        <v>0</v>
      </c>
      <c r="AH1323" t="str">
        <f t="shared" si="262"/>
        <v>Master</v>
      </c>
      <c r="AI1323" t="str">
        <f t="shared" si="263"/>
        <v>Medium</v>
      </c>
      <c r="AJ1323" t="str">
        <f t="shared" si="264"/>
        <v>High</v>
      </c>
      <c r="AK1323" t="str">
        <f t="shared" si="265"/>
        <v>Entry</v>
      </c>
      <c r="AL1323" t="str">
        <f t="shared" si="266"/>
        <v>High</v>
      </c>
      <c r="AM1323" t="str">
        <f t="shared" si="267"/>
        <v>High</v>
      </c>
      <c r="AN1323" t="str">
        <f t="shared" si="268"/>
        <v>No Options</v>
      </c>
      <c r="AO1323" t="str">
        <f t="shared" si="269"/>
        <v>Better</v>
      </c>
      <c r="AP1323" t="str">
        <f t="shared" si="270"/>
        <v>45-54</v>
      </c>
      <c r="AQ1323" t="str">
        <f t="shared" si="271"/>
        <v>Low</v>
      </c>
      <c r="AR1323" t="str">
        <f t="shared" si="272"/>
        <v>0-2 Years</v>
      </c>
    </row>
    <row r="1324" spans="1:44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46</v>
      </c>
      <c r="L1324">
        <v>82</v>
      </c>
      <c r="M1324">
        <v>3</v>
      </c>
      <c r="N1324">
        <v>3</v>
      </c>
      <c r="O1324" t="s">
        <v>53</v>
      </c>
      <c r="P1324">
        <v>4</v>
      </c>
      <c r="Q1324" t="s">
        <v>52</v>
      </c>
      <c r="R1324">
        <v>8578</v>
      </c>
      <c r="S1324">
        <v>3</v>
      </c>
      <c r="T1324" t="s">
        <v>43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  <c r="AF1324">
        <f t="shared" si="260"/>
        <v>0</v>
      </c>
      <c r="AG1324">
        <f t="shared" si="261"/>
        <v>0</v>
      </c>
      <c r="AH1324" t="str">
        <f t="shared" si="262"/>
        <v>College</v>
      </c>
      <c r="AI1324" t="str">
        <f t="shared" si="263"/>
        <v>Very High</v>
      </c>
      <c r="AJ1324" t="str">
        <f t="shared" si="264"/>
        <v>High</v>
      </c>
      <c r="AK1324" t="str">
        <f t="shared" si="265"/>
        <v>Mid-Level</v>
      </c>
      <c r="AL1324" t="str">
        <f t="shared" si="266"/>
        <v>Very High</v>
      </c>
      <c r="AM1324" t="str">
        <f t="shared" si="267"/>
        <v>High</v>
      </c>
      <c r="AN1324" t="str">
        <f t="shared" si="268"/>
        <v>Low</v>
      </c>
      <c r="AO1324" t="str">
        <f t="shared" si="269"/>
        <v>Good</v>
      </c>
      <c r="AP1324" t="str">
        <f t="shared" si="270"/>
        <v>45-54</v>
      </c>
      <c r="AQ1324" t="str">
        <f t="shared" si="271"/>
        <v>Upper-Mid</v>
      </c>
      <c r="AR1324" t="str">
        <f t="shared" si="272"/>
        <v>6-10 Years</v>
      </c>
    </row>
    <row r="1325" spans="1:44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46</v>
      </c>
      <c r="L1325">
        <v>43</v>
      </c>
      <c r="M1325">
        <v>3</v>
      </c>
      <c r="N1325">
        <v>1</v>
      </c>
      <c r="O1325" t="s">
        <v>61</v>
      </c>
      <c r="P1325">
        <v>4</v>
      </c>
      <c r="Q1325" t="s">
        <v>52</v>
      </c>
      <c r="R1325">
        <v>2706</v>
      </c>
      <c r="S1325">
        <v>1</v>
      </c>
      <c r="T1325" t="s">
        <v>43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  <c r="AF1325">
        <f t="shared" si="260"/>
        <v>0</v>
      </c>
      <c r="AG1325">
        <f t="shared" si="261"/>
        <v>0</v>
      </c>
      <c r="AH1325" t="str">
        <f t="shared" si="262"/>
        <v>College</v>
      </c>
      <c r="AI1325" t="str">
        <f t="shared" si="263"/>
        <v>High</v>
      </c>
      <c r="AJ1325" t="str">
        <f t="shared" si="264"/>
        <v>High</v>
      </c>
      <c r="AK1325" t="str">
        <f t="shared" si="265"/>
        <v>Entry</v>
      </c>
      <c r="AL1325" t="str">
        <f t="shared" si="266"/>
        <v>Very High</v>
      </c>
      <c r="AM1325" t="str">
        <f t="shared" si="267"/>
        <v>Medium</v>
      </c>
      <c r="AN1325" t="str">
        <f t="shared" si="268"/>
        <v>Low</v>
      </c>
      <c r="AO1325" t="str">
        <f t="shared" si="269"/>
        <v>Better</v>
      </c>
      <c r="AP1325" t="str">
        <f t="shared" si="270"/>
        <v>25-34</v>
      </c>
      <c r="AQ1325" t="str">
        <f t="shared" si="271"/>
        <v>Low</v>
      </c>
      <c r="AR1325" t="str">
        <f t="shared" si="272"/>
        <v>3-5 Years</v>
      </c>
    </row>
    <row r="1326" spans="1:44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46</v>
      </c>
      <c r="L1326">
        <v>93</v>
      </c>
      <c r="M1326">
        <v>1</v>
      </c>
      <c r="N1326">
        <v>2</v>
      </c>
      <c r="O1326" t="s">
        <v>54</v>
      </c>
      <c r="P1326">
        <v>3</v>
      </c>
      <c r="Q1326" t="s">
        <v>52</v>
      </c>
      <c r="R1326">
        <v>6384</v>
      </c>
      <c r="S1326">
        <v>8</v>
      </c>
      <c r="T1326" t="s">
        <v>43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  <c r="AF1326">
        <f t="shared" si="260"/>
        <v>0</v>
      </c>
      <c r="AG1326">
        <f t="shared" si="261"/>
        <v>0</v>
      </c>
      <c r="AH1326" t="str">
        <f t="shared" si="262"/>
        <v>Below College</v>
      </c>
      <c r="AI1326" t="str">
        <f t="shared" si="263"/>
        <v>Very High</v>
      </c>
      <c r="AJ1326" t="str">
        <f t="shared" si="264"/>
        <v>Low</v>
      </c>
      <c r="AK1326" t="str">
        <f t="shared" si="265"/>
        <v>Junior</v>
      </c>
      <c r="AL1326" t="str">
        <f t="shared" si="266"/>
        <v>High</v>
      </c>
      <c r="AM1326" t="str">
        <f t="shared" si="267"/>
        <v>Very High</v>
      </c>
      <c r="AN1326" t="str">
        <f t="shared" si="268"/>
        <v>Medium</v>
      </c>
      <c r="AO1326" t="str">
        <f t="shared" si="269"/>
        <v>Better</v>
      </c>
      <c r="AP1326" t="str">
        <f t="shared" si="270"/>
        <v>25-34</v>
      </c>
      <c r="AQ1326" t="str">
        <f t="shared" si="271"/>
        <v>Lower-Mid</v>
      </c>
      <c r="AR1326" t="str">
        <f t="shared" si="272"/>
        <v>6-10 Years</v>
      </c>
    </row>
    <row r="1327" spans="1:44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46</v>
      </c>
      <c r="L1327">
        <v>81</v>
      </c>
      <c r="M1327">
        <v>3</v>
      </c>
      <c r="N1327">
        <v>1</v>
      </c>
      <c r="O1327" t="s">
        <v>50</v>
      </c>
      <c r="P1327">
        <v>3</v>
      </c>
      <c r="Q1327" t="s">
        <v>41</v>
      </c>
      <c r="R1327">
        <v>3968</v>
      </c>
      <c r="S1327">
        <v>4</v>
      </c>
      <c r="T1327" t="s">
        <v>43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  <c r="AF1327">
        <f t="shared" si="260"/>
        <v>0</v>
      </c>
      <c r="AG1327">
        <f t="shared" si="261"/>
        <v>0</v>
      </c>
      <c r="AH1327" t="str">
        <f t="shared" si="262"/>
        <v>Bachelor</v>
      </c>
      <c r="AI1327" t="str">
        <f t="shared" si="263"/>
        <v>Very High</v>
      </c>
      <c r="AJ1327" t="str">
        <f t="shared" si="264"/>
        <v>High</v>
      </c>
      <c r="AK1327" t="str">
        <f t="shared" si="265"/>
        <v>Entry</v>
      </c>
      <c r="AL1327" t="str">
        <f t="shared" si="266"/>
        <v>High</v>
      </c>
      <c r="AM1327" t="str">
        <f t="shared" si="267"/>
        <v>Very High</v>
      </c>
      <c r="AN1327" t="str">
        <f t="shared" si="268"/>
        <v>No Options</v>
      </c>
      <c r="AO1327" t="str">
        <f t="shared" si="269"/>
        <v>Better</v>
      </c>
      <c r="AP1327" t="str">
        <f t="shared" si="270"/>
        <v>35-44</v>
      </c>
      <c r="AQ1327" t="str">
        <f t="shared" si="271"/>
        <v>Lower-Mid</v>
      </c>
      <c r="AR1327" t="str">
        <f t="shared" si="272"/>
        <v>0-2 Years</v>
      </c>
    </row>
    <row r="1328" spans="1:44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t="s">
        <v>46</v>
      </c>
      <c r="L1328">
        <v>82</v>
      </c>
      <c r="M1328">
        <v>2</v>
      </c>
      <c r="N1328">
        <v>2</v>
      </c>
      <c r="O1328" t="s">
        <v>40</v>
      </c>
      <c r="P1328">
        <v>2</v>
      </c>
      <c r="Q1328" t="s">
        <v>41</v>
      </c>
      <c r="R1328">
        <v>9907</v>
      </c>
      <c r="S1328">
        <v>7</v>
      </c>
      <c r="T1328" t="s">
        <v>35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  <c r="AF1328">
        <f t="shared" si="260"/>
        <v>1</v>
      </c>
      <c r="AG1328">
        <f t="shared" si="261"/>
        <v>1</v>
      </c>
      <c r="AH1328" t="str">
        <f t="shared" si="262"/>
        <v>Master</v>
      </c>
      <c r="AI1328" t="str">
        <f t="shared" si="263"/>
        <v>High</v>
      </c>
      <c r="AJ1328" t="str">
        <f t="shared" si="264"/>
        <v>Medium</v>
      </c>
      <c r="AK1328" t="str">
        <f t="shared" si="265"/>
        <v>Junior</v>
      </c>
      <c r="AL1328" t="str">
        <f t="shared" si="266"/>
        <v>Medium</v>
      </c>
      <c r="AM1328" t="str">
        <f t="shared" si="267"/>
        <v>High</v>
      </c>
      <c r="AN1328" t="str">
        <f t="shared" si="268"/>
        <v>No Options</v>
      </c>
      <c r="AO1328" t="str">
        <f t="shared" si="269"/>
        <v>Good</v>
      </c>
      <c r="AP1328" t="str">
        <f t="shared" si="270"/>
        <v>25-34</v>
      </c>
      <c r="AQ1328" t="str">
        <f t="shared" si="271"/>
        <v>Upper-Mid</v>
      </c>
      <c r="AR1328" t="str">
        <f t="shared" si="272"/>
        <v>0-2 Years</v>
      </c>
    </row>
    <row r="1329" spans="1:44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t="s">
        <v>39</v>
      </c>
      <c r="L1329">
        <v>45</v>
      </c>
      <c r="M1329">
        <v>4</v>
      </c>
      <c r="N1329">
        <v>4</v>
      </c>
      <c r="O1329" t="s">
        <v>40</v>
      </c>
      <c r="P1329">
        <v>1</v>
      </c>
      <c r="Q1329" t="s">
        <v>52</v>
      </c>
      <c r="R1329">
        <v>13225</v>
      </c>
      <c r="S1329">
        <v>2</v>
      </c>
      <c r="T1329" t="s">
        <v>43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  <c r="AF1329">
        <f t="shared" si="260"/>
        <v>0</v>
      </c>
      <c r="AG1329">
        <f t="shared" si="261"/>
        <v>0</v>
      </c>
      <c r="AH1329" t="str">
        <f t="shared" si="262"/>
        <v>Bachelor</v>
      </c>
      <c r="AI1329" t="str">
        <f t="shared" si="263"/>
        <v>Low</v>
      </c>
      <c r="AJ1329" t="str">
        <f t="shared" si="264"/>
        <v>Very High</v>
      </c>
      <c r="AK1329" t="str">
        <f t="shared" si="265"/>
        <v>Senior</v>
      </c>
      <c r="AL1329" t="str">
        <f t="shared" si="266"/>
        <v>Low</v>
      </c>
      <c r="AM1329" t="str">
        <f t="shared" si="267"/>
        <v>Very High</v>
      </c>
      <c r="AN1329" t="str">
        <f t="shared" si="268"/>
        <v>Low</v>
      </c>
      <c r="AO1329" t="str">
        <f t="shared" si="269"/>
        <v>Better</v>
      </c>
      <c r="AP1329" t="str">
        <f t="shared" si="270"/>
        <v>45-54</v>
      </c>
      <c r="AQ1329" t="str">
        <f t="shared" si="271"/>
        <v>High</v>
      </c>
      <c r="AR1329" t="str">
        <f t="shared" si="272"/>
        <v>11-20 Years</v>
      </c>
    </row>
    <row r="1330" spans="1:44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39</v>
      </c>
      <c r="L1330">
        <v>36</v>
      </c>
      <c r="M1330">
        <v>2</v>
      </c>
      <c r="N1330">
        <v>2</v>
      </c>
      <c r="O1330" t="s">
        <v>57</v>
      </c>
      <c r="P1330">
        <v>3</v>
      </c>
      <c r="Q1330" t="s">
        <v>48</v>
      </c>
      <c r="R1330">
        <v>3540</v>
      </c>
      <c r="S1330">
        <v>1</v>
      </c>
      <c r="T1330" t="s">
        <v>43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  <c r="AF1330">
        <f t="shared" si="260"/>
        <v>0</v>
      </c>
      <c r="AG1330">
        <f t="shared" si="261"/>
        <v>0</v>
      </c>
      <c r="AH1330" t="str">
        <f t="shared" si="262"/>
        <v>Below College</v>
      </c>
      <c r="AI1330" t="str">
        <f t="shared" si="263"/>
        <v>Medium</v>
      </c>
      <c r="AJ1330" t="str">
        <f t="shared" si="264"/>
        <v>Medium</v>
      </c>
      <c r="AK1330" t="str">
        <f t="shared" si="265"/>
        <v>Junior</v>
      </c>
      <c r="AL1330" t="str">
        <f t="shared" si="266"/>
        <v>High</v>
      </c>
      <c r="AM1330" t="str">
        <f t="shared" si="267"/>
        <v>Very High</v>
      </c>
      <c r="AN1330" t="str">
        <f t="shared" si="268"/>
        <v>Low</v>
      </c>
      <c r="AO1330" t="str">
        <f t="shared" si="269"/>
        <v>Better</v>
      </c>
      <c r="AP1330" t="str">
        <f t="shared" si="270"/>
        <v>25-34</v>
      </c>
      <c r="AQ1330" t="str">
        <f t="shared" si="271"/>
        <v>Lower-Mid</v>
      </c>
      <c r="AR1330" t="str">
        <f t="shared" si="272"/>
        <v>6-10 Years</v>
      </c>
    </row>
    <row r="1331" spans="1:44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46</v>
      </c>
      <c r="L1331">
        <v>87</v>
      </c>
      <c r="M1331">
        <v>2</v>
      </c>
      <c r="N1331">
        <v>1</v>
      </c>
      <c r="O1331" t="s">
        <v>61</v>
      </c>
      <c r="P1331">
        <v>2</v>
      </c>
      <c r="Q1331" t="s">
        <v>48</v>
      </c>
      <c r="R1331">
        <v>2804</v>
      </c>
      <c r="S1331">
        <v>1</v>
      </c>
      <c r="T1331" t="s">
        <v>43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  <c r="AF1331">
        <f t="shared" si="260"/>
        <v>0</v>
      </c>
      <c r="AG1331">
        <f t="shared" si="261"/>
        <v>0</v>
      </c>
      <c r="AH1331" t="str">
        <f t="shared" si="262"/>
        <v>Below College</v>
      </c>
      <c r="AI1331" t="str">
        <f t="shared" si="263"/>
        <v>Very High</v>
      </c>
      <c r="AJ1331" t="str">
        <f t="shared" si="264"/>
        <v>Medium</v>
      </c>
      <c r="AK1331" t="str">
        <f t="shared" si="265"/>
        <v>Entry</v>
      </c>
      <c r="AL1331" t="str">
        <f t="shared" si="266"/>
        <v>Medium</v>
      </c>
      <c r="AM1331" t="str">
        <f t="shared" si="267"/>
        <v>Very High</v>
      </c>
      <c r="AN1331" t="str">
        <f t="shared" si="268"/>
        <v>No Options</v>
      </c>
      <c r="AO1331" t="str">
        <f t="shared" si="269"/>
        <v>Better</v>
      </c>
      <c r="AP1331" t="str">
        <f t="shared" si="270"/>
        <v>25-34</v>
      </c>
      <c r="AQ1331" t="str">
        <f t="shared" si="271"/>
        <v>Low</v>
      </c>
      <c r="AR1331" t="str">
        <f t="shared" si="272"/>
        <v>0-2 Years</v>
      </c>
    </row>
    <row r="1332" spans="1:44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39</v>
      </c>
      <c r="L1332">
        <v>81</v>
      </c>
      <c r="M1332">
        <v>2</v>
      </c>
      <c r="N1332">
        <v>5</v>
      </c>
      <c r="O1332" t="s">
        <v>56</v>
      </c>
      <c r="P1332">
        <v>3</v>
      </c>
      <c r="Q1332" t="s">
        <v>48</v>
      </c>
      <c r="R1332">
        <v>19392</v>
      </c>
      <c r="S1332">
        <v>7</v>
      </c>
      <c r="T1332" t="s">
        <v>43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  <c r="AF1332">
        <f t="shared" si="260"/>
        <v>0</v>
      </c>
      <c r="AG1332">
        <f t="shared" si="261"/>
        <v>0</v>
      </c>
      <c r="AH1332" t="str">
        <f t="shared" si="262"/>
        <v>Bachelor</v>
      </c>
      <c r="AI1332" t="str">
        <f t="shared" si="263"/>
        <v>Low</v>
      </c>
      <c r="AJ1332" t="str">
        <f t="shared" si="264"/>
        <v>Medium</v>
      </c>
      <c r="AK1332" t="str">
        <f t="shared" si="265"/>
        <v>Executive</v>
      </c>
      <c r="AL1332" t="str">
        <f t="shared" si="266"/>
        <v>High</v>
      </c>
      <c r="AM1332" t="str">
        <f t="shared" si="267"/>
        <v>Very High</v>
      </c>
      <c r="AN1332" t="str">
        <f t="shared" si="268"/>
        <v>No Options</v>
      </c>
      <c r="AO1332" t="str">
        <f t="shared" si="269"/>
        <v>Better</v>
      </c>
      <c r="AP1332" t="str">
        <f t="shared" si="270"/>
        <v>35-44</v>
      </c>
      <c r="AQ1332" t="str">
        <f t="shared" si="271"/>
        <v>High</v>
      </c>
      <c r="AR1332" t="str">
        <f t="shared" si="272"/>
        <v>11-20 Years</v>
      </c>
    </row>
    <row r="1333" spans="1:44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46</v>
      </c>
      <c r="L1333">
        <v>91</v>
      </c>
      <c r="M1333">
        <v>2</v>
      </c>
      <c r="N1333">
        <v>5</v>
      </c>
      <c r="O1333" t="s">
        <v>58</v>
      </c>
      <c r="P1333">
        <v>2</v>
      </c>
      <c r="Q1333" t="s">
        <v>48</v>
      </c>
      <c r="R1333">
        <v>19665</v>
      </c>
      <c r="S1333">
        <v>4</v>
      </c>
      <c r="T1333" t="s">
        <v>43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  <c r="AF1333">
        <f t="shared" si="260"/>
        <v>0</v>
      </c>
      <c r="AG1333">
        <f t="shared" si="261"/>
        <v>0</v>
      </c>
      <c r="AH1333" t="str">
        <f t="shared" si="262"/>
        <v>Bachelor</v>
      </c>
      <c r="AI1333" t="str">
        <f t="shared" si="263"/>
        <v>Very High</v>
      </c>
      <c r="AJ1333" t="str">
        <f t="shared" si="264"/>
        <v>Medium</v>
      </c>
      <c r="AK1333" t="str">
        <f t="shared" si="265"/>
        <v>Executive</v>
      </c>
      <c r="AL1333" t="str">
        <f t="shared" si="266"/>
        <v>Medium</v>
      </c>
      <c r="AM1333" t="str">
        <f t="shared" si="267"/>
        <v>Very High</v>
      </c>
      <c r="AN1333" t="str">
        <f t="shared" si="268"/>
        <v>No Options</v>
      </c>
      <c r="AO1333" t="str">
        <f t="shared" si="269"/>
        <v>Better</v>
      </c>
      <c r="AP1333" t="str">
        <f t="shared" si="270"/>
        <v>45-54</v>
      </c>
      <c r="AQ1333" t="str">
        <f t="shared" si="271"/>
        <v>High</v>
      </c>
      <c r="AR1333" t="str">
        <f t="shared" si="272"/>
        <v>20+ Years</v>
      </c>
    </row>
    <row r="1334" spans="1:44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46</v>
      </c>
      <c r="L1334">
        <v>73</v>
      </c>
      <c r="M1334">
        <v>2</v>
      </c>
      <c r="N1334">
        <v>1</v>
      </c>
      <c r="O1334" t="s">
        <v>47</v>
      </c>
      <c r="P1334">
        <v>4</v>
      </c>
      <c r="Q1334" t="s">
        <v>41</v>
      </c>
      <c r="R1334">
        <v>2439</v>
      </c>
      <c r="S1334">
        <v>1</v>
      </c>
      <c r="T1334" t="s">
        <v>35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  <c r="AF1334">
        <f t="shared" si="260"/>
        <v>1</v>
      </c>
      <c r="AG1334">
        <f t="shared" si="261"/>
        <v>1</v>
      </c>
      <c r="AH1334" t="str">
        <f t="shared" si="262"/>
        <v>College</v>
      </c>
      <c r="AI1334" t="str">
        <f t="shared" si="263"/>
        <v>Very High</v>
      </c>
      <c r="AJ1334" t="str">
        <f t="shared" si="264"/>
        <v>Medium</v>
      </c>
      <c r="AK1334" t="str">
        <f t="shared" si="265"/>
        <v>Entry</v>
      </c>
      <c r="AL1334" t="str">
        <f t="shared" si="266"/>
        <v>Very High</v>
      </c>
      <c r="AM1334" t="str">
        <f t="shared" si="267"/>
        <v>Medium</v>
      </c>
      <c r="AN1334" t="str">
        <f t="shared" si="268"/>
        <v>No Options</v>
      </c>
      <c r="AO1334" t="str">
        <f t="shared" si="269"/>
        <v>Good</v>
      </c>
      <c r="AP1334" t="str">
        <f t="shared" si="270"/>
        <v>25-34</v>
      </c>
      <c r="AQ1334" t="str">
        <f t="shared" si="271"/>
        <v>Low</v>
      </c>
      <c r="AR1334" t="str">
        <f t="shared" si="272"/>
        <v>0-2 Years</v>
      </c>
    </row>
    <row r="1335" spans="1:44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64</v>
      </c>
      <c r="M1335">
        <v>3</v>
      </c>
      <c r="N1335">
        <v>3</v>
      </c>
      <c r="O1335" t="s">
        <v>40</v>
      </c>
      <c r="P1335">
        <v>2</v>
      </c>
      <c r="Q1335" t="s">
        <v>48</v>
      </c>
      <c r="R1335">
        <v>7314</v>
      </c>
      <c r="S1335">
        <v>5</v>
      </c>
      <c r="T1335" t="s">
        <v>43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  <c r="AF1335">
        <f t="shared" si="260"/>
        <v>1</v>
      </c>
      <c r="AG1335">
        <f t="shared" si="261"/>
        <v>0</v>
      </c>
      <c r="AH1335" t="str">
        <f t="shared" si="262"/>
        <v>Bachelor</v>
      </c>
      <c r="AI1335" t="str">
        <f t="shared" si="263"/>
        <v>High</v>
      </c>
      <c r="AJ1335" t="str">
        <f t="shared" si="264"/>
        <v>High</v>
      </c>
      <c r="AK1335" t="str">
        <f t="shared" si="265"/>
        <v>Mid-Level</v>
      </c>
      <c r="AL1335" t="str">
        <f t="shared" si="266"/>
        <v>Medium</v>
      </c>
      <c r="AM1335" t="str">
        <f t="shared" si="267"/>
        <v>High</v>
      </c>
      <c r="AN1335" t="str">
        <f t="shared" si="268"/>
        <v>High</v>
      </c>
      <c r="AO1335" t="str">
        <f t="shared" si="269"/>
        <v>Better</v>
      </c>
      <c r="AP1335" t="str">
        <f t="shared" si="270"/>
        <v>45-54</v>
      </c>
      <c r="AQ1335" t="str">
        <f t="shared" si="271"/>
        <v>Upper-Mid</v>
      </c>
      <c r="AR1335" t="str">
        <f t="shared" si="272"/>
        <v>6-10 Years</v>
      </c>
    </row>
    <row r="1336" spans="1:44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77</v>
      </c>
      <c r="M1336">
        <v>2</v>
      </c>
      <c r="N1336">
        <v>1</v>
      </c>
      <c r="O1336" t="s">
        <v>47</v>
      </c>
      <c r="P1336">
        <v>1</v>
      </c>
      <c r="Q1336" t="s">
        <v>48</v>
      </c>
      <c r="R1336">
        <v>4774</v>
      </c>
      <c r="S1336">
        <v>0</v>
      </c>
      <c r="T1336" t="s">
        <v>43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  <c r="AF1336">
        <f t="shared" si="260"/>
        <v>0</v>
      </c>
      <c r="AG1336">
        <f t="shared" si="261"/>
        <v>0</v>
      </c>
      <c r="AH1336" t="str">
        <f t="shared" si="262"/>
        <v>Bachelor</v>
      </c>
      <c r="AI1336" t="str">
        <f t="shared" si="263"/>
        <v>Very High</v>
      </c>
      <c r="AJ1336" t="str">
        <f t="shared" si="264"/>
        <v>Medium</v>
      </c>
      <c r="AK1336" t="str">
        <f t="shared" si="265"/>
        <v>Entry</v>
      </c>
      <c r="AL1336" t="str">
        <f t="shared" si="266"/>
        <v>Low</v>
      </c>
      <c r="AM1336" t="str">
        <f t="shared" si="267"/>
        <v>Very High</v>
      </c>
      <c r="AN1336" t="str">
        <f t="shared" si="268"/>
        <v>Low</v>
      </c>
      <c r="AO1336" t="str">
        <f t="shared" si="269"/>
        <v>Good</v>
      </c>
      <c r="AP1336" t="str">
        <f t="shared" si="270"/>
        <v>25-34</v>
      </c>
      <c r="AQ1336" t="str">
        <f t="shared" si="271"/>
        <v>Lower-Mid</v>
      </c>
      <c r="AR1336" t="str">
        <f t="shared" si="272"/>
        <v>6-10 Years</v>
      </c>
    </row>
    <row r="1337" spans="1:44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41</v>
      </c>
      <c r="M1337">
        <v>3</v>
      </c>
      <c r="N1337">
        <v>2</v>
      </c>
      <c r="O1337" t="s">
        <v>47</v>
      </c>
      <c r="P1337">
        <v>4</v>
      </c>
      <c r="Q1337" t="s">
        <v>52</v>
      </c>
      <c r="R1337">
        <v>3902</v>
      </c>
      <c r="S1337">
        <v>8</v>
      </c>
      <c r="T1337" t="s">
        <v>43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  <c r="AF1337">
        <f t="shared" si="260"/>
        <v>0</v>
      </c>
      <c r="AG1337">
        <f t="shared" si="261"/>
        <v>0</v>
      </c>
      <c r="AH1337" t="str">
        <f t="shared" si="262"/>
        <v>Master</v>
      </c>
      <c r="AI1337" t="str">
        <f t="shared" si="263"/>
        <v>Very High</v>
      </c>
      <c r="AJ1337" t="str">
        <f t="shared" si="264"/>
        <v>High</v>
      </c>
      <c r="AK1337" t="str">
        <f t="shared" si="265"/>
        <v>Junior</v>
      </c>
      <c r="AL1337" t="str">
        <f t="shared" si="266"/>
        <v>Very High</v>
      </c>
      <c r="AM1337" t="str">
        <f t="shared" si="267"/>
        <v>Medium</v>
      </c>
      <c r="AN1337" t="str">
        <f t="shared" si="268"/>
        <v>High</v>
      </c>
      <c r="AO1337" t="str">
        <f t="shared" si="269"/>
        <v>Better</v>
      </c>
      <c r="AP1337" t="str">
        <f t="shared" si="270"/>
        <v>35-44</v>
      </c>
      <c r="AQ1337" t="str">
        <f t="shared" si="271"/>
        <v>Lower-Mid</v>
      </c>
      <c r="AR1337" t="str">
        <f t="shared" si="272"/>
        <v>0-2 Years</v>
      </c>
    </row>
    <row r="1338" spans="1:44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t="s">
        <v>46</v>
      </c>
      <c r="L1338">
        <v>98</v>
      </c>
      <c r="M1338">
        <v>2</v>
      </c>
      <c r="N1338">
        <v>1</v>
      </c>
      <c r="O1338" t="s">
        <v>47</v>
      </c>
      <c r="P1338">
        <v>4</v>
      </c>
      <c r="Q1338" t="s">
        <v>48</v>
      </c>
      <c r="R1338">
        <v>2662</v>
      </c>
      <c r="S1338">
        <v>8</v>
      </c>
      <c r="T1338" t="s">
        <v>43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  <c r="AF1338">
        <f t="shared" si="260"/>
        <v>0</v>
      </c>
      <c r="AG1338">
        <f t="shared" si="261"/>
        <v>0</v>
      </c>
      <c r="AH1338" t="str">
        <f t="shared" si="262"/>
        <v>Master</v>
      </c>
      <c r="AI1338" t="str">
        <f t="shared" si="263"/>
        <v>Medium</v>
      </c>
      <c r="AJ1338" t="str">
        <f t="shared" si="264"/>
        <v>Medium</v>
      </c>
      <c r="AK1338" t="str">
        <f t="shared" si="265"/>
        <v>Entry</v>
      </c>
      <c r="AL1338" t="str">
        <f t="shared" si="266"/>
        <v>Very High</v>
      </c>
      <c r="AM1338" t="str">
        <f t="shared" si="267"/>
        <v>Medium</v>
      </c>
      <c r="AN1338" t="str">
        <f t="shared" si="268"/>
        <v>Low</v>
      </c>
      <c r="AO1338" t="str">
        <f t="shared" si="269"/>
        <v>Best</v>
      </c>
      <c r="AP1338" t="str">
        <f t="shared" si="270"/>
        <v>55+</v>
      </c>
      <c r="AQ1338" t="str">
        <f t="shared" si="271"/>
        <v>Low</v>
      </c>
      <c r="AR1338" t="str">
        <f t="shared" si="272"/>
        <v>3-5 Years</v>
      </c>
    </row>
    <row r="1339" spans="1:44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39</v>
      </c>
      <c r="L1339">
        <v>78</v>
      </c>
      <c r="M1339">
        <v>3</v>
      </c>
      <c r="N1339">
        <v>1</v>
      </c>
      <c r="O1339" t="s">
        <v>57</v>
      </c>
      <c r="P1339">
        <v>2</v>
      </c>
      <c r="Q1339" t="s">
        <v>48</v>
      </c>
      <c r="R1339">
        <v>2856</v>
      </c>
      <c r="S1339">
        <v>1</v>
      </c>
      <c r="T1339" t="s">
        <v>43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  <c r="AF1339">
        <f t="shared" si="260"/>
        <v>0</v>
      </c>
      <c r="AG1339">
        <f t="shared" si="261"/>
        <v>0</v>
      </c>
      <c r="AH1339" t="str">
        <f t="shared" si="262"/>
        <v>Bachelor</v>
      </c>
      <c r="AI1339" t="str">
        <f t="shared" si="263"/>
        <v>Medium</v>
      </c>
      <c r="AJ1339" t="str">
        <f t="shared" si="264"/>
        <v>High</v>
      </c>
      <c r="AK1339" t="str">
        <f t="shared" si="265"/>
        <v>Entry</v>
      </c>
      <c r="AL1339" t="str">
        <f t="shared" si="266"/>
        <v>Medium</v>
      </c>
      <c r="AM1339" t="str">
        <f t="shared" si="267"/>
        <v>Very High</v>
      </c>
      <c r="AN1339" t="str">
        <f t="shared" si="268"/>
        <v>Low</v>
      </c>
      <c r="AO1339" t="str">
        <f t="shared" si="269"/>
        <v>Better</v>
      </c>
      <c r="AP1339" t="str">
        <f t="shared" si="270"/>
        <v>25-34</v>
      </c>
      <c r="AQ1339" t="str">
        <f t="shared" si="271"/>
        <v>Low</v>
      </c>
      <c r="AR1339" t="str">
        <f t="shared" si="272"/>
        <v>0-2 Years</v>
      </c>
    </row>
    <row r="1340" spans="1:44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46</v>
      </c>
      <c r="L1340">
        <v>89</v>
      </c>
      <c r="M1340">
        <v>3</v>
      </c>
      <c r="N1340">
        <v>1</v>
      </c>
      <c r="O1340" t="s">
        <v>57</v>
      </c>
      <c r="P1340">
        <v>4</v>
      </c>
      <c r="Q1340" t="s">
        <v>41</v>
      </c>
      <c r="R1340">
        <v>1081</v>
      </c>
      <c r="S1340">
        <v>1</v>
      </c>
      <c r="T1340" t="s">
        <v>43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  <c r="AF1340">
        <f t="shared" si="260"/>
        <v>1</v>
      </c>
      <c r="AG1340">
        <f t="shared" si="261"/>
        <v>0</v>
      </c>
      <c r="AH1340" t="str">
        <f t="shared" si="262"/>
        <v>Bachelor</v>
      </c>
      <c r="AI1340" t="str">
        <f t="shared" si="263"/>
        <v>Medium</v>
      </c>
      <c r="AJ1340" t="str">
        <f t="shared" si="264"/>
        <v>High</v>
      </c>
      <c r="AK1340" t="str">
        <f t="shared" si="265"/>
        <v>Entry</v>
      </c>
      <c r="AL1340" t="str">
        <f t="shared" si="266"/>
        <v>Very High</v>
      </c>
      <c r="AM1340" t="str">
        <f t="shared" si="267"/>
        <v>High</v>
      </c>
      <c r="AN1340" t="str">
        <f t="shared" si="268"/>
        <v>No Options</v>
      </c>
      <c r="AO1340" t="str">
        <f t="shared" si="269"/>
        <v>Good</v>
      </c>
      <c r="AP1340" t="str">
        <f t="shared" si="270"/>
        <v>25-34</v>
      </c>
      <c r="AQ1340" t="str">
        <f t="shared" si="271"/>
        <v>Low</v>
      </c>
      <c r="AR1340" t="str">
        <f t="shared" si="272"/>
        <v>0-2 Years</v>
      </c>
    </row>
    <row r="1341" spans="1:44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46</v>
      </c>
      <c r="L1341">
        <v>75</v>
      </c>
      <c r="M1341">
        <v>3</v>
      </c>
      <c r="N1341">
        <v>1</v>
      </c>
      <c r="O1341" t="s">
        <v>47</v>
      </c>
      <c r="P1341">
        <v>2</v>
      </c>
      <c r="Q1341" t="s">
        <v>41</v>
      </c>
      <c r="R1341">
        <v>2472</v>
      </c>
      <c r="S1341">
        <v>1</v>
      </c>
      <c r="T1341" t="s">
        <v>35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  <c r="AF1341">
        <f t="shared" si="260"/>
        <v>1</v>
      </c>
      <c r="AG1341">
        <f t="shared" si="261"/>
        <v>1</v>
      </c>
      <c r="AH1341" t="str">
        <f t="shared" si="262"/>
        <v>Below College</v>
      </c>
      <c r="AI1341" t="str">
        <f t="shared" si="263"/>
        <v>Very High</v>
      </c>
      <c r="AJ1341" t="str">
        <f t="shared" si="264"/>
        <v>High</v>
      </c>
      <c r="AK1341" t="str">
        <f t="shared" si="265"/>
        <v>Entry</v>
      </c>
      <c r="AL1341" t="str">
        <f t="shared" si="266"/>
        <v>Medium</v>
      </c>
      <c r="AM1341" t="str">
        <f t="shared" si="267"/>
        <v>Low</v>
      </c>
      <c r="AN1341" t="str">
        <f t="shared" si="268"/>
        <v>No Options</v>
      </c>
      <c r="AO1341" t="str">
        <f t="shared" si="269"/>
        <v>Better</v>
      </c>
      <c r="AP1341" t="str">
        <f t="shared" si="270"/>
        <v>Under 25</v>
      </c>
      <c r="AQ1341" t="str">
        <f t="shared" si="271"/>
        <v>Low</v>
      </c>
      <c r="AR1341" t="str">
        <f t="shared" si="272"/>
        <v>0-2 Years</v>
      </c>
    </row>
    <row r="1342" spans="1:44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t="s">
        <v>39</v>
      </c>
      <c r="L1342">
        <v>63</v>
      </c>
      <c r="M1342">
        <v>2</v>
      </c>
      <c r="N1342">
        <v>2</v>
      </c>
      <c r="O1342" t="s">
        <v>40</v>
      </c>
      <c r="P1342">
        <v>3</v>
      </c>
      <c r="Q1342" t="s">
        <v>48</v>
      </c>
      <c r="R1342">
        <v>5673</v>
      </c>
      <c r="S1342">
        <v>1</v>
      </c>
      <c r="T1342" t="s">
        <v>35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  <c r="AF1342">
        <f t="shared" si="260"/>
        <v>0</v>
      </c>
      <c r="AG1342">
        <f t="shared" si="261"/>
        <v>1</v>
      </c>
      <c r="AH1342" t="str">
        <f t="shared" si="262"/>
        <v>Master</v>
      </c>
      <c r="AI1342" t="str">
        <f t="shared" si="263"/>
        <v>Medium</v>
      </c>
      <c r="AJ1342" t="str">
        <f t="shared" si="264"/>
        <v>Medium</v>
      </c>
      <c r="AK1342" t="str">
        <f t="shared" si="265"/>
        <v>Junior</v>
      </c>
      <c r="AL1342" t="str">
        <f t="shared" si="266"/>
        <v>High</v>
      </c>
      <c r="AM1342" t="str">
        <f t="shared" si="267"/>
        <v>Low</v>
      </c>
      <c r="AN1342" t="str">
        <f t="shared" si="268"/>
        <v>Low</v>
      </c>
      <c r="AO1342" t="str">
        <f t="shared" si="269"/>
        <v>Better</v>
      </c>
      <c r="AP1342" t="str">
        <f t="shared" si="270"/>
        <v>35-44</v>
      </c>
      <c r="AQ1342" t="str">
        <f t="shared" si="271"/>
        <v>Lower-Mid</v>
      </c>
      <c r="AR1342" t="str">
        <f t="shared" si="272"/>
        <v>6-10 Years</v>
      </c>
    </row>
    <row r="1343" spans="1:44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46</v>
      </c>
      <c r="L1343">
        <v>89</v>
      </c>
      <c r="M1343">
        <v>3</v>
      </c>
      <c r="N1343">
        <v>2</v>
      </c>
      <c r="O1343" t="s">
        <v>50</v>
      </c>
      <c r="P1343">
        <v>3</v>
      </c>
      <c r="Q1343" t="s">
        <v>52</v>
      </c>
      <c r="R1343">
        <v>4197</v>
      </c>
      <c r="S1343">
        <v>1</v>
      </c>
      <c r="T1343" t="s">
        <v>43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  <c r="AF1343">
        <f t="shared" si="260"/>
        <v>0</v>
      </c>
      <c r="AG1343">
        <f t="shared" si="261"/>
        <v>0</v>
      </c>
      <c r="AH1343" t="str">
        <f t="shared" si="262"/>
        <v>Bachelor</v>
      </c>
      <c r="AI1343" t="str">
        <f t="shared" si="263"/>
        <v>Medium</v>
      </c>
      <c r="AJ1343" t="str">
        <f t="shared" si="264"/>
        <v>High</v>
      </c>
      <c r="AK1343" t="str">
        <f t="shared" si="265"/>
        <v>Junior</v>
      </c>
      <c r="AL1343" t="str">
        <f t="shared" si="266"/>
        <v>High</v>
      </c>
      <c r="AM1343" t="str">
        <f t="shared" si="267"/>
        <v>Low</v>
      </c>
      <c r="AN1343" t="str">
        <f t="shared" si="268"/>
        <v>Low</v>
      </c>
      <c r="AO1343" t="str">
        <f t="shared" si="269"/>
        <v>Better</v>
      </c>
      <c r="AP1343" t="str">
        <f t="shared" si="270"/>
        <v>25-34</v>
      </c>
      <c r="AQ1343" t="str">
        <f t="shared" si="271"/>
        <v>Lower-Mid</v>
      </c>
      <c r="AR1343" t="str">
        <f t="shared" si="272"/>
        <v>6-10 Years</v>
      </c>
    </row>
    <row r="1344" spans="1:44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46</v>
      </c>
      <c r="L1344">
        <v>64</v>
      </c>
      <c r="M1344">
        <v>3</v>
      </c>
      <c r="N1344">
        <v>3</v>
      </c>
      <c r="O1344" t="s">
        <v>40</v>
      </c>
      <c r="P1344">
        <v>4</v>
      </c>
      <c r="Q1344" t="s">
        <v>48</v>
      </c>
      <c r="R1344">
        <v>9713</v>
      </c>
      <c r="S1344">
        <v>2</v>
      </c>
      <c r="T1344" t="s">
        <v>35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  <c r="AF1344">
        <f t="shared" si="260"/>
        <v>0</v>
      </c>
      <c r="AG1344">
        <f t="shared" si="261"/>
        <v>1</v>
      </c>
      <c r="AH1344" t="str">
        <f t="shared" si="262"/>
        <v>Bachelor</v>
      </c>
      <c r="AI1344" t="str">
        <f t="shared" si="263"/>
        <v>High</v>
      </c>
      <c r="AJ1344" t="str">
        <f t="shared" si="264"/>
        <v>High</v>
      </c>
      <c r="AK1344" t="str">
        <f t="shared" si="265"/>
        <v>Mid-Level</v>
      </c>
      <c r="AL1344" t="str">
        <f t="shared" si="266"/>
        <v>Very High</v>
      </c>
      <c r="AM1344" t="str">
        <f t="shared" si="267"/>
        <v>Very High</v>
      </c>
      <c r="AN1344" t="str">
        <f t="shared" si="268"/>
        <v>High</v>
      </c>
      <c r="AO1344" t="str">
        <f t="shared" si="269"/>
        <v>Better</v>
      </c>
      <c r="AP1344" t="str">
        <f t="shared" si="270"/>
        <v>25-34</v>
      </c>
      <c r="AQ1344" t="str">
        <f t="shared" si="271"/>
        <v>Upper-Mid</v>
      </c>
      <c r="AR1344" t="str">
        <f t="shared" si="272"/>
        <v>3-5 Years</v>
      </c>
    </row>
    <row r="1345" spans="1:44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46</v>
      </c>
      <c r="L1345">
        <v>59</v>
      </c>
      <c r="M1345">
        <v>3</v>
      </c>
      <c r="N1345">
        <v>1</v>
      </c>
      <c r="O1345" t="s">
        <v>50</v>
      </c>
      <c r="P1345">
        <v>1</v>
      </c>
      <c r="Q1345" t="s">
        <v>41</v>
      </c>
      <c r="R1345">
        <v>2062</v>
      </c>
      <c r="S1345">
        <v>3</v>
      </c>
      <c r="T1345" t="s">
        <v>43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  <c r="AF1345">
        <f t="shared" si="260"/>
        <v>0</v>
      </c>
      <c r="AG1345">
        <f t="shared" si="261"/>
        <v>0</v>
      </c>
      <c r="AH1345" t="str">
        <f t="shared" si="262"/>
        <v>Bachelor</v>
      </c>
      <c r="AI1345" t="str">
        <f t="shared" si="263"/>
        <v>Very High</v>
      </c>
      <c r="AJ1345" t="str">
        <f t="shared" si="264"/>
        <v>High</v>
      </c>
      <c r="AK1345" t="str">
        <f t="shared" si="265"/>
        <v>Entry</v>
      </c>
      <c r="AL1345" t="str">
        <f t="shared" si="266"/>
        <v>Low</v>
      </c>
      <c r="AM1345" t="str">
        <f t="shared" si="267"/>
        <v>Medium</v>
      </c>
      <c r="AN1345" t="str">
        <f t="shared" si="268"/>
        <v>No Options</v>
      </c>
      <c r="AO1345" t="str">
        <f t="shared" si="269"/>
        <v>Better</v>
      </c>
      <c r="AP1345" t="str">
        <f t="shared" si="270"/>
        <v>25-34</v>
      </c>
      <c r="AQ1345" t="str">
        <f t="shared" si="271"/>
        <v>Low</v>
      </c>
      <c r="AR1345" t="str">
        <f t="shared" si="272"/>
        <v>3-5 Years</v>
      </c>
    </row>
    <row r="1346" spans="1:44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46</v>
      </c>
      <c r="L1346">
        <v>78</v>
      </c>
      <c r="M1346">
        <v>3</v>
      </c>
      <c r="N1346">
        <v>2</v>
      </c>
      <c r="O1346" t="s">
        <v>47</v>
      </c>
      <c r="P1346">
        <v>1</v>
      </c>
      <c r="Q1346" t="s">
        <v>48</v>
      </c>
      <c r="R1346">
        <v>4284</v>
      </c>
      <c r="S1346">
        <v>5</v>
      </c>
      <c r="T1346" t="s">
        <v>35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  <c r="AF1346">
        <f t="shared" si="260"/>
        <v>0</v>
      </c>
      <c r="AG1346">
        <f t="shared" si="261"/>
        <v>1</v>
      </c>
      <c r="AH1346" t="str">
        <f t="shared" si="262"/>
        <v>Master</v>
      </c>
      <c r="AI1346" t="str">
        <f t="shared" si="263"/>
        <v>Very High</v>
      </c>
      <c r="AJ1346" t="str">
        <f t="shared" si="264"/>
        <v>High</v>
      </c>
      <c r="AK1346" t="str">
        <f t="shared" si="265"/>
        <v>Junior</v>
      </c>
      <c r="AL1346" t="str">
        <f t="shared" si="266"/>
        <v>Low</v>
      </c>
      <c r="AM1346" t="str">
        <f t="shared" si="267"/>
        <v>High</v>
      </c>
      <c r="AN1346" t="str">
        <f t="shared" si="268"/>
        <v>Low</v>
      </c>
      <c r="AO1346" t="str">
        <f t="shared" si="269"/>
        <v>Better</v>
      </c>
      <c r="AP1346" t="str">
        <f t="shared" si="270"/>
        <v>35-44</v>
      </c>
      <c r="AQ1346" t="str">
        <f t="shared" si="271"/>
        <v>Lower-Mid</v>
      </c>
      <c r="AR1346" t="str">
        <f t="shared" si="272"/>
        <v>3-5 Years</v>
      </c>
    </row>
    <row r="1347" spans="1:44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39</v>
      </c>
      <c r="L1347">
        <v>44</v>
      </c>
      <c r="M1347">
        <v>2</v>
      </c>
      <c r="N1347">
        <v>2</v>
      </c>
      <c r="O1347" t="s">
        <v>53</v>
      </c>
      <c r="P1347">
        <v>2</v>
      </c>
      <c r="Q1347" t="s">
        <v>48</v>
      </c>
      <c r="R1347">
        <v>4788</v>
      </c>
      <c r="S1347">
        <v>0</v>
      </c>
      <c r="T1347" t="s">
        <v>35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  <c r="AF1347">
        <f t="shared" ref="AF1347:AF1410" si="273">IF(B1347="Yes",1,0)</f>
        <v>0</v>
      </c>
      <c r="AG1347">
        <f t="shared" ref="AG1347:AG1410" si="274">IF(T1347="Yes",1,0)</f>
        <v>1</v>
      </c>
      <c r="AH1347" t="str">
        <f t="shared" ref="AH1347:AH1410" si="275">CHOOSE(G1347,"Below College","College","Bachelor","Master","Doctor")</f>
        <v>College</v>
      </c>
      <c r="AI1347" t="str">
        <f t="shared" ref="AI1347:AI1410" si="276">CHOOSE(J1347,"Low","Medium","High","Very High")</f>
        <v>Very High</v>
      </c>
      <c r="AJ1347" t="str">
        <f t="shared" ref="AJ1347:AJ1410" si="277">CHOOSE(M1347,"Low","Medium","High","Very High")</f>
        <v>Medium</v>
      </c>
      <c r="AK1347" t="str">
        <f t="shared" ref="AK1347:AK1410" si="278">CHOOSE(N1347,"Entry","Junior","Mid-Level","Senior","Executive")</f>
        <v>Junior</v>
      </c>
      <c r="AL1347" t="str">
        <f t="shared" ref="AL1347:AL1410" si="279">CHOOSE(P1347,"Low","Medium","High","Very High")</f>
        <v>Medium</v>
      </c>
      <c r="AM1347" t="str">
        <f t="shared" ref="AM1347:AM1410" si="280">CHOOSE(W1347,"Low","Medium","High","Very High")</f>
        <v>Very High</v>
      </c>
      <c r="AN1347" t="str">
        <f t="shared" ref="AN1347:AN1410" si="281">CHOOSE(X1347+1,"No Options","Low","Medium","High")</f>
        <v>No Options</v>
      </c>
      <c r="AO1347" t="str">
        <f t="shared" ref="AO1347:AO1410" si="282">CHOOSE(AA1347,"Bad","Good","Better","Best")</f>
        <v>Better</v>
      </c>
      <c r="AP1347" t="str">
        <f t="shared" ref="AP1347:AP1410" si="283">IF(A1347&lt;=24,"Under 25",IF(A1347&lt;=34,"25-34",IF(A1347&lt;=44,"35-44",IF(A1347&lt;=54,"45-54","55+"))))</f>
        <v>35-44</v>
      </c>
      <c r="AQ1347" t="str">
        <f t="shared" ref="AQ1347:AQ1410" si="284">IF(R1347&lt;3000,"Low",IF(R1347&lt;7000,"Lower-Mid",IF(R1347&lt;13000,"Upper-Mid","High")))</f>
        <v>Lower-Mid</v>
      </c>
      <c r="AR1347" t="str">
        <f t="shared" ref="AR1347:AR1410" si="285">IF(AB1347&lt;=2,"0-2 Years",IF(AB1347&lt;=5,"3-5 Years",IF(AB1347&lt;=10,"6-10 Years",IF(AB1347&lt;=20,"11-20 Years","20+ Years"))))</f>
        <v>3-5 Years</v>
      </c>
    </row>
    <row r="1348" spans="1:44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93</v>
      </c>
      <c r="M1348">
        <v>2</v>
      </c>
      <c r="N1348">
        <v>2</v>
      </c>
      <c r="O1348" t="s">
        <v>53</v>
      </c>
      <c r="P1348">
        <v>4</v>
      </c>
      <c r="Q1348" t="s">
        <v>48</v>
      </c>
      <c r="R1348">
        <v>5906</v>
      </c>
      <c r="S1348">
        <v>0</v>
      </c>
      <c r="T1348" t="s">
        <v>43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  <c r="AF1348">
        <f t="shared" si="273"/>
        <v>0</v>
      </c>
      <c r="AG1348">
        <f t="shared" si="274"/>
        <v>0</v>
      </c>
      <c r="AH1348" t="str">
        <f t="shared" si="275"/>
        <v>College</v>
      </c>
      <c r="AI1348" t="str">
        <f t="shared" si="276"/>
        <v>Medium</v>
      </c>
      <c r="AJ1348" t="str">
        <f t="shared" si="277"/>
        <v>Medium</v>
      </c>
      <c r="AK1348" t="str">
        <f t="shared" si="278"/>
        <v>Junior</v>
      </c>
      <c r="AL1348" t="str">
        <f t="shared" si="279"/>
        <v>Very High</v>
      </c>
      <c r="AM1348" t="str">
        <f t="shared" si="280"/>
        <v>Very High</v>
      </c>
      <c r="AN1348" t="str">
        <f t="shared" si="281"/>
        <v>Medium</v>
      </c>
      <c r="AO1348" t="str">
        <f t="shared" si="282"/>
        <v>Good</v>
      </c>
      <c r="AP1348" t="str">
        <f t="shared" si="283"/>
        <v>45-54</v>
      </c>
      <c r="AQ1348" t="str">
        <f t="shared" si="284"/>
        <v>Lower-Mid</v>
      </c>
      <c r="AR1348" t="str">
        <f t="shared" si="285"/>
        <v>6-10 Years</v>
      </c>
    </row>
    <row r="1349" spans="1:44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t="s">
        <v>46</v>
      </c>
      <c r="L1349">
        <v>94</v>
      </c>
      <c r="M1349">
        <v>2</v>
      </c>
      <c r="N1349">
        <v>2</v>
      </c>
      <c r="O1349" t="s">
        <v>61</v>
      </c>
      <c r="P1349">
        <v>4</v>
      </c>
      <c r="Q1349" t="s">
        <v>41</v>
      </c>
      <c r="R1349">
        <v>3886</v>
      </c>
      <c r="S1349">
        <v>1</v>
      </c>
      <c r="T1349" t="s">
        <v>43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  <c r="AF1349">
        <f t="shared" si="273"/>
        <v>0</v>
      </c>
      <c r="AG1349">
        <f t="shared" si="274"/>
        <v>0</v>
      </c>
      <c r="AH1349" t="str">
        <f t="shared" si="275"/>
        <v>Below College</v>
      </c>
      <c r="AI1349" t="str">
        <f t="shared" si="276"/>
        <v>Medium</v>
      </c>
      <c r="AJ1349" t="str">
        <f t="shared" si="277"/>
        <v>Medium</v>
      </c>
      <c r="AK1349" t="str">
        <f t="shared" si="278"/>
        <v>Junior</v>
      </c>
      <c r="AL1349" t="str">
        <f t="shared" si="279"/>
        <v>Very High</v>
      </c>
      <c r="AM1349" t="str">
        <f t="shared" si="280"/>
        <v>Very High</v>
      </c>
      <c r="AN1349" t="str">
        <f t="shared" si="281"/>
        <v>No Options</v>
      </c>
      <c r="AO1349" t="str">
        <f t="shared" si="282"/>
        <v>Good</v>
      </c>
      <c r="AP1349" t="str">
        <f t="shared" si="283"/>
        <v>35-44</v>
      </c>
      <c r="AQ1349" t="str">
        <f t="shared" si="284"/>
        <v>Lower-Mid</v>
      </c>
      <c r="AR1349" t="str">
        <f t="shared" si="285"/>
        <v>6-10 Years</v>
      </c>
    </row>
    <row r="1350" spans="1:44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46</v>
      </c>
      <c r="L1350">
        <v>98</v>
      </c>
      <c r="M1350">
        <v>3</v>
      </c>
      <c r="N1350">
        <v>4</v>
      </c>
      <c r="O1350" t="s">
        <v>56</v>
      </c>
      <c r="P1350">
        <v>1</v>
      </c>
      <c r="Q1350" t="s">
        <v>52</v>
      </c>
      <c r="R1350">
        <v>16823</v>
      </c>
      <c r="S1350">
        <v>2</v>
      </c>
      <c r="T1350" t="s">
        <v>43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  <c r="AF1350">
        <f t="shared" si="273"/>
        <v>0</v>
      </c>
      <c r="AG1350">
        <f t="shared" si="274"/>
        <v>0</v>
      </c>
      <c r="AH1350" t="str">
        <f t="shared" si="275"/>
        <v>Master</v>
      </c>
      <c r="AI1350" t="str">
        <f t="shared" si="276"/>
        <v>Low</v>
      </c>
      <c r="AJ1350" t="str">
        <f t="shared" si="277"/>
        <v>High</v>
      </c>
      <c r="AK1350" t="str">
        <f t="shared" si="278"/>
        <v>Senior</v>
      </c>
      <c r="AL1350" t="str">
        <f t="shared" si="279"/>
        <v>Low</v>
      </c>
      <c r="AM1350" t="str">
        <f t="shared" si="280"/>
        <v>Low</v>
      </c>
      <c r="AN1350" t="str">
        <f t="shared" si="281"/>
        <v>Low</v>
      </c>
      <c r="AO1350" t="str">
        <f t="shared" si="282"/>
        <v>Better</v>
      </c>
      <c r="AP1350" t="str">
        <f t="shared" si="283"/>
        <v>35-44</v>
      </c>
      <c r="AQ1350" t="str">
        <f t="shared" si="284"/>
        <v>High</v>
      </c>
      <c r="AR1350" t="str">
        <f t="shared" si="285"/>
        <v>11-20 Years</v>
      </c>
    </row>
    <row r="1351" spans="1:44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90</v>
      </c>
      <c r="M1351">
        <v>2</v>
      </c>
      <c r="N1351">
        <v>1</v>
      </c>
      <c r="O1351" t="s">
        <v>47</v>
      </c>
      <c r="P1351">
        <v>3</v>
      </c>
      <c r="Q1351" t="s">
        <v>48</v>
      </c>
      <c r="R1351">
        <v>2933</v>
      </c>
      <c r="S1351">
        <v>1</v>
      </c>
      <c r="T1351" t="s">
        <v>35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  <c r="AF1351">
        <f t="shared" si="273"/>
        <v>0</v>
      </c>
      <c r="AG1351">
        <f t="shared" si="274"/>
        <v>1</v>
      </c>
      <c r="AH1351" t="str">
        <f t="shared" si="275"/>
        <v>College</v>
      </c>
      <c r="AI1351" t="str">
        <f t="shared" si="276"/>
        <v>Medium</v>
      </c>
      <c r="AJ1351" t="str">
        <f t="shared" si="277"/>
        <v>Medium</v>
      </c>
      <c r="AK1351" t="str">
        <f t="shared" si="278"/>
        <v>Entry</v>
      </c>
      <c r="AL1351" t="str">
        <f t="shared" si="279"/>
        <v>High</v>
      </c>
      <c r="AM1351" t="str">
        <f t="shared" si="280"/>
        <v>High</v>
      </c>
      <c r="AN1351" t="str">
        <f t="shared" si="281"/>
        <v>Low</v>
      </c>
      <c r="AO1351" t="str">
        <f t="shared" si="282"/>
        <v>Good</v>
      </c>
      <c r="AP1351" t="str">
        <f t="shared" si="283"/>
        <v>25-34</v>
      </c>
      <c r="AQ1351" t="str">
        <f t="shared" si="284"/>
        <v>Low</v>
      </c>
      <c r="AR1351" t="str">
        <f t="shared" si="285"/>
        <v>0-2 Years</v>
      </c>
    </row>
    <row r="1352" spans="1:44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39</v>
      </c>
      <c r="L1352">
        <v>89</v>
      </c>
      <c r="M1352">
        <v>4</v>
      </c>
      <c r="N1352">
        <v>2</v>
      </c>
      <c r="O1352" t="s">
        <v>40</v>
      </c>
      <c r="P1352">
        <v>3</v>
      </c>
      <c r="Q1352" t="s">
        <v>41</v>
      </c>
      <c r="R1352">
        <v>6500</v>
      </c>
      <c r="S1352">
        <v>0</v>
      </c>
      <c r="T1352" t="s">
        <v>43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  <c r="AF1352">
        <f t="shared" si="273"/>
        <v>0</v>
      </c>
      <c r="AG1352">
        <f t="shared" si="274"/>
        <v>0</v>
      </c>
      <c r="AH1352" t="str">
        <f t="shared" si="275"/>
        <v>College</v>
      </c>
      <c r="AI1352" t="str">
        <f t="shared" si="276"/>
        <v>Low</v>
      </c>
      <c r="AJ1352" t="str">
        <f t="shared" si="277"/>
        <v>Very High</v>
      </c>
      <c r="AK1352" t="str">
        <f t="shared" si="278"/>
        <v>Junior</v>
      </c>
      <c r="AL1352" t="str">
        <f t="shared" si="279"/>
        <v>High</v>
      </c>
      <c r="AM1352" t="str">
        <f t="shared" si="280"/>
        <v>Medium</v>
      </c>
      <c r="AN1352" t="str">
        <f t="shared" si="281"/>
        <v>No Options</v>
      </c>
      <c r="AO1352" t="str">
        <f t="shared" si="282"/>
        <v>Good</v>
      </c>
      <c r="AP1352" t="str">
        <f t="shared" si="283"/>
        <v>25-34</v>
      </c>
      <c r="AQ1352" t="str">
        <f t="shared" si="284"/>
        <v>Lower-Mid</v>
      </c>
      <c r="AR1352" t="str">
        <f t="shared" si="285"/>
        <v>6-10 Years</v>
      </c>
    </row>
    <row r="1353" spans="1:44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39</v>
      </c>
      <c r="L1353">
        <v>58</v>
      </c>
      <c r="M1353">
        <v>3</v>
      </c>
      <c r="N1353">
        <v>4</v>
      </c>
      <c r="O1353" t="s">
        <v>56</v>
      </c>
      <c r="P1353">
        <v>4</v>
      </c>
      <c r="Q1353" t="s">
        <v>52</v>
      </c>
      <c r="R1353">
        <v>17174</v>
      </c>
      <c r="S1353">
        <v>3</v>
      </c>
      <c r="T1353" t="s">
        <v>43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  <c r="AF1353">
        <f t="shared" si="273"/>
        <v>0</v>
      </c>
      <c r="AG1353">
        <f t="shared" si="274"/>
        <v>0</v>
      </c>
      <c r="AH1353" t="str">
        <f t="shared" si="275"/>
        <v>Bachelor</v>
      </c>
      <c r="AI1353" t="str">
        <f t="shared" si="276"/>
        <v>Very High</v>
      </c>
      <c r="AJ1353" t="str">
        <f t="shared" si="277"/>
        <v>High</v>
      </c>
      <c r="AK1353" t="str">
        <f t="shared" si="278"/>
        <v>Senior</v>
      </c>
      <c r="AL1353" t="str">
        <f t="shared" si="279"/>
        <v>Very High</v>
      </c>
      <c r="AM1353" t="str">
        <f t="shared" si="280"/>
        <v>Medium</v>
      </c>
      <c r="AN1353" t="str">
        <f t="shared" si="281"/>
        <v>Low</v>
      </c>
      <c r="AO1353" t="str">
        <f t="shared" si="282"/>
        <v>Better</v>
      </c>
      <c r="AP1353" t="str">
        <f t="shared" si="283"/>
        <v>45-54</v>
      </c>
      <c r="AQ1353" t="str">
        <f t="shared" si="284"/>
        <v>High</v>
      </c>
      <c r="AR1353" t="str">
        <f t="shared" si="285"/>
        <v>20+ Years</v>
      </c>
    </row>
    <row r="1354" spans="1:44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46</v>
      </c>
      <c r="L1354">
        <v>78</v>
      </c>
      <c r="M1354">
        <v>4</v>
      </c>
      <c r="N1354">
        <v>2</v>
      </c>
      <c r="O1354" t="s">
        <v>54</v>
      </c>
      <c r="P1354">
        <v>1</v>
      </c>
      <c r="Q1354" t="s">
        <v>48</v>
      </c>
      <c r="R1354">
        <v>5033</v>
      </c>
      <c r="S1354">
        <v>2</v>
      </c>
      <c r="T1354" t="s">
        <v>43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  <c r="AF1354">
        <f t="shared" si="273"/>
        <v>0</v>
      </c>
      <c r="AG1354">
        <f t="shared" si="274"/>
        <v>0</v>
      </c>
      <c r="AH1354" t="str">
        <f t="shared" si="275"/>
        <v>Master</v>
      </c>
      <c r="AI1354" t="str">
        <f t="shared" si="276"/>
        <v>Medium</v>
      </c>
      <c r="AJ1354" t="str">
        <f t="shared" si="277"/>
        <v>Very High</v>
      </c>
      <c r="AK1354" t="str">
        <f t="shared" si="278"/>
        <v>Junior</v>
      </c>
      <c r="AL1354" t="str">
        <f t="shared" si="279"/>
        <v>Low</v>
      </c>
      <c r="AM1354" t="str">
        <f t="shared" si="280"/>
        <v>Very High</v>
      </c>
      <c r="AN1354" t="str">
        <f t="shared" si="281"/>
        <v>Low</v>
      </c>
      <c r="AO1354" t="str">
        <f t="shared" si="282"/>
        <v>Better</v>
      </c>
      <c r="AP1354" t="str">
        <f t="shared" si="283"/>
        <v>35-44</v>
      </c>
      <c r="AQ1354" t="str">
        <f t="shared" si="284"/>
        <v>Lower-Mid</v>
      </c>
      <c r="AR1354" t="str">
        <f t="shared" si="285"/>
        <v>0-2 Years</v>
      </c>
    </row>
    <row r="1355" spans="1:44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t="s">
        <v>46</v>
      </c>
      <c r="L1355">
        <v>85</v>
      </c>
      <c r="M1355">
        <v>1</v>
      </c>
      <c r="N1355">
        <v>1</v>
      </c>
      <c r="O1355" t="s">
        <v>47</v>
      </c>
      <c r="P1355">
        <v>1</v>
      </c>
      <c r="Q1355" t="s">
        <v>48</v>
      </c>
      <c r="R1355">
        <v>2307</v>
      </c>
      <c r="S1355">
        <v>1</v>
      </c>
      <c r="T1355" t="s">
        <v>35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  <c r="AF1355">
        <f t="shared" si="273"/>
        <v>1</v>
      </c>
      <c r="AG1355">
        <f t="shared" si="274"/>
        <v>1</v>
      </c>
      <c r="AH1355" t="str">
        <f t="shared" si="275"/>
        <v>Master</v>
      </c>
      <c r="AI1355" t="str">
        <f t="shared" si="276"/>
        <v>Very High</v>
      </c>
      <c r="AJ1355" t="str">
        <f t="shared" si="277"/>
        <v>Low</v>
      </c>
      <c r="AK1355" t="str">
        <f t="shared" si="278"/>
        <v>Entry</v>
      </c>
      <c r="AL1355" t="str">
        <f t="shared" si="279"/>
        <v>Low</v>
      </c>
      <c r="AM1355" t="str">
        <f t="shared" si="280"/>
        <v>Medium</v>
      </c>
      <c r="AN1355" t="str">
        <f t="shared" si="281"/>
        <v>Low</v>
      </c>
      <c r="AO1355" t="str">
        <f t="shared" si="282"/>
        <v>Better</v>
      </c>
      <c r="AP1355" t="str">
        <f t="shared" si="283"/>
        <v>25-34</v>
      </c>
      <c r="AQ1355" t="str">
        <f t="shared" si="284"/>
        <v>Low</v>
      </c>
      <c r="AR1355" t="str">
        <f t="shared" si="285"/>
        <v>3-5 Years</v>
      </c>
    </row>
    <row r="1356" spans="1:44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46</v>
      </c>
      <c r="L1356">
        <v>97</v>
      </c>
      <c r="M1356">
        <v>3</v>
      </c>
      <c r="N1356">
        <v>1</v>
      </c>
      <c r="O1356" t="s">
        <v>50</v>
      </c>
      <c r="P1356">
        <v>4</v>
      </c>
      <c r="Q1356" t="s">
        <v>41</v>
      </c>
      <c r="R1356">
        <v>2587</v>
      </c>
      <c r="S1356">
        <v>1</v>
      </c>
      <c r="T1356" t="s">
        <v>43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  <c r="AF1356">
        <f t="shared" si="273"/>
        <v>1</v>
      </c>
      <c r="AG1356">
        <f t="shared" si="274"/>
        <v>0</v>
      </c>
      <c r="AH1356" t="str">
        <f t="shared" si="275"/>
        <v>College</v>
      </c>
      <c r="AI1356" t="str">
        <f t="shared" si="276"/>
        <v>Low</v>
      </c>
      <c r="AJ1356" t="str">
        <f t="shared" si="277"/>
        <v>High</v>
      </c>
      <c r="AK1356" t="str">
        <f t="shared" si="278"/>
        <v>Entry</v>
      </c>
      <c r="AL1356" t="str">
        <f t="shared" si="279"/>
        <v>Very High</v>
      </c>
      <c r="AM1356" t="str">
        <f t="shared" si="280"/>
        <v>Very High</v>
      </c>
      <c r="AN1356" t="str">
        <f t="shared" si="281"/>
        <v>No Options</v>
      </c>
      <c r="AO1356" t="str">
        <f t="shared" si="282"/>
        <v>Better</v>
      </c>
      <c r="AP1356" t="str">
        <f t="shared" si="283"/>
        <v>55+</v>
      </c>
      <c r="AQ1356" t="str">
        <f t="shared" si="284"/>
        <v>Low</v>
      </c>
      <c r="AR1356" t="str">
        <f t="shared" si="285"/>
        <v>3-5 Years</v>
      </c>
    </row>
    <row r="1357" spans="1:44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t="s">
        <v>46</v>
      </c>
      <c r="L1357">
        <v>33</v>
      </c>
      <c r="M1357">
        <v>2</v>
      </c>
      <c r="N1357">
        <v>2</v>
      </c>
      <c r="O1357" t="s">
        <v>40</v>
      </c>
      <c r="P1357">
        <v>2</v>
      </c>
      <c r="Q1357" t="s">
        <v>48</v>
      </c>
      <c r="R1357">
        <v>5507</v>
      </c>
      <c r="S1357">
        <v>2</v>
      </c>
      <c r="T1357" t="s">
        <v>43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  <c r="AF1357">
        <f t="shared" si="273"/>
        <v>0</v>
      </c>
      <c r="AG1357">
        <f t="shared" si="274"/>
        <v>0</v>
      </c>
      <c r="AH1357" t="str">
        <f t="shared" si="275"/>
        <v>College</v>
      </c>
      <c r="AI1357" t="str">
        <f t="shared" si="276"/>
        <v>High</v>
      </c>
      <c r="AJ1357" t="str">
        <f t="shared" si="277"/>
        <v>Medium</v>
      </c>
      <c r="AK1357" t="str">
        <f t="shared" si="278"/>
        <v>Junior</v>
      </c>
      <c r="AL1357" t="str">
        <f t="shared" si="279"/>
        <v>Medium</v>
      </c>
      <c r="AM1357" t="str">
        <f t="shared" si="280"/>
        <v>High</v>
      </c>
      <c r="AN1357" t="str">
        <f t="shared" si="281"/>
        <v>Medium</v>
      </c>
      <c r="AO1357" t="str">
        <f t="shared" si="282"/>
        <v>Bad</v>
      </c>
      <c r="AP1357" t="str">
        <f t="shared" si="283"/>
        <v>35-44</v>
      </c>
      <c r="AQ1357" t="str">
        <f t="shared" si="284"/>
        <v>Lower-Mid</v>
      </c>
      <c r="AR1357" t="str">
        <f t="shared" si="285"/>
        <v>3-5 Years</v>
      </c>
    </row>
    <row r="1358" spans="1:44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t="s">
        <v>39</v>
      </c>
      <c r="L1358">
        <v>54</v>
      </c>
      <c r="M1358">
        <v>3</v>
      </c>
      <c r="N1358">
        <v>2</v>
      </c>
      <c r="O1358" t="s">
        <v>40</v>
      </c>
      <c r="P1358">
        <v>2</v>
      </c>
      <c r="Q1358" t="s">
        <v>48</v>
      </c>
      <c r="R1358">
        <v>4393</v>
      </c>
      <c r="S1358">
        <v>5</v>
      </c>
      <c r="T1358" t="s">
        <v>43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  <c r="AF1358">
        <f t="shared" si="273"/>
        <v>0</v>
      </c>
      <c r="AG1358">
        <f t="shared" si="274"/>
        <v>0</v>
      </c>
      <c r="AH1358" t="str">
        <f t="shared" si="275"/>
        <v>Bachelor</v>
      </c>
      <c r="AI1358" t="str">
        <f t="shared" si="276"/>
        <v>High</v>
      </c>
      <c r="AJ1358" t="str">
        <f t="shared" si="277"/>
        <v>High</v>
      </c>
      <c r="AK1358" t="str">
        <f t="shared" si="278"/>
        <v>Junior</v>
      </c>
      <c r="AL1358" t="str">
        <f t="shared" si="279"/>
        <v>Medium</v>
      </c>
      <c r="AM1358" t="str">
        <f t="shared" si="280"/>
        <v>High</v>
      </c>
      <c r="AN1358" t="str">
        <f t="shared" si="281"/>
        <v>Low</v>
      </c>
      <c r="AO1358" t="str">
        <f t="shared" si="282"/>
        <v>Better</v>
      </c>
      <c r="AP1358" t="str">
        <f t="shared" si="283"/>
        <v>35-44</v>
      </c>
      <c r="AQ1358" t="str">
        <f t="shared" si="284"/>
        <v>Lower-Mid</v>
      </c>
      <c r="AR1358" t="str">
        <f t="shared" si="285"/>
        <v>3-5 Years</v>
      </c>
    </row>
    <row r="1359" spans="1:44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46</v>
      </c>
      <c r="L1359">
        <v>83</v>
      </c>
      <c r="M1359">
        <v>3</v>
      </c>
      <c r="N1359">
        <v>3</v>
      </c>
      <c r="O1359" t="s">
        <v>58</v>
      </c>
      <c r="P1359">
        <v>1</v>
      </c>
      <c r="Q1359" t="s">
        <v>48</v>
      </c>
      <c r="R1359">
        <v>13348</v>
      </c>
      <c r="S1359">
        <v>9</v>
      </c>
      <c r="T1359" t="s">
        <v>43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  <c r="AF1359">
        <f t="shared" si="273"/>
        <v>0</v>
      </c>
      <c r="AG1359">
        <f t="shared" si="274"/>
        <v>0</v>
      </c>
      <c r="AH1359" t="str">
        <f t="shared" si="275"/>
        <v>Bachelor</v>
      </c>
      <c r="AI1359" t="str">
        <f t="shared" si="276"/>
        <v>High</v>
      </c>
      <c r="AJ1359" t="str">
        <f t="shared" si="277"/>
        <v>High</v>
      </c>
      <c r="AK1359" t="str">
        <f t="shared" si="278"/>
        <v>Mid-Level</v>
      </c>
      <c r="AL1359" t="str">
        <f t="shared" si="279"/>
        <v>Low</v>
      </c>
      <c r="AM1359" t="str">
        <f t="shared" si="280"/>
        <v>Medium</v>
      </c>
      <c r="AN1359" t="str">
        <f t="shared" si="281"/>
        <v>Low</v>
      </c>
      <c r="AO1359" t="str">
        <f t="shared" si="282"/>
        <v>Best</v>
      </c>
      <c r="AP1359" t="str">
        <f t="shared" si="283"/>
        <v>35-44</v>
      </c>
      <c r="AQ1359" t="str">
        <f t="shared" si="284"/>
        <v>High</v>
      </c>
      <c r="AR1359" t="str">
        <f t="shared" si="285"/>
        <v>11-20 Years</v>
      </c>
    </row>
    <row r="1360" spans="1:44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39</v>
      </c>
      <c r="L1360">
        <v>86</v>
      </c>
      <c r="M1360">
        <v>3</v>
      </c>
      <c r="N1360">
        <v>2</v>
      </c>
      <c r="O1360" t="s">
        <v>40</v>
      </c>
      <c r="P1360">
        <v>4</v>
      </c>
      <c r="Q1360" t="s">
        <v>52</v>
      </c>
      <c r="R1360">
        <v>6583</v>
      </c>
      <c r="S1360">
        <v>2</v>
      </c>
      <c r="T1360" t="s">
        <v>35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  <c r="AF1360">
        <f t="shared" si="273"/>
        <v>0</v>
      </c>
      <c r="AG1360">
        <f t="shared" si="274"/>
        <v>1</v>
      </c>
      <c r="AH1360" t="str">
        <f t="shared" si="275"/>
        <v>College</v>
      </c>
      <c r="AI1360" t="str">
        <f t="shared" si="276"/>
        <v>High</v>
      </c>
      <c r="AJ1360" t="str">
        <f t="shared" si="277"/>
        <v>High</v>
      </c>
      <c r="AK1360" t="str">
        <f t="shared" si="278"/>
        <v>Junior</v>
      </c>
      <c r="AL1360" t="str">
        <f t="shared" si="279"/>
        <v>Very High</v>
      </c>
      <c r="AM1360" t="str">
        <f t="shared" si="280"/>
        <v>Very High</v>
      </c>
      <c r="AN1360" t="str">
        <f t="shared" si="281"/>
        <v>Low</v>
      </c>
      <c r="AO1360" t="str">
        <f t="shared" si="282"/>
        <v>Better</v>
      </c>
      <c r="AP1360" t="str">
        <f t="shared" si="283"/>
        <v>25-34</v>
      </c>
      <c r="AQ1360" t="str">
        <f t="shared" si="284"/>
        <v>Lower-Mid</v>
      </c>
      <c r="AR1360" t="str">
        <f t="shared" si="285"/>
        <v>3-5 Years</v>
      </c>
    </row>
    <row r="1361" spans="1:44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39</v>
      </c>
      <c r="L1361">
        <v>75</v>
      </c>
      <c r="M1361">
        <v>2</v>
      </c>
      <c r="N1361">
        <v>2</v>
      </c>
      <c r="O1361" t="s">
        <v>40</v>
      </c>
      <c r="P1361">
        <v>4</v>
      </c>
      <c r="Q1361" t="s">
        <v>48</v>
      </c>
      <c r="R1361">
        <v>8103</v>
      </c>
      <c r="S1361">
        <v>3</v>
      </c>
      <c r="T1361" t="s">
        <v>35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  <c r="AF1361">
        <f t="shared" si="273"/>
        <v>0</v>
      </c>
      <c r="AG1361">
        <f t="shared" si="274"/>
        <v>1</v>
      </c>
      <c r="AH1361" t="str">
        <f t="shared" si="275"/>
        <v>Below College</v>
      </c>
      <c r="AI1361" t="str">
        <f t="shared" si="276"/>
        <v>Very High</v>
      </c>
      <c r="AJ1361" t="str">
        <f t="shared" si="277"/>
        <v>Medium</v>
      </c>
      <c r="AK1361" t="str">
        <f t="shared" si="278"/>
        <v>Junior</v>
      </c>
      <c r="AL1361" t="str">
        <f t="shared" si="279"/>
        <v>Very High</v>
      </c>
      <c r="AM1361" t="str">
        <f t="shared" si="280"/>
        <v>High</v>
      </c>
      <c r="AN1361" t="str">
        <f t="shared" si="281"/>
        <v>No Options</v>
      </c>
      <c r="AO1361" t="str">
        <f t="shared" si="282"/>
        <v>Good</v>
      </c>
      <c r="AP1361" t="str">
        <f t="shared" si="283"/>
        <v>25-34</v>
      </c>
      <c r="AQ1361" t="str">
        <f t="shared" si="284"/>
        <v>Upper-Mid</v>
      </c>
      <c r="AR1361" t="str">
        <f t="shared" si="285"/>
        <v>3-5 Years</v>
      </c>
    </row>
    <row r="1362" spans="1:44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39</v>
      </c>
      <c r="L1362">
        <v>62</v>
      </c>
      <c r="M1362">
        <v>4</v>
      </c>
      <c r="N1362">
        <v>1</v>
      </c>
      <c r="O1362" t="s">
        <v>50</v>
      </c>
      <c r="P1362">
        <v>3</v>
      </c>
      <c r="Q1362" t="s">
        <v>52</v>
      </c>
      <c r="R1362">
        <v>3978</v>
      </c>
      <c r="S1362">
        <v>8</v>
      </c>
      <c r="T1362" t="s">
        <v>43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  <c r="AF1362">
        <f t="shared" si="273"/>
        <v>0</v>
      </c>
      <c r="AG1362">
        <f t="shared" si="274"/>
        <v>0</v>
      </c>
      <c r="AH1362" t="str">
        <f t="shared" si="275"/>
        <v>Bachelor</v>
      </c>
      <c r="AI1362" t="str">
        <f t="shared" si="276"/>
        <v>Low</v>
      </c>
      <c r="AJ1362" t="str">
        <f t="shared" si="277"/>
        <v>Very High</v>
      </c>
      <c r="AK1362" t="str">
        <f t="shared" si="278"/>
        <v>Entry</v>
      </c>
      <c r="AL1362" t="str">
        <f t="shared" si="279"/>
        <v>High</v>
      </c>
      <c r="AM1362" t="str">
        <f t="shared" si="280"/>
        <v>Medium</v>
      </c>
      <c r="AN1362" t="str">
        <f t="shared" si="281"/>
        <v>Low</v>
      </c>
      <c r="AO1362" t="str">
        <f t="shared" si="282"/>
        <v>Good</v>
      </c>
      <c r="AP1362" t="str">
        <f t="shared" si="283"/>
        <v>25-34</v>
      </c>
      <c r="AQ1362" t="str">
        <f t="shared" si="284"/>
        <v>Lower-Mid</v>
      </c>
      <c r="AR1362" t="str">
        <f t="shared" si="285"/>
        <v>0-2 Years</v>
      </c>
    </row>
    <row r="1363" spans="1:44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61</v>
      </c>
      <c r="M1363">
        <v>4</v>
      </c>
      <c r="N1363">
        <v>1</v>
      </c>
      <c r="O1363" t="s">
        <v>50</v>
      </c>
      <c r="P1363">
        <v>4</v>
      </c>
      <c r="Q1363" t="s">
        <v>48</v>
      </c>
      <c r="R1363">
        <v>2544</v>
      </c>
      <c r="S1363">
        <v>0</v>
      </c>
      <c r="T1363" t="s">
        <v>43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  <c r="AF1363">
        <f t="shared" si="273"/>
        <v>0</v>
      </c>
      <c r="AG1363">
        <f t="shared" si="274"/>
        <v>0</v>
      </c>
      <c r="AH1363" t="str">
        <f t="shared" si="275"/>
        <v>Bachelor</v>
      </c>
      <c r="AI1363" t="str">
        <f t="shared" si="276"/>
        <v>High</v>
      </c>
      <c r="AJ1363" t="str">
        <f t="shared" si="277"/>
        <v>Very High</v>
      </c>
      <c r="AK1363" t="str">
        <f t="shared" si="278"/>
        <v>Entry</v>
      </c>
      <c r="AL1363" t="str">
        <f t="shared" si="279"/>
        <v>Very High</v>
      </c>
      <c r="AM1363" t="str">
        <f t="shared" si="280"/>
        <v>Low</v>
      </c>
      <c r="AN1363" t="str">
        <f t="shared" si="281"/>
        <v>Low</v>
      </c>
      <c r="AO1363" t="str">
        <f t="shared" si="282"/>
        <v>Better</v>
      </c>
      <c r="AP1363" t="str">
        <f t="shared" si="283"/>
        <v>25-34</v>
      </c>
      <c r="AQ1363" t="str">
        <f t="shared" si="284"/>
        <v>Low</v>
      </c>
      <c r="AR1363" t="str">
        <f t="shared" si="285"/>
        <v>6-10 Years</v>
      </c>
    </row>
    <row r="1364" spans="1:44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46</v>
      </c>
      <c r="L1364">
        <v>44</v>
      </c>
      <c r="M1364">
        <v>3</v>
      </c>
      <c r="N1364">
        <v>2</v>
      </c>
      <c r="O1364" t="s">
        <v>54</v>
      </c>
      <c r="P1364">
        <v>3</v>
      </c>
      <c r="Q1364" t="s">
        <v>41</v>
      </c>
      <c r="R1364">
        <v>5399</v>
      </c>
      <c r="S1364">
        <v>4</v>
      </c>
      <c r="T1364" t="s">
        <v>43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  <c r="AF1364">
        <f t="shared" si="273"/>
        <v>0</v>
      </c>
      <c r="AG1364">
        <f t="shared" si="274"/>
        <v>0</v>
      </c>
      <c r="AH1364" t="str">
        <f t="shared" si="275"/>
        <v>Master</v>
      </c>
      <c r="AI1364" t="str">
        <f t="shared" si="276"/>
        <v>Medium</v>
      </c>
      <c r="AJ1364" t="str">
        <f t="shared" si="277"/>
        <v>High</v>
      </c>
      <c r="AK1364" t="str">
        <f t="shared" si="278"/>
        <v>Junior</v>
      </c>
      <c r="AL1364" t="str">
        <f t="shared" si="279"/>
        <v>High</v>
      </c>
      <c r="AM1364" t="str">
        <f t="shared" si="280"/>
        <v>High</v>
      </c>
      <c r="AN1364" t="str">
        <f t="shared" si="281"/>
        <v>No Options</v>
      </c>
      <c r="AO1364" t="str">
        <f t="shared" si="282"/>
        <v>Better</v>
      </c>
      <c r="AP1364" t="str">
        <f t="shared" si="283"/>
        <v>45-54</v>
      </c>
      <c r="AQ1364" t="str">
        <f t="shared" si="284"/>
        <v>Lower-Mid</v>
      </c>
      <c r="AR1364" t="str">
        <f t="shared" si="285"/>
        <v>3-5 Years</v>
      </c>
    </row>
    <row r="1365" spans="1:44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t="s">
        <v>46</v>
      </c>
      <c r="L1365">
        <v>43</v>
      </c>
      <c r="M1365">
        <v>3</v>
      </c>
      <c r="N1365">
        <v>2</v>
      </c>
      <c r="O1365" t="s">
        <v>40</v>
      </c>
      <c r="P1365">
        <v>3</v>
      </c>
      <c r="Q1365" t="s">
        <v>41</v>
      </c>
      <c r="R1365">
        <v>5487</v>
      </c>
      <c r="S1365">
        <v>1</v>
      </c>
      <c r="T1365" t="s">
        <v>43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  <c r="AF1365">
        <f t="shared" si="273"/>
        <v>0</v>
      </c>
      <c r="AG1365">
        <f t="shared" si="274"/>
        <v>0</v>
      </c>
      <c r="AH1365" t="str">
        <f t="shared" si="275"/>
        <v>Master</v>
      </c>
      <c r="AI1365" t="str">
        <f t="shared" si="276"/>
        <v>Medium</v>
      </c>
      <c r="AJ1365" t="str">
        <f t="shared" si="277"/>
        <v>High</v>
      </c>
      <c r="AK1365" t="str">
        <f t="shared" si="278"/>
        <v>Junior</v>
      </c>
      <c r="AL1365" t="str">
        <f t="shared" si="279"/>
        <v>High</v>
      </c>
      <c r="AM1365" t="str">
        <f t="shared" si="280"/>
        <v>Medium</v>
      </c>
      <c r="AN1365" t="str">
        <f t="shared" si="281"/>
        <v>No Options</v>
      </c>
      <c r="AO1365" t="str">
        <f t="shared" si="282"/>
        <v>Good</v>
      </c>
      <c r="AP1365" t="str">
        <f t="shared" si="283"/>
        <v>25-34</v>
      </c>
      <c r="AQ1365" t="str">
        <f t="shared" si="284"/>
        <v>Lower-Mid</v>
      </c>
      <c r="AR1365" t="str">
        <f t="shared" si="285"/>
        <v>6-10 Years</v>
      </c>
    </row>
    <row r="1366" spans="1:44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46</v>
      </c>
      <c r="L1366">
        <v>42</v>
      </c>
      <c r="M1366">
        <v>2</v>
      </c>
      <c r="N1366">
        <v>2</v>
      </c>
      <c r="O1366" t="s">
        <v>40</v>
      </c>
      <c r="P1366">
        <v>4</v>
      </c>
      <c r="Q1366" t="s">
        <v>48</v>
      </c>
      <c r="R1366">
        <v>6834</v>
      </c>
      <c r="S1366">
        <v>1</v>
      </c>
      <c r="T1366" t="s">
        <v>35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  <c r="AF1366">
        <f t="shared" si="273"/>
        <v>0</v>
      </c>
      <c r="AG1366">
        <f t="shared" si="274"/>
        <v>1</v>
      </c>
      <c r="AH1366" t="str">
        <f t="shared" si="275"/>
        <v>College</v>
      </c>
      <c r="AI1366" t="str">
        <f t="shared" si="276"/>
        <v>High</v>
      </c>
      <c r="AJ1366" t="str">
        <f t="shared" si="277"/>
        <v>Medium</v>
      </c>
      <c r="AK1366" t="str">
        <f t="shared" si="278"/>
        <v>Junior</v>
      </c>
      <c r="AL1366" t="str">
        <f t="shared" si="279"/>
        <v>Very High</v>
      </c>
      <c r="AM1366" t="str">
        <f t="shared" si="280"/>
        <v>High</v>
      </c>
      <c r="AN1366" t="str">
        <f t="shared" si="281"/>
        <v>Low</v>
      </c>
      <c r="AO1366" t="str">
        <f t="shared" si="282"/>
        <v>Better</v>
      </c>
      <c r="AP1366" t="str">
        <f t="shared" si="283"/>
        <v>25-34</v>
      </c>
      <c r="AQ1366" t="str">
        <f t="shared" si="284"/>
        <v>Lower-Mid</v>
      </c>
      <c r="AR1366" t="str">
        <f t="shared" si="285"/>
        <v>6-10 Years</v>
      </c>
    </row>
    <row r="1367" spans="1:44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t="s">
        <v>46</v>
      </c>
      <c r="L1367">
        <v>45</v>
      </c>
      <c r="M1367">
        <v>4</v>
      </c>
      <c r="N1367">
        <v>1</v>
      </c>
      <c r="O1367" t="s">
        <v>57</v>
      </c>
      <c r="P1367">
        <v>1</v>
      </c>
      <c r="Q1367" t="s">
        <v>41</v>
      </c>
      <c r="R1367">
        <v>1091</v>
      </c>
      <c r="S1367">
        <v>1</v>
      </c>
      <c r="T1367" t="s">
        <v>43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  <c r="AF1367">
        <f t="shared" si="273"/>
        <v>1</v>
      </c>
      <c r="AG1367">
        <f t="shared" si="274"/>
        <v>0</v>
      </c>
      <c r="AH1367" t="str">
        <f t="shared" si="275"/>
        <v>Bachelor</v>
      </c>
      <c r="AI1367" t="str">
        <f t="shared" si="276"/>
        <v>High</v>
      </c>
      <c r="AJ1367" t="str">
        <f t="shared" si="277"/>
        <v>Very High</v>
      </c>
      <c r="AK1367" t="str">
        <f t="shared" si="278"/>
        <v>Entry</v>
      </c>
      <c r="AL1367" t="str">
        <f t="shared" si="279"/>
        <v>Low</v>
      </c>
      <c r="AM1367" t="str">
        <f t="shared" si="280"/>
        <v>Very High</v>
      </c>
      <c r="AN1367" t="str">
        <f t="shared" si="281"/>
        <v>No Options</v>
      </c>
      <c r="AO1367" t="str">
        <f t="shared" si="282"/>
        <v>Better</v>
      </c>
      <c r="AP1367" t="str">
        <f t="shared" si="283"/>
        <v>25-34</v>
      </c>
      <c r="AQ1367" t="str">
        <f t="shared" si="284"/>
        <v>Low</v>
      </c>
      <c r="AR1367" t="str">
        <f t="shared" si="285"/>
        <v>0-2 Years</v>
      </c>
    </row>
    <row r="1368" spans="1:44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32</v>
      </c>
      <c r="M1368">
        <v>1</v>
      </c>
      <c r="N1368">
        <v>2</v>
      </c>
      <c r="O1368" t="s">
        <v>40</v>
      </c>
      <c r="P1368">
        <v>3</v>
      </c>
      <c r="Q1368" t="s">
        <v>48</v>
      </c>
      <c r="R1368">
        <v>5736</v>
      </c>
      <c r="S1368">
        <v>6</v>
      </c>
      <c r="T1368" t="s">
        <v>43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  <c r="AF1368">
        <f t="shared" si="273"/>
        <v>0</v>
      </c>
      <c r="AG1368">
        <f t="shared" si="274"/>
        <v>0</v>
      </c>
      <c r="AH1368" t="str">
        <f t="shared" si="275"/>
        <v>Master</v>
      </c>
      <c r="AI1368" t="str">
        <f t="shared" si="276"/>
        <v>Low</v>
      </c>
      <c r="AJ1368" t="str">
        <f t="shared" si="277"/>
        <v>Low</v>
      </c>
      <c r="AK1368" t="str">
        <f t="shared" si="278"/>
        <v>Junior</v>
      </c>
      <c r="AL1368" t="str">
        <f t="shared" si="279"/>
        <v>High</v>
      </c>
      <c r="AM1368" t="str">
        <f t="shared" si="280"/>
        <v>High</v>
      </c>
      <c r="AN1368" t="str">
        <f t="shared" si="281"/>
        <v>Low</v>
      </c>
      <c r="AO1368" t="str">
        <f t="shared" si="282"/>
        <v>Better</v>
      </c>
      <c r="AP1368" t="str">
        <f t="shared" si="283"/>
        <v>35-44</v>
      </c>
      <c r="AQ1368" t="str">
        <f t="shared" si="284"/>
        <v>Lower-Mid</v>
      </c>
      <c r="AR1368" t="str">
        <f t="shared" si="285"/>
        <v>3-5 Years</v>
      </c>
    </row>
    <row r="1369" spans="1:44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t="s">
        <v>46</v>
      </c>
      <c r="L1369">
        <v>41</v>
      </c>
      <c r="M1369">
        <v>3</v>
      </c>
      <c r="N1369">
        <v>1</v>
      </c>
      <c r="O1369" t="s">
        <v>47</v>
      </c>
      <c r="P1369">
        <v>2</v>
      </c>
      <c r="Q1369" t="s">
        <v>48</v>
      </c>
      <c r="R1369">
        <v>2226</v>
      </c>
      <c r="S1369">
        <v>1</v>
      </c>
      <c r="T1369" t="s">
        <v>43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  <c r="AF1369">
        <f t="shared" si="273"/>
        <v>0</v>
      </c>
      <c r="AG1369">
        <f t="shared" si="274"/>
        <v>0</v>
      </c>
      <c r="AH1369" t="str">
        <f t="shared" si="275"/>
        <v>Master</v>
      </c>
      <c r="AI1369" t="str">
        <f t="shared" si="276"/>
        <v>Medium</v>
      </c>
      <c r="AJ1369" t="str">
        <f t="shared" si="277"/>
        <v>High</v>
      </c>
      <c r="AK1369" t="str">
        <f t="shared" si="278"/>
        <v>Entry</v>
      </c>
      <c r="AL1369" t="str">
        <f t="shared" si="279"/>
        <v>Medium</v>
      </c>
      <c r="AM1369" t="str">
        <f t="shared" si="280"/>
        <v>High</v>
      </c>
      <c r="AN1369" t="str">
        <f t="shared" si="281"/>
        <v>Low</v>
      </c>
      <c r="AO1369" t="str">
        <f t="shared" si="282"/>
        <v>Good</v>
      </c>
      <c r="AP1369" t="str">
        <f t="shared" si="283"/>
        <v>25-34</v>
      </c>
      <c r="AQ1369" t="str">
        <f t="shared" si="284"/>
        <v>Low</v>
      </c>
      <c r="AR1369" t="str">
        <f t="shared" si="285"/>
        <v>3-5 Years</v>
      </c>
    </row>
    <row r="1370" spans="1:44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86</v>
      </c>
      <c r="M1370">
        <v>2</v>
      </c>
      <c r="N1370">
        <v>2</v>
      </c>
      <c r="O1370" t="s">
        <v>47</v>
      </c>
      <c r="P1370">
        <v>4</v>
      </c>
      <c r="Q1370" t="s">
        <v>48</v>
      </c>
      <c r="R1370">
        <v>5747</v>
      </c>
      <c r="S1370">
        <v>1</v>
      </c>
      <c r="T1370" t="s">
        <v>35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  <c r="AF1370">
        <f t="shared" si="273"/>
        <v>0</v>
      </c>
      <c r="AG1370">
        <f t="shared" si="274"/>
        <v>1</v>
      </c>
      <c r="AH1370" t="str">
        <f t="shared" si="275"/>
        <v>Master</v>
      </c>
      <c r="AI1370" t="str">
        <f t="shared" si="276"/>
        <v>High</v>
      </c>
      <c r="AJ1370" t="str">
        <f t="shared" si="277"/>
        <v>Medium</v>
      </c>
      <c r="AK1370" t="str">
        <f t="shared" si="278"/>
        <v>Junior</v>
      </c>
      <c r="AL1370" t="str">
        <f t="shared" si="279"/>
        <v>Very High</v>
      </c>
      <c r="AM1370" t="str">
        <f t="shared" si="280"/>
        <v>Medium</v>
      </c>
      <c r="AN1370" t="str">
        <f t="shared" si="281"/>
        <v>No Options</v>
      </c>
      <c r="AO1370" t="str">
        <f t="shared" si="282"/>
        <v>Better</v>
      </c>
      <c r="AP1370" t="str">
        <f t="shared" si="283"/>
        <v>25-34</v>
      </c>
      <c r="AQ1370" t="str">
        <f t="shared" si="284"/>
        <v>Lower-Mid</v>
      </c>
      <c r="AR1370" t="str">
        <f t="shared" si="285"/>
        <v>11-20 Years</v>
      </c>
    </row>
    <row r="1371" spans="1:44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t="s">
        <v>39</v>
      </c>
      <c r="L1371">
        <v>84</v>
      </c>
      <c r="M1371">
        <v>3</v>
      </c>
      <c r="N1371">
        <v>2</v>
      </c>
      <c r="O1371" t="s">
        <v>40</v>
      </c>
      <c r="P1371">
        <v>3</v>
      </c>
      <c r="Q1371" t="s">
        <v>41</v>
      </c>
      <c r="R1371">
        <v>9854</v>
      </c>
      <c r="S1371">
        <v>3</v>
      </c>
      <c r="T1371" t="s">
        <v>35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  <c r="AF1371">
        <f t="shared" si="273"/>
        <v>1</v>
      </c>
      <c r="AG1371">
        <f t="shared" si="274"/>
        <v>1</v>
      </c>
      <c r="AH1371" t="str">
        <f t="shared" si="275"/>
        <v>College</v>
      </c>
      <c r="AI1371" t="str">
        <f t="shared" si="276"/>
        <v>Very High</v>
      </c>
      <c r="AJ1371" t="str">
        <f t="shared" si="277"/>
        <v>High</v>
      </c>
      <c r="AK1371" t="str">
        <f t="shared" si="278"/>
        <v>Junior</v>
      </c>
      <c r="AL1371" t="str">
        <f t="shared" si="279"/>
        <v>High</v>
      </c>
      <c r="AM1371" t="str">
        <f t="shared" si="280"/>
        <v>Very High</v>
      </c>
      <c r="AN1371" t="str">
        <f t="shared" si="281"/>
        <v>No Options</v>
      </c>
      <c r="AO1371" t="str">
        <f t="shared" si="282"/>
        <v>Better</v>
      </c>
      <c r="AP1371" t="str">
        <f t="shared" si="283"/>
        <v>25-34</v>
      </c>
      <c r="AQ1371" t="str">
        <f t="shared" si="284"/>
        <v>Upper-Mid</v>
      </c>
      <c r="AR1371" t="str">
        <f t="shared" si="285"/>
        <v>0-2 Years</v>
      </c>
    </row>
    <row r="1372" spans="1:44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t="s">
        <v>46</v>
      </c>
      <c r="L1372">
        <v>64</v>
      </c>
      <c r="M1372">
        <v>3</v>
      </c>
      <c r="N1372">
        <v>2</v>
      </c>
      <c r="O1372" t="s">
        <v>47</v>
      </c>
      <c r="P1372">
        <v>2</v>
      </c>
      <c r="Q1372" t="s">
        <v>48</v>
      </c>
      <c r="R1372">
        <v>5467</v>
      </c>
      <c r="S1372">
        <v>8</v>
      </c>
      <c r="T1372" t="s">
        <v>43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  <c r="AF1372">
        <f t="shared" si="273"/>
        <v>0</v>
      </c>
      <c r="AG1372">
        <f t="shared" si="274"/>
        <v>0</v>
      </c>
      <c r="AH1372" t="str">
        <f t="shared" si="275"/>
        <v>Master</v>
      </c>
      <c r="AI1372" t="str">
        <f t="shared" si="276"/>
        <v>High</v>
      </c>
      <c r="AJ1372" t="str">
        <f t="shared" si="277"/>
        <v>High</v>
      </c>
      <c r="AK1372" t="str">
        <f t="shared" si="278"/>
        <v>Junior</v>
      </c>
      <c r="AL1372" t="str">
        <f t="shared" si="279"/>
        <v>Medium</v>
      </c>
      <c r="AM1372" t="str">
        <f t="shared" si="280"/>
        <v>High</v>
      </c>
      <c r="AN1372" t="str">
        <f t="shared" si="281"/>
        <v>Low</v>
      </c>
      <c r="AO1372" t="str">
        <f t="shared" si="282"/>
        <v>Best</v>
      </c>
      <c r="AP1372" t="str">
        <f t="shared" si="283"/>
        <v>45-54</v>
      </c>
      <c r="AQ1372" t="str">
        <f t="shared" si="284"/>
        <v>Lower-Mid</v>
      </c>
      <c r="AR1372" t="str">
        <f t="shared" si="285"/>
        <v>6-10 Years</v>
      </c>
    </row>
    <row r="1373" spans="1:44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t="s">
        <v>39</v>
      </c>
      <c r="L1373">
        <v>89</v>
      </c>
      <c r="M1373">
        <v>2</v>
      </c>
      <c r="N1373">
        <v>2</v>
      </c>
      <c r="O1373" t="s">
        <v>40</v>
      </c>
      <c r="P1373">
        <v>1</v>
      </c>
      <c r="Q1373" t="s">
        <v>48</v>
      </c>
      <c r="R1373">
        <v>5380</v>
      </c>
      <c r="S1373">
        <v>4</v>
      </c>
      <c r="T1373" t="s">
        <v>43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  <c r="AF1373">
        <f t="shared" si="273"/>
        <v>0</v>
      </c>
      <c r="AG1373">
        <f t="shared" si="274"/>
        <v>0</v>
      </c>
      <c r="AH1373" t="str">
        <f t="shared" si="275"/>
        <v>Doctor</v>
      </c>
      <c r="AI1373" t="str">
        <f t="shared" si="276"/>
        <v>Very High</v>
      </c>
      <c r="AJ1373" t="str">
        <f t="shared" si="277"/>
        <v>Medium</v>
      </c>
      <c r="AK1373" t="str">
        <f t="shared" si="278"/>
        <v>Junior</v>
      </c>
      <c r="AL1373" t="str">
        <f t="shared" si="279"/>
        <v>Low</v>
      </c>
      <c r="AM1373" t="str">
        <f t="shared" si="280"/>
        <v>High</v>
      </c>
      <c r="AN1373" t="str">
        <f t="shared" si="281"/>
        <v>Low</v>
      </c>
      <c r="AO1373" t="str">
        <f t="shared" si="282"/>
        <v>Better</v>
      </c>
      <c r="AP1373" t="str">
        <f t="shared" si="283"/>
        <v>55+</v>
      </c>
      <c r="AQ1373" t="str">
        <f t="shared" si="284"/>
        <v>Lower-Mid</v>
      </c>
      <c r="AR1373" t="str">
        <f t="shared" si="285"/>
        <v>0-2 Years</v>
      </c>
    </row>
    <row r="1374" spans="1:44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46</v>
      </c>
      <c r="L1374">
        <v>87</v>
      </c>
      <c r="M1374">
        <v>3</v>
      </c>
      <c r="N1374">
        <v>2</v>
      </c>
      <c r="O1374" t="s">
        <v>53</v>
      </c>
      <c r="P1374">
        <v>1</v>
      </c>
      <c r="Q1374" t="s">
        <v>48</v>
      </c>
      <c r="R1374">
        <v>5151</v>
      </c>
      <c r="S1374">
        <v>1</v>
      </c>
      <c r="T1374" t="s">
        <v>43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  <c r="AF1374">
        <f t="shared" si="273"/>
        <v>0</v>
      </c>
      <c r="AG1374">
        <f t="shared" si="274"/>
        <v>0</v>
      </c>
      <c r="AH1374" t="str">
        <f t="shared" si="275"/>
        <v>College</v>
      </c>
      <c r="AI1374" t="str">
        <f t="shared" si="276"/>
        <v>Low</v>
      </c>
      <c r="AJ1374" t="str">
        <f t="shared" si="277"/>
        <v>High</v>
      </c>
      <c r="AK1374" t="str">
        <f t="shared" si="278"/>
        <v>Junior</v>
      </c>
      <c r="AL1374" t="str">
        <f t="shared" si="279"/>
        <v>Low</v>
      </c>
      <c r="AM1374" t="str">
        <f t="shared" si="280"/>
        <v>Very High</v>
      </c>
      <c r="AN1374" t="str">
        <f t="shared" si="281"/>
        <v>Low</v>
      </c>
      <c r="AO1374" t="str">
        <f t="shared" si="282"/>
        <v>Better</v>
      </c>
      <c r="AP1374" t="str">
        <f t="shared" si="283"/>
        <v>35-44</v>
      </c>
      <c r="AQ1374" t="str">
        <f t="shared" si="284"/>
        <v>Lower-Mid</v>
      </c>
      <c r="AR1374" t="str">
        <f t="shared" si="285"/>
        <v>6-10 Years</v>
      </c>
    </row>
    <row r="1375" spans="1:44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39</v>
      </c>
      <c r="L1375">
        <v>58</v>
      </c>
      <c r="M1375">
        <v>2</v>
      </c>
      <c r="N1375">
        <v>2</v>
      </c>
      <c r="O1375" t="s">
        <v>47</v>
      </c>
      <c r="P1375">
        <v>2</v>
      </c>
      <c r="Q1375" t="s">
        <v>52</v>
      </c>
      <c r="R1375">
        <v>2133</v>
      </c>
      <c r="S1375">
        <v>1</v>
      </c>
      <c r="T1375" t="s">
        <v>35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  <c r="AF1375">
        <f t="shared" si="273"/>
        <v>0</v>
      </c>
      <c r="AG1375">
        <f t="shared" si="274"/>
        <v>1</v>
      </c>
      <c r="AH1375" t="str">
        <f t="shared" si="275"/>
        <v>Bachelor</v>
      </c>
      <c r="AI1375" t="str">
        <f t="shared" si="276"/>
        <v>Very High</v>
      </c>
      <c r="AJ1375" t="str">
        <f t="shared" si="277"/>
        <v>Medium</v>
      </c>
      <c r="AK1375" t="str">
        <f t="shared" si="278"/>
        <v>Junior</v>
      </c>
      <c r="AL1375" t="str">
        <f t="shared" si="279"/>
        <v>Medium</v>
      </c>
      <c r="AM1375" t="str">
        <f t="shared" si="280"/>
        <v>High</v>
      </c>
      <c r="AN1375" t="str">
        <f t="shared" si="281"/>
        <v>Low</v>
      </c>
      <c r="AO1375" t="str">
        <f t="shared" si="282"/>
        <v>Better</v>
      </c>
      <c r="AP1375" t="str">
        <f t="shared" si="283"/>
        <v>35-44</v>
      </c>
      <c r="AQ1375" t="str">
        <f t="shared" si="284"/>
        <v>Low</v>
      </c>
      <c r="AR1375" t="str">
        <f t="shared" si="285"/>
        <v>11-20 Years</v>
      </c>
    </row>
    <row r="1376" spans="1:44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72</v>
      </c>
      <c r="M1376">
        <v>3</v>
      </c>
      <c r="N1376">
        <v>4</v>
      </c>
      <c r="O1376" t="s">
        <v>56</v>
      </c>
      <c r="P1376">
        <v>4</v>
      </c>
      <c r="Q1376" t="s">
        <v>48</v>
      </c>
      <c r="R1376">
        <v>17875</v>
      </c>
      <c r="S1376">
        <v>4</v>
      </c>
      <c r="T1376" t="s">
        <v>35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  <c r="AF1376">
        <f t="shared" si="273"/>
        <v>0</v>
      </c>
      <c r="AG1376">
        <f t="shared" si="274"/>
        <v>1</v>
      </c>
      <c r="AH1376" t="str">
        <f t="shared" si="275"/>
        <v>Bachelor</v>
      </c>
      <c r="AI1376" t="str">
        <f t="shared" si="276"/>
        <v>Very High</v>
      </c>
      <c r="AJ1376" t="str">
        <f t="shared" si="277"/>
        <v>High</v>
      </c>
      <c r="AK1376" t="str">
        <f t="shared" si="278"/>
        <v>Senior</v>
      </c>
      <c r="AL1376" t="str">
        <f t="shared" si="279"/>
        <v>Very High</v>
      </c>
      <c r="AM1376" t="str">
        <f t="shared" si="280"/>
        <v>High</v>
      </c>
      <c r="AN1376" t="str">
        <f t="shared" si="281"/>
        <v>Low</v>
      </c>
      <c r="AO1376" t="str">
        <f t="shared" si="282"/>
        <v>Good</v>
      </c>
      <c r="AP1376" t="str">
        <f t="shared" si="283"/>
        <v>55+</v>
      </c>
      <c r="AQ1376" t="str">
        <f t="shared" si="284"/>
        <v>High</v>
      </c>
      <c r="AR1376" t="str">
        <f t="shared" si="285"/>
        <v>0-2 Years</v>
      </c>
    </row>
    <row r="1377" spans="1:44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47</v>
      </c>
      <c r="M1377">
        <v>4</v>
      </c>
      <c r="N1377">
        <v>1</v>
      </c>
      <c r="O1377" t="s">
        <v>47</v>
      </c>
      <c r="P1377">
        <v>3</v>
      </c>
      <c r="Q1377" t="s">
        <v>41</v>
      </c>
      <c r="R1377">
        <v>2432</v>
      </c>
      <c r="S1377">
        <v>3</v>
      </c>
      <c r="T1377" t="s">
        <v>35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  <c r="AF1377">
        <f t="shared" si="273"/>
        <v>1</v>
      </c>
      <c r="AG1377">
        <f t="shared" si="274"/>
        <v>1</v>
      </c>
      <c r="AH1377" t="str">
        <f t="shared" si="275"/>
        <v>College</v>
      </c>
      <c r="AI1377" t="str">
        <f t="shared" si="276"/>
        <v>Low</v>
      </c>
      <c r="AJ1377" t="str">
        <f t="shared" si="277"/>
        <v>Very High</v>
      </c>
      <c r="AK1377" t="str">
        <f t="shared" si="278"/>
        <v>Entry</v>
      </c>
      <c r="AL1377" t="str">
        <f t="shared" si="279"/>
        <v>High</v>
      </c>
      <c r="AM1377" t="str">
        <f t="shared" si="280"/>
        <v>Low</v>
      </c>
      <c r="AN1377" t="str">
        <f t="shared" si="281"/>
        <v>No Options</v>
      </c>
      <c r="AO1377" t="str">
        <f t="shared" si="282"/>
        <v>Better</v>
      </c>
      <c r="AP1377" t="str">
        <f t="shared" si="283"/>
        <v>25-34</v>
      </c>
      <c r="AQ1377" t="str">
        <f t="shared" si="284"/>
        <v>Low</v>
      </c>
      <c r="AR1377" t="str">
        <f t="shared" si="285"/>
        <v>3-5 Years</v>
      </c>
    </row>
    <row r="1378" spans="1:44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46</v>
      </c>
      <c r="L1378">
        <v>71</v>
      </c>
      <c r="M1378">
        <v>3</v>
      </c>
      <c r="N1378">
        <v>1</v>
      </c>
      <c r="O1378" t="s">
        <v>47</v>
      </c>
      <c r="P1378">
        <v>4</v>
      </c>
      <c r="Q1378" t="s">
        <v>52</v>
      </c>
      <c r="R1378">
        <v>4771</v>
      </c>
      <c r="S1378">
        <v>2</v>
      </c>
      <c r="T1378" t="s">
        <v>43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  <c r="AF1378">
        <f t="shared" si="273"/>
        <v>0</v>
      </c>
      <c r="AG1378">
        <f t="shared" si="274"/>
        <v>0</v>
      </c>
      <c r="AH1378" t="str">
        <f t="shared" si="275"/>
        <v>College</v>
      </c>
      <c r="AI1378" t="str">
        <f t="shared" si="276"/>
        <v>Medium</v>
      </c>
      <c r="AJ1378" t="str">
        <f t="shared" si="277"/>
        <v>High</v>
      </c>
      <c r="AK1378" t="str">
        <f t="shared" si="278"/>
        <v>Entry</v>
      </c>
      <c r="AL1378" t="str">
        <f t="shared" si="279"/>
        <v>Very High</v>
      </c>
      <c r="AM1378" t="str">
        <f t="shared" si="280"/>
        <v>Very High</v>
      </c>
      <c r="AN1378" t="str">
        <f t="shared" si="281"/>
        <v>Medium</v>
      </c>
      <c r="AO1378" t="str">
        <f t="shared" si="282"/>
        <v>Best</v>
      </c>
      <c r="AP1378" t="str">
        <f t="shared" si="283"/>
        <v>35-44</v>
      </c>
      <c r="AQ1378" t="str">
        <f t="shared" si="284"/>
        <v>Lower-Mid</v>
      </c>
      <c r="AR1378" t="str">
        <f t="shared" si="285"/>
        <v>3-5 Years</v>
      </c>
    </row>
    <row r="1379" spans="1:44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46</v>
      </c>
      <c r="L1379">
        <v>42</v>
      </c>
      <c r="M1379">
        <v>3</v>
      </c>
      <c r="N1379">
        <v>5</v>
      </c>
      <c r="O1379" t="s">
        <v>58</v>
      </c>
      <c r="P1379">
        <v>4</v>
      </c>
      <c r="Q1379" t="s">
        <v>48</v>
      </c>
      <c r="R1379">
        <v>19161</v>
      </c>
      <c r="S1379">
        <v>3</v>
      </c>
      <c r="T1379" t="s">
        <v>43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  <c r="AF1379">
        <f t="shared" si="273"/>
        <v>0</v>
      </c>
      <c r="AG1379">
        <f t="shared" si="274"/>
        <v>0</v>
      </c>
      <c r="AH1379" t="str">
        <f t="shared" si="275"/>
        <v>Below College</v>
      </c>
      <c r="AI1379" t="str">
        <f t="shared" si="276"/>
        <v>Medium</v>
      </c>
      <c r="AJ1379" t="str">
        <f t="shared" si="277"/>
        <v>High</v>
      </c>
      <c r="AK1379" t="str">
        <f t="shared" si="278"/>
        <v>Executive</v>
      </c>
      <c r="AL1379" t="str">
        <f t="shared" si="279"/>
        <v>Very High</v>
      </c>
      <c r="AM1379" t="str">
        <f t="shared" si="280"/>
        <v>Very High</v>
      </c>
      <c r="AN1379" t="str">
        <f t="shared" si="281"/>
        <v>No Options</v>
      </c>
      <c r="AO1379" t="str">
        <f t="shared" si="282"/>
        <v>Better</v>
      </c>
      <c r="AP1379" t="str">
        <f t="shared" si="283"/>
        <v>45-54</v>
      </c>
      <c r="AQ1379" t="str">
        <f t="shared" si="284"/>
        <v>High</v>
      </c>
      <c r="AR1379" t="str">
        <f t="shared" si="285"/>
        <v>3-5 Years</v>
      </c>
    </row>
    <row r="1380" spans="1:44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t="s">
        <v>46</v>
      </c>
      <c r="L1380">
        <v>77</v>
      </c>
      <c r="M1380">
        <v>3</v>
      </c>
      <c r="N1380">
        <v>2</v>
      </c>
      <c r="O1380" t="s">
        <v>40</v>
      </c>
      <c r="P1380">
        <v>4</v>
      </c>
      <c r="Q1380" t="s">
        <v>52</v>
      </c>
      <c r="R1380">
        <v>5087</v>
      </c>
      <c r="S1380">
        <v>3</v>
      </c>
      <c r="T1380" t="s">
        <v>35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  <c r="AF1380">
        <f t="shared" si="273"/>
        <v>0</v>
      </c>
      <c r="AG1380">
        <f t="shared" si="274"/>
        <v>1</v>
      </c>
      <c r="AH1380" t="str">
        <f t="shared" si="275"/>
        <v>Master</v>
      </c>
      <c r="AI1380" t="str">
        <f t="shared" si="276"/>
        <v>Medium</v>
      </c>
      <c r="AJ1380" t="str">
        <f t="shared" si="277"/>
        <v>High</v>
      </c>
      <c r="AK1380" t="str">
        <f t="shared" si="278"/>
        <v>Junior</v>
      </c>
      <c r="AL1380" t="str">
        <f t="shared" si="279"/>
        <v>Very High</v>
      </c>
      <c r="AM1380" t="str">
        <f t="shared" si="280"/>
        <v>High</v>
      </c>
      <c r="AN1380" t="str">
        <f t="shared" si="281"/>
        <v>Medium</v>
      </c>
      <c r="AO1380" t="str">
        <f t="shared" si="282"/>
        <v>Better</v>
      </c>
      <c r="AP1380" t="str">
        <f t="shared" si="283"/>
        <v>35-44</v>
      </c>
      <c r="AQ1380" t="str">
        <f t="shared" si="284"/>
        <v>Lower-Mid</v>
      </c>
      <c r="AR1380" t="str">
        <f t="shared" si="285"/>
        <v>0-2 Years</v>
      </c>
    </row>
    <row r="1381" spans="1:44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t="s">
        <v>39</v>
      </c>
      <c r="L1381">
        <v>58</v>
      </c>
      <c r="M1381">
        <v>2</v>
      </c>
      <c r="N1381">
        <v>1</v>
      </c>
      <c r="O1381" t="s">
        <v>61</v>
      </c>
      <c r="P1381">
        <v>2</v>
      </c>
      <c r="Q1381" t="s">
        <v>48</v>
      </c>
      <c r="R1381">
        <v>2863</v>
      </c>
      <c r="S1381">
        <v>1</v>
      </c>
      <c r="T1381" t="s">
        <v>43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  <c r="AF1381">
        <f t="shared" si="273"/>
        <v>1</v>
      </c>
      <c r="AG1381">
        <f t="shared" si="274"/>
        <v>0</v>
      </c>
      <c r="AH1381" t="str">
        <f t="shared" si="275"/>
        <v>Bachelor</v>
      </c>
      <c r="AI1381" t="str">
        <f t="shared" si="276"/>
        <v>Low</v>
      </c>
      <c r="AJ1381" t="str">
        <f t="shared" si="277"/>
        <v>Medium</v>
      </c>
      <c r="AK1381" t="str">
        <f t="shared" si="278"/>
        <v>Entry</v>
      </c>
      <c r="AL1381" t="str">
        <f t="shared" si="279"/>
        <v>Medium</v>
      </c>
      <c r="AM1381" t="str">
        <f t="shared" si="280"/>
        <v>Low</v>
      </c>
      <c r="AN1381" t="str">
        <f t="shared" si="281"/>
        <v>No Options</v>
      </c>
      <c r="AO1381" t="str">
        <f t="shared" si="282"/>
        <v>Better</v>
      </c>
      <c r="AP1381" t="str">
        <f t="shared" si="283"/>
        <v>25-34</v>
      </c>
      <c r="AQ1381" t="str">
        <f t="shared" si="284"/>
        <v>Low</v>
      </c>
      <c r="AR1381" t="str">
        <f t="shared" si="285"/>
        <v>0-2 Years</v>
      </c>
    </row>
    <row r="1382" spans="1:44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46</v>
      </c>
      <c r="L1382">
        <v>71</v>
      </c>
      <c r="M1382">
        <v>3</v>
      </c>
      <c r="N1382">
        <v>2</v>
      </c>
      <c r="O1382" t="s">
        <v>40</v>
      </c>
      <c r="P1382">
        <v>1</v>
      </c>
      <c r="Q1382" t="s">
        <v>48</v>
      </c>
      <c r="R1382">
        <v>5561</v>
      </c>
      <c r="S1382">
        <v>0</v>
      </c>
      <c r="T1382" t="s">
        <v>43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  <c r="AF1382">
        <f t="shared" si="273"/>
        <v>0</v>
      </c>
      <c r="AG1382">
        <f t="shared" si="274"/>
        <v>0</v>
      </c>
      <c r="AH1382" t="str">
        <f t="shared" si="275"/>
        <v>Master</v>
      </c>
      <c r="AI1382" t="str">
        <f t="shared" si="276"/>
        <v>Medium</v>
      </c>
      <c r="AJ1382" t="str">
        <f t="shared" si="277"/>
        <v>High</v>
      </c>
      <c r="AK1382" t="str">
        <f t="shared" si="278"/>
        <v>Junior</v>
      </c>
      <c r="AL1382" t="str">
        <f t="shared" si="279"/>
        <v>Low</v>
      </c>
      <c r="AM1382" t="str">
        <f t="shared" si="280"/>
        <v>Very High</v>
      </c>
      <c r="AN1382" t="str">
        <f t="shared" si="281"/>
        <v>Low</v>
      </c>
      <c r="AO1382" t="str">
        <f t="shared" si="282"/>
        <v>Bad</v>
      </c>
      <c r="AP1382" t="str">
        <f t="shared" si="283"/>
        <v>35-44</v>
      </c>
      <c r="AQ1382" t="str">
        <f t="shared" si="284"/>
        <v>Lower-Mid</v>
      </c>
      <c r="AR1382" t="str">
        <f t="shared" si="285"/>
        <v>3-5 Years</v>
      </c>
    </row>
    <row r="1383" spans="1:44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46</v>
      </c>
      <c r="L1383">
        <v>49</v>
      </c>
      <c r="M1383">
        <v>3</v>
      </c>
      <c r="N1383">
        <v>1</v>
      </c>
      <c r="O1383" t="s">
        <v>47</v>
      </c>
      <c r="P1383">
        <v>3</v>
      </c>
      <c r="Q1383" t="s">
        <v>41</v>
      </c>
      <c r="R1383">
        <v>2144</v>
      </c>
      <c r="S1383">
        <v>1</v>
      </c>
      <c r="T1383" t="s">
        <v>43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  <c r="AF1383">
        <f t="shared" si="273"/>
        <v>0</v>
      </c>
      <c r="AG1383">
        <f t="shared" si="274"/>
        <v>0</v>
      </c>
      <c r="AH1383" t="str">
        <f t="shared" si="275"/>
        <v>Bachelor</v>
      </c>
      <c r="AI1383" t="str">
        <f t="shared" si="276"/>
        <v>High</v>
      </c>
      <c r="AJ1383" t="str">
        <f t="shared" si="277"/>
        <v>High</v>
      </c>
      <c r="AK1383" t="str">
        <f t="shared" si="278"/>
        <v>Entry</v>
      </c>
      <c r="AL1383" t="str">
        <f t="shared" si="279"/>
        <v>High</v>
      </c>
      <c r="AM1383" t="str">
        <f t="shared" si="280"/>
        <v>High</v>
      </c>
      <c r="AN1383" t="str">
        <f t="shared" si="281"/>
        <v>No Options</v>
      </c>
      <c r="AO1383" t="str">
        <f t="shared" si="282"/>
        <v>Good</v>
      </c>
      <c r="AP1383" t="str">
        <f t="shared" si="283"/>
        <v>25-34</v>
      </c>
      <c r="AQ1383" t="str">
        <f t="shared" si="284"/>
        <v>Low</v>
      </c>
      <c r="AR1383" t="str">
        <f t="shared" si="285"/>
        <v>3-5 Years</v>
      </c>
    </row>
    <row r="1384" spans="1:44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46</v>
      </c>
      <c r="L1384">
        <v>48</v>
      </c>
      <c r="M1384">
        <v>3</v>
      </c>
      <c r="N1384">
        <v>1</v>
      </c>
      <c r="O1384" t="s">
        <v>47</v>
      </c>
      <c r="P1384">
        <v>1</v>
      </c>
      <c r="Q1384" t="s">
        <v>52</v>
      </c>
      <c r="R1384">
        <v>3065</v>
      </c>
      <c r="S1384">
        <v>1</v>
      </c>
      <c r="T1384" t="s">
        <v>35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  <c r="AF1384">
        <f t="shared" si="273"/>
        <v>0</v>
      </c>
      <c r="AG1384">
        <f t="shared" si="274"/>
        <v>1</v>
      </c>
      <c r="AH1384" t="str">
        <f t="shared" si="275"/>
        <v>College</v>
      </c>
      <c r="AI1384" t="str">
        <f t="shared" si="276"/>
        <v>High</v>
      </c>
      <c r="AJ1384" t="str">
        <f t="shared" si="277"/>
        <v>High</v>
      </c>
      <c r="AK1384" t="str">
        <f t="shared" si="278"/>
        <v>Entry</v>
      </c>
      <c r="AL1384" t="str">
        <f t="shared" si="279"/>
        <v>Low</v>
      </c>
      <c r="AM1384" t="str">
        <f t="shared" si="280"/>
        <v>Very High</v>
      </c>
      <c r="AN1384" t="str">
        <f t="shared" si="281"/>
        <v>Low</v>
      </c>
      <c r="AO1384" t="str">
        <f t="shared" si="282"/>
        <v>Best</v>
      </c>
      <c r="AP1384" t="str">
        <f t="shared" si="283"/>
        <v>25-34</v>
      </c>
      <c r="AQ1384" t="str">
        <f t="shared" si="284"/>
        <v>Lower-Mid</v>
      </c>
      <c r="AR1384" t="str">
        <f t="shared" si="285"/>
        <v>3-5 Years</v>
      </c>
    </row>
    <row r="1385" spans="1:44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46</v>
      </c>
      <c r="L1385">
        <v>66</v>
      </c>
      <c r="M1385">
        <v>4</v>
      </c>
      <c r="N1385">
        <v>1</v>
      </c>
      <c r="O1385" t="s">
        <v>50</v>
      </c>
      <c r="P1385">
        <v>2</v>
      </c>
      <c r="Q1385" t="s">
        <v>48</v>
      </c>
      <c r="R1385">
        <v>2810</v>
      </c>
      <c r="S1385">
        <v>1</v>
      </c>
      <c r="T1385" t="s">
        <v>43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  <c r="AF1385">
        <f t="shared" si="273"/>
        <v>0</v>
      </c>
      <c r="AG1385">
        <f t="shared" si="274"/>
        <v>0</v>
      </c>
      <c r="AH1385" t="str">
        <f t="shared" si="275"/>
        <v>Master</v>
      </c>
      <c r="AI1385" t="str">
        <f t="shared" si="276"/>
        <v>Low</v>
      </c>
      <c r="AJ1385" t="str">
        <f t="shared" si="277"/>
        <v>Very High</v>
      </c>
      <c r="AK1385" t="str">
        <f t="shared" si="278"/>
        <v>Entry</v>
      </c>
      <c r="AL1385" t="str">
        <f t="shared" si="279"/>
        <v>Medium</v>
      </c>
      <c r="AM1385" t="str">
        <f t="shared" si="280"/>
        <v>Medium</v>
      </c>
      <c r="AN1385" t="str">
        <f t="shared" si="281"/>
        <v>No Options</v>
      </c>
      <c r="AO1385" t="str">
        <f t="shared" si="282"/>
        <v>Better</v>
      </c>
      <c r="AP1385" t="str">
        <f t="shared" si="283"/>
        <v>35-44</v>
      </c>
      <c r="AQ1385" t="str">
        <f t="shared" si="284"/>
        <v>Low</v>
      </c>
      <c r="AR1385" t="str">
        <f t="shared" si="285"/>
        <v>3-5 Years</v>
      </c>
    </row>
    <row r="1386" spans="1:44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t="s">
        <v>46</v>
      </c>
      <c r="L1386">
        <v>32</v>
      </c>
      <c r="M1386">
        <v>3</v>
      </c>
      <c r="N1386">
        <v>3</v>
      </c>
      <c r="O1386" t="s">
        <v>40</v>
      </c>
      <c r="P1386">
        <v>4</v>
      </c>
      <c r="Q1386" t="s">
        <v>41</v>
      </c>
      <c r="R1386">
        <v>9888</v>
      </c>
      <c r="S1386">
        <v>1</v>
      </c>
      <c r="T1386" t="s">
        <v>43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  <c r="AF1386">
        <f t="shared" si="273"/>
        <v>0</v>
      </c>
      <c r="AG1386">
        <f t="shared" si="274"/>
        <v>0</v>
      </c>
      <c r="AH1386" t="str">
        <f t="shared" si="275"/>
        <v>Bachelor</v>
      </c>
      <c r="AI1386" t="str">
        <f t="shared" si="276"/>
        <v>Low</v>
      </c>
      <c r="AJ1386" t="str">
        <f t="shared" si="277"/>
        <v>High</v>
      </c>
      <c r="AK1386" t="str">
        <f t="shared" si="278"/>
        <v>Mid-Level</v>
      </c>
      <c r="AL1386" t="str">
        <f t="shared" si="279"/>
        <v>Very High</v>
      </c>
      <c r="AM1386" t="str">
        <f t="shared" si="280"/>
        <v>Low</v>
      </c>
      <c r="AN1386" t="str">
        <f t="shared" si="281"/>
        <v>No Options</v>
      </c>
      <c r="AO1386" t="str">
        <f t="shared" si="282"/>
        <v>Good</v>
      </c>
      <c r="AP1386" t="str">
        <f t="shared" si="283"/>
        <v>25-34</v>
      </c>
      <c r="AQ1386" t="str">
        <f t="shared" si="284"/>
        <v>Upper-Mid</v>
      </c>
      <c r="AR1386" t="str">
        <f t="shared" si="285"/>
        <v>11-20 Years</v>
      </c>
    </row>
    <row r="1387" spans="1:44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46</v>
      </c>
      <c r="L1387">
        <v>39</v>
      </c>
      <c r="M1387">
        <v>3</v>
      </c>
      <c r="N1387">
        <v>3</v>
      </c>
      <c r="O1387" t="s">
        <v>40</v>
      </c>
      <c r="P1387">
        <v>3</v>
      </c>
      <c r="Q1387" t="s">
        <v>52</v>
      </c>
      <c r="R1387">
        <v>8628</v>
      </c>
      <c r="S1387">
        <v>1</v>
      </c>
      <c r="T1387" t="s">
        <v>43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  <c r="AF1387">
        <f t="shared" si="273"/>
        <v>0</v>
      </c>
      <c r="AG1387">
        <f t="shared" si="274"/>
        <v>0</v>
      </c>
      <c r="AH1387" t="str">
        <f t="shared" si="275"/>
        <v>Master</v>
      </c>
      <c r="AI1387" t="str">
        <f t="shared" si="276"/>
        <v>Very High</v>
      </c>
      <c r="AJ1387" t="str">
        <f t="shared" si="277"/>
        <v>High</v>
      </c>
      <c r="AK1387" t="str">
        <f t="shared" si="278"/>
        <v>Mid-Level</v>
      </c>
      <c r="AL1387" t="str">
        <f t="shared" si="279"/>
        <v>High</v>
      </c>
      <c r="AM1387" t="str">
        <f t="shared" si="280"/>
        <v>High</v>
      </c>
      <c r="AN1387" t="str">
        <f t="shared" si="281"/>
        <v>Low</v>
      </c>
      <c r="AO1387" t="str">
        <f t="shared" si="282"/>
        <v>Good</v>
      </c>
      <c r="AP1387" t="str">
        <f t="shared" si="283"/>
        <v>25-34</v>
      </c>
      <c r="AQ1387" t="str">
        <f t="shared" si="284"/>
        <v>Upper-Mid</v>
      </c>
      <c r="AR1387" t="str">
        <f t="shared" si="285"/>
        <v>6-10 Years</v>
      </c>
    </row>
    <row r="1388" spans="1:44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46</v>
      </c>
      <c r="L1388">
        <v>95</v>
      </c>
      <c r="M1388">
        <v>3</v>
      </c>
      <c r="N1388">
        <v>1</v>
      </c>
      <c r="O1388" t="s">
        <v>50</v>
      </c>
      <c r="P1388">
        <v>1</v>
      </c>
      <c r="Q1388" t="s">
        <v>41</v>
      </c>
      <c r="R1388">
        <v>2867</v>
      </c>
      <c r="S1388">
        <v>0</v>
      </c>
      <c r="T1388" t="s">
        <v>43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  <c r="AF1388">
        <f t="shared" si="273"/>
        <v>0</v>
      </c>
      <c r="AG1388">
        <f t="shared" si="274"/>
        <v>0</v>
      </c>
      <c r="AH1388" t="str">
        <f t="shared" si="275"/>
        <v>Bachelor</v>
      </c>
      <c r="AI1388" t="str">
        <f t="shared" si="276"/>
        <v>High</v>
      </c>
      <c r="AJ1388" t="str">
        <f t="shared" si="277"/>
        <v>High</v>
      </c>
      <c r="AK1388" t="str">
        <f t="shared" si="278"/>
        <v>Entry</v>
      </c>
      <c r="AL1388" t="str">
        <f t="shared" si="279"/>
        <v>Low</v>
      </c>
      <c r="AM1388" t="str">
        <f t="shared" si="280"/>
        <v>Very High</v>
      </c>
      <c r="AN1388" t="str">
        <f t="shared" si="281"/>
        <v>No Options</v>
      </c>
      <c r="AO1388" t="str">
        <f t="shared" si="282"/>
        <v>Good</v>
      </c>
      <c r="AP1388" t="str">
        <f t="shared" si="283"/>
        <v>25-34</v>
      </c>
      <c r="AQ1388" t="str">
        <f t="shared" si="284"/>
        <v>Low</v>
      </c>
      <c r="AR1388" t="str">
        <f t="shared" si="285"/>
        <v>6-10 Years</v>
      </c>
    </row>
    <row r="1389" spans="1:44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46</v>
      </c>
      <c r="L1389">
        <v>89</v>
      </c>
      <c r="M1389">
        <v>3</v>
      </c>
      <c r="N1389">
        <v>2</v>
      </c>
      <c r="O1389" t="s">
        <v>54</v>
      </c>
      <c r="P1389">
        <v>1</v>
      </c>
      <c r="Q1389" t="s">
        <v>48</v>
      </c>
      <c r="R1389">
        <v>5373</v>
      </c>
      <c r="S1389">
        <v>0</v>
      </c>
      <c r="T1389" t="s">
        <v>43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  <c r="AF1389">
        <f t="shared" si="273"/>
        <v>0</v>
      </c>
      <c r="AG1389">
        <f t="shared" si="274"/>
        <v>0</v>
      </c>
      <c r="AH1389" t="str">
        <f t="shared" si="275"/>
        <v>Bachelor</v>
      </c>
      <c r="AI1389" t="str">
        <f t="shared" si="276"/>
        <v>Low</v>
      </c>
      <c r="AJ1389" t="str">
        <f t="shared" si="277"/>
        <v>High</v>
      </c>
      <c r="AK1389" t="str">
        <f t="shared" si="278"/>
        <v>Junior</v>
      </c>
      <c r="AL1389" t="str">
        <f t="shared" si="279"/>
        <v>Low</v>
      </c>
      <c r="AM1389" t="str">
        <f t="shared" si="280"/>
        <v>Low</v>
      </c>
      <c r="AN1389" t="str">
        <f t="shared" si="281"/>
        <v>Low</v>
      </c>
      <c r="AO1389" t="str">
        <f t="shared" si="282"/>
        <v>Good</v>
      </c>
      <c r="AP1389" t="str">
        <f t="shared" si="283"/>
        <v>25-34</v>
      </c>
      <c r="AQ1389" t="str">
        <f t="shared" si="284"/>
        <v>Lower-Mid</v>
      </c>
      <c r="AR1389" t="str">
        <f t="shared" si="285"/>
        <v>3-5 Years</v>
      </c>
    </row>
    <row r="1390" spans="1:44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39</v>
      </c>
      <c r="L1390">
        <v>34</v>
      </c>
      <c r="M1390">
        <v>3</v>
      </c>
      <c r="N1390">
        <v>2</v>
      </c>
      <c r="O1390" t="s">
        <v>54</v>
      </c>
      <c r="P1390">
        <v>4</v>
      </c>
      <c r="Q1390" t="s">
        <v>52</v>
      </c>
      <c r="R1390">
        <v>6667</v>
      </c>
      <c r="S1390">
        <v>5</v>
      </c>
      <c r="T1390" t="s">
        <v>43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  <c r="AF1390">
        <f t="shared" si="273"/>
        <v>0</v>
      </c>
      <c r="AG1390">
        <f t="shared" si="274"/>
        <v>0</v>
      </c>
      <c r="AH1390" t="str">
        <f t="shared" si="275"/>
        <v>Master</v>
      </c>
      <c r="AI1390" t="str">
        <f t="shared" si="276"/>
        <v>High</v>
      </c>
      <c r="AJ1390" t="str">
        <f t="shared" si="277"/>
        <v>High</v>
      </c>
      <c r="AK1390" t="str">
        <f t="shared" si="278"/>
        <v>Junior</v>
      </c>
      <c r="AL1390" t="str">
        <f t="shared" si="279"/>
        <v>Very High</v>
      </c>
      <c r="AM1390" t="str">
        <f t="shared" si="280"/>
        <v>Medium</v>
      </c>
      <c r="AN1390" t="str">
        <f t="shared" si="281"/>
        <v>Low</v>
      </c>
      <c r="AO1390" t="str">
        <f t="shared" si="282"/>
        <v>Better</v>
      </c>
      <c r="AP1390" t="str">
        <f t="shared" si="283"/>
        <v>25-34</v>
      </c>
      <c r="AQ1390" t="str">
        <f t="shared" si="284"/>
        <v>Lower-Mid</v>
      </c>
      <c r="AR1390" t="str">
        <f t="shared" si="285"/>
        <v>3-5 Years</v>
      </c>
    </row>
    <row r="1391" spans="1:44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46</v>
      </c>
      <c r="L1391">
        <v>48</v>
      </c>
      <c r="M1391">
        <v>1</v>
      </c>
      <c r="N1391">
        <v>2</v>
      </c>
      <c r="O1391" t="s">
        <v>47</v>
      </c>
      <c r="P1391">
        <v>1</v>
      </c>
      <c r="Q1391" t="s">
        <v>48</v>
      </c>
      <c r="R1391">
        <v>5003</v>
      </c>
      <c r="S1391">
        <v>1</v>
      </c>
      <c r="T1391" t="s">
        <v>43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  <c r="AF1391">
        <f t="shared" si="273"/>
        <v>0</v>
      </c>
      <c r="AG1391">
        <f t="shared" si="274"/>
        <v>0</v>
      </c>
      <c r="AH1391" t="str">
        <f t="shared" si="275"/>
        <v>Bachelor</v>
      </c>
      <c r="AI1391" t="str">
        <f t="shared" si="276"/>
        <v>Very High</v>
      </c>
      <c r="AJ1391" t="str">
        <f t="shared" si="277"/>
        <v>Low</v>
      </c>
      <c r="AK1391" t="str">
        <f t="shared" si="278"/>
        <v>Junior</v>
      </c>
      <c r="AL1391" t="str">
        <f t="shared" si="279"/>
        <v>Low</v>
      </c>
      <c r="AM1391" t="str">
        <f t="shared" si="280"/>
        <v>Medium</v>
      </c>
      <c r="AN1391" t="str">
        <f t="shared" si="281"/>
        <v>No Options</v>
      </c>
      <c r="AO1391" t="str">
        <f t="shared" si="282"/>
        <v>Better</v>
      </c>
      <c r="AP1391" t="str">
        <f t="shared" si="283"/>
        <v>25-34</v>
      </c>
      <c r="AQ1391" t="str">
        <f t="shared" si="284"/>
        <v>Lower-Mid</v>
      </c>
      <c r="AR1391" t="str">
        <f t="shared" si="285"/>
        <v>6-10 Years</v>
      </c>
    </row>
    <row r="1392" spans="1:44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t="s">
        <v>46</v>
      </c>
      <c r="L1392">
        <v>32</v>
      </c>
      <c r="M1392">
        <v>2</v>
      </c>
      <c r="N1392">
        <v>1</v>
      </c>
      <c r="O1392" t="s">
        <v>50</v>
      </c>
      <c r="P1392">
        <v>4</v>
      </c>
      <c r="Q1392" t="s">
        <v>52</v>
      </c>
      <c r="R1392">
        <v>2367</v>
      </c>
      <c r="S1392">
        <v>5</v>
      </c>
      <c r="T1392" t="s">
        <v>43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  <c r="AF1392">
        <f t="shared" si="273"/>
        <v>1</v>
      </c>
      <c r="AG1392">
        <f t="shared" si="274"/>
        <v>0</v>
      </c>
      <c r="AH1392" t="str">
        <f t="shared" si="275"/>
        <v>Bachelor</v>
      </c>
      <c r="AI1392" t="str">
        <f t="shared" si="276"/>
        <v>High</v>
      </c>
      <c r="AJ1392" t="str">
        <f t="shared" si="277"/>
        <v>Medium</v>
      </c>
      <c r="AK1392" t="str">
        <f t="shared" si="278"/>
        <v>Entry</v>
      </c>
      <c r="AL1392" t="str">
        <f t="shared" si="279"/>
        <v>Very High</v>
      </c>
      <c r="AM1392" t="str">
        <f t="shared" si="280"/>
        <v>Low</v>
      </c>
      <c r="AN1392" t="str">
        <f t="shared" si="281"/>
        <v>Low</v>
      </c>
      <c r="AO1392" t="str">
        <f t="shared" si="282"/>
        <v>Good</v>
      </c>
      <c r="AP1392" t="str">
        <f t="shared" si="283"/>
        <v>25-34</v>
      </c>
      <c r="AQ1392" t="str">
        <f t="shared" si="284"/>
        <v>Low</v>
      </c>
      <c r="AR1392" t="str">
        <f t="shared" si="285"/>
        <v>3-5 Years</v>
      </c>
    </row>
    <row r="1393" spans="1:44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46</v>
      </c>
      <c r="L1393">
        <v>59</v>
      </c>
      <c r="M1393">
        <v>2</v>
      </c>
      <c r="N1393">
        <v>1</v>
      </c>
      <c r="O1393" t="s">
        <v>57</v>
      </c>
      <c r="P1393">
        <v>1</v>
      </c>
      <c r="Q1393" t="s">
        <v>41</v>
      </c>
      <c r="R1393">
        <v>2858</v>
      </c>
      <c r="S1393">
        <v>4</v>
      </c>
      <c r="T1393" t="s">
        <v>43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  <c r="AF1393">
        <f t="shared" si="273"/>
        <v>0</v>
      </c>
      <c r="AG1393">
        <f t="shared" si="274"/>
        <v>0</v>
      </c>
      <c r="AH1393" t="str">
        <f t="shared" si="275"/>
        <v>Bachelor</v>
      </c>
      <c r="AI1393" t="str">
        <f t="shared" si="276"/>
        <v>Low</v>
      </c>
      <c r="AJ1393" t="str">
        <f t="shared" si="277"/>
        <v>Medium</v>
      </c>
      <c r="AK1393" t="str">
        <f t="shared" si="278"/>
        <v>Entry</v>
      </c>
      <c r="AL1393" t="str">
        <f t="shared" si="279"/>
        <v>Low</v>
      </c>
      <c r="AM1393" t="str">
        <f t="shared" si="280"/>
        <v>Low</v>
      </c>
      <c r="AN1393" t="str">
        <f t="shared" si="281"/>
        <v>No Options</v>
      </c>
      <c r="AO1393" t="str">
        <f t="shared" si="282"/>
        <v>Good</v>
      </c>
      <c r="AP1393" t="str">
        <f t="shared" si="283"/>
        <v>35-44</v>
      </c>
      <c r="AQ1393" t="str">
        <f t="shared" si="284"/>
        <v>Low</v>
      </c>
      <c r="AR1393" t="str">
        <f t="shared" si="285"/>
        <v>0-2 Years</v>
      </c>
    </row>
    <row r="1394" spans="1:44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55</v>
      </c>
      <c r="M1394">
        <v>3</v>
      </c>
      <c r="N1394">
        <v>2</v>
      </c>
      <c r="O1394" t="s">
        <v>40</v>
      </c>
      <c r="P1394">
        <v>4</v>
      </c>
      <c r="Q1394" t="s">
        <v>48</v>
      </c>
      <c r="R1394">
        <v>5204</v>
      </c>
      <c r="S1394">
        <v>1</v>
      </c>
      <c r="T1394" t="s">
        <v>35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  <c r="AF1394">
        <f t="shared" si="273"/>
        <v>0</v>
      </c>
      <c r="AG1394">
        <f t="shared" si="274"/>
        <v>1</v>
      </c>
      <c r="AH1394" t="str">
        <f t="shared" si="275"/>
        <v>Master</v>
      </c>
      <c r="AI1394" t="str">
        <f t="shared" si="276"/>
        <v>High</v>
      </c>
      <c r="AJ1394" t="str">
        <f t="shared" si="277"/>
        <v>High</v>
      </c>
      <c r="AK1394" t="str">
        <f t="shared" si="278"/>
        <v>Junior</v>
      </c>
      <c r="AL1394" t="str">
        <f t="shared" si="279"/>
        <v>Very High</v>
      </c>
      <c r="AM1394" t="str">
        <f t="shared" si="280"/>
        <v>Very High</v>
      </c>
      <c r="AN1394" t="str">
        <f t="shared" si="281"/>
        <v>No Options</v>
      </c>
      <c r="AO1394" t="str">
        <f t="shared" si="282"/>
        <v>Better</v>
      </c>
      <c r="AP1394" t="str">
        <f t="shared" si="283"/>
        <v>35-44</v>
      </c>
      <c r="AQ1394" t="str">
        <f t="shared" si="284"/>
        <v>Lower-Mid</v>
      </c>
      <c r="AR1394" t="str">
        <f t="shared" si="285"/>
        <v>6-10 Years</v>
      </c>
    </row>
    <row r="1395" spans="1:44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t="s">
        <v>46</v>
      </c>
      <c r="L1395">
        <v>44</v>
      </c>
      <c r="M1395">
        <v>3</v>
      </c>
      <c r="N1395">
        <v>2</v>
      </c>
      <c r="O1395" t="s">
        <v>40</v>
      </c>
      <c r="P1395">
        <v>4</v>
      </c>
      <c r="Q1395" t="s">
        <v>41</v>
      </c>
      <c r="R1395">
        <v>4105</v>
      </c>
      <c r="S1395">
        <v>1</v>
      </c>
      <c r="T1395" t="s">
        <v>43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  <c r="AF1395">
        <f t="shared" si="273"/>
        <v>0</v>
      </c>
      <c r="AG1395">
        <f t="shared" si="274"/>
        <v>0</v>
      </c>
      <c r="AH1395" t="str">
        <f t="shared" si="275"/>
        <v>Bachelor</v>
      </c>
      <c r="AI1395" t="str">
        <f t="shared" si="276"/>
        <v>Very High</v>
      </c>
      <c r="AJ1395" t="str">
        <f t="shared" si="277"/>
        <v>High</v>
      </c>
      <c r="AK1395" t="str">
        <f t="shared" si="278"/>
        <v>Junior</v>
      </c>
      <c r="AL1395" t="str">
        <f t="shared" si="279"/>
        <v>Very High</v>
      </c>
      <c r="AM1395" t="str">
        <f t="shared" si="280"/>
        <v>Low</v>
      </c>
      <c r="AN1395" t="str">
        <f t="shared" si="281"/>
        <v>No Options</v>
      </c>
      <c r="AO1395" t="str">
        <f t="shared" si="282"/>
        <v>Better</v>
      </c>
      <c r="AP1395" t="str">
        <f t="shared" si="283"/>
        <v>25-34</v>
      </c>
      <c r="AQ1395" t="str">
        <f t="shared" si="284"/>
        <v>Lower-Mid</v>
      </c>
      <c r="AR1395" t="str">
        <f t="shared" si="285"/>
        <v>6-10 Years</v>
      </c>
    </row>
    <row r="1396" spans="1:44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46</v>
      </c>
      <c r="L1396">
        <v>56</v>
      </c>
      <c r="M1396">
        <v>2</v>
      </c>
      <c r="N1396">
        <v>2</v>
      </c>
      <c r="O1396" t="s">
        <v>53</v>
      </c>
      <c r="P1396">
        <v>4</v>
      </c>
      <c r="Q1396" t="s">
        <v>41</v>
      </c>
      <c r="R1396">
        <v>9679</v>
      </c>
      <c r="S1396">
        <v>8</v>
      </c>
      <c r="T1396" t="s">
        <v>43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  <c r="AF1396">
        <f t="shared" si="273"/>
        <v>0</v>
      </c>
      <c r="AG1396">
        <f t="shared" si="274"/>
        <v>0</v>
      </c>
      <c r="AH1396" t="str">
        <f t="shared" si="275"/>
        <v>Master</v>
      </c>
      <c r="AI1396" t="str">
        <f t="shared" si="276"/>
        <v>Very High</v>
      </c>
      <c r="AJ1396" t="str">
        <f t="shared" si="277"/>
        <v>Medium</v>
      </c>
      <c r="AK1396" t="str">
        <f t="shared" si="278"/>
        <v>Junior</v>
      </c>
      <c r="AL1396" t="str">
        <f t="shared" si="279"/>
        <v>Very High</v>
      </c>
      <c r="AM1396" t="str">
        <f t="shared" si="280"/>
        <v>Medium</v>
      </c>
      <c r="AN1396" t="str">
        <f t="shared" si="281"/>
        <v>No Options</v>
      </c>
      <c r="AO1396" t="str">
        <f t="shared" si="282"/>
        <v>Better</v>
      </c>
      <c r="AP1396" t="str">
        <f t="shared" si="283"/>
        <v>25-34</v>
      </c>
      <c r="AQ1396" t="str">
        <f t="shared" si="284"/>
        <v>Upper-Mid</v>
      </c>
      <c r="AR1396" t="str">
        <f t="shared" si="285"/>
        <v>0-2 Years</v>
      </c>
    </row>
    <row r="1397" spans="1:44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t="s">
        <v>46</v>
      </c>
      <c r="L1397">
        <v>63</v>
      </c>
      <c r="M1397">
        <v>3</v>
      </c>
      <c r="N1397">
        <v>2</v>
      </c>
      <c r="O1397" t="s">
        <v>40</v>
      </c>
      <c r="P1397">
        <v>4</v>
      </c>
      <c r="Q1397" t="s">
        <v>48</v>
      </c>
      <c r="R1397">
        <v>5617</v>
      </c>
      <c r="S1397">
        <v>1</v>
      </c>
      <c r="T1397" t="s">
        <v>35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  <c r="AF1397">
        <f t="shared" si="273"/>
        <v>1</v>
      </c>
      <c r="AG1397">
        <f t="shared" si="274"/>
        <v>1</v>
      </c>
      <c r="AH1397" t="str">
        <f t="shared" si="275"/>
        <v>Master</v>
      </c>
      <c r="AI1397" t="str">
        <f t="shared" si="276"/>
        <v>Low</v>
      </c>
      <c r="AJ1397" t="str">
        <f t="shared" si="277"/>
        <v>High</v>
      </c>
      <c r="AK1397" t="str">
        <f t="shared" si="278"/>
        <v>Junior</v>
      </c>
      <c r="AL1397" t="str">
        <f t="shared" si="279"/>
        <v>Very High</v>
      </c>
      <c r="AM1397" t="str">
        <f t="shared" si="280"/>
        <v>High</v>
      </c>
      <c r="AN1397" t="str">
        <f t="shared" si="281"/>
        <v>No Options</v>
      </c>
      <c r="AO1397" t="str">
        <f t="shared" si="282"/>
        <v>Better</v>
      </c>
      <c r="AP1397" t="str">
        <f t="shared" si="283"/>
        <v>25-34</v>
      </c>
      <c r="AQ1397" t="str">
        <f t="shared" si="284"/>
        <v>Lower-Mid</v>
      </c>
      <c r="AR1397" t="str">
        <f t="shared" si="285"/>
        <v>6-10 Years</v>
      </c>
    </row>
    <row r="1398" spans="1:44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46</v>
      </c>
      <c r="L1398">
        <v>66</v>
      </c>
      <c r="M1398">
        <v>3</v>
      </c>
      <c r="N1398">
        <v>3</v>
      </c>
      <c r="O1398" t="s">
        <v>40</v>
      </c>
      <c r="P1398">
        <v>1</v>
      </c>
      <c r="Q1398" t="s">
        <v>41</v>
      </c>
      <c r="R1398">
        <v>10448</v>
      </c>
      <c r="S1398">
        <v>6</v>
      </c>
      <c r="T1398" t="s">
        <v>35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f t="shared" si="273"/>
        <v>1</v>
      </c>
      <c r="AG1398">
        <f t="shared" si="274"/>
        <v>1</v>
      </c>
      <c r="AH1398" t="str">
        <f t="shared" si="275"/>
        <v>Master</v>
      </c>
      <c r="AI1398" t="str">
        <f t="shared" si="276"/>
        <v>Low</v>
      </c>
      <c r="AJ1398" t="str">
        <f t="shared" si="277"/>
        <v>High</v>
      </c>
      <c r="AK1398" t="str">
        <f t="shared" si="278"/>
        <v>Mid-Level</v>
      </c>
      <c r="AL1398" t="str">
        <f t="shared" si="279"/>
        <v>Low</v>
      </c>
      <c r="AM1398" t="str">
        <f t="shared" si="280"/>
        <v>Medium</v>
      </c>
      <c r="AN1398" t="str">
        <f t="shared" si="281"/>
        <v>No Options</v>
      </c>
      <c r="AO1398" t="str">
        <f t="shared" si="282"/>
        <v>Good</v>
      </c>
      <c r="AP1398" t="str">
        <f t="shared" si="283"/>
        <v>45-54</v>
      </c>
      <c r="AQ1398" t="str">
        <f t="shared" si="284"/>
        <v>Upper-Mid</v>
      </c>
      <c r="AR1398" t="str">
        <f t="shared" si="285"/>
        <v>0-2 Years</v>
      </c>
    </row>
    <row r="1399" spans="1:44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67</v>
      </c>
      <c r="M1399">
        <v>3</v>
      </c>
      <c r="N1399">
        <v>2</v>
      </c>
      <c r="O1399" t="s">
        <v>47</v>
      </c>
      <c r="P1399">
        <v>3</v>
      </c>
      <c r="Q1399" t="s">
        <v>48</v>
      </c>
      <c r="R1399">
        <v>2897</v>
      </c>
      <c r="S1399">
        <v>3</v>
      </c>
      <c r="T1399" t="s">
        <v>43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  <c r="AF1399">
        <f t="shared" si="273"/>
        <v>0</v>
      </c>
      <c r="AG1399">
        <f t="shared" si="274"/>
        <v>0</v>
      </c>
      <c r="AH1399" t="str">
        <f t="shared" si="275"/>
        <v>College</v>
      </c>
      <c r="AI1399" t="str">
        <f t="shared" si="276"/>
        <v>Low</v>
      </c>
      <c r="AJ1399" t="str">
        <f t="shared" si="277"/>
        <v>High</v>
      </c>
      <c r="AK1399" t="str">
        <f t="shared" si="278"/>
        <v>Junior</v>
      </c>
      <c r="AL1399" t="str">
        <f t="shared" si="279"/>
        <v>High</v>
      </c>
      <c r="AM1399" t="str">
        <f t="shared" si="280"/>
        <v>High</v>
      </c>
      <c r="AN1399" t="str">
        <f t="shared" si="281"/>
        <v>Medium</v>
      </c>
      <c r="AO1399" t="str">
        <f t="shared" si="282"/>
        <v>Good</v>
      </c>
      <c r="AP1399" t="str">
        <f t="shared" si="283"/>
        <v>45-54</v>
      </c>
      <c r="AQ1399" t="str">
        <f t="shared" si="284"/>
        <v>Low</v>
      </c>
      <c r="AR1399" t="str">
        <f t="shared" si="285"/>
        <v>3-5 Years</v>
      </c>
    </row>
    <row r="1400" spans="1:44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46</v>
      </c>
      <c r="L1400">
        <v>36</v>
      </c>
      <c r="M1400">
        <v>3</v>
      </c>
      <c r="N1400">
        <v>2</v>
      </c>
      <c r="O1400" t="s">
        <v>54</v>
      </c>
      <c r="P1400">
        <v>3</v>
      </c>
      <c r="Q1400" t="s">
        <v>52</v>
      </c>
      <c r="R1400">
        <v>5968</v>
      </c>
      <c r="S1400">
        <v>1</v>
      </c>
      <c r="T1400" t="s">
        <v>43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  <c r="AF1400">
        <f t="shared" si="273"/>
        <v>0</v>
      </c>
      <c r="AG1400">
        <f t="shared" si="274"/>
        <v>0</v>
      </c>
      <c r="AH1400" t="str">
        <f t="shared" si="275"/>
        <v>College</v>
      </c>
      <c r="AI1400" t="str">
        <f t="shared" si="276"/>
        <v>Very High</v>
      </c>
      <c r="AJ1400" t="str">
        <f t="shared" si="277"/>
        <v>High</v>
      </c>
      <c r="AK1400" t="str">
        <f t="shared" si="278"/>
        <v>Junior</v>
      </c>
      <c r="AL1400" t="str">
        <f t="shared" si="279"/>
        <v>High</v>
      </c>
      <c r="AM1400" t="str">
        <f t="shared" si="280"/>
        <v>High</v>
      </c>
      <c r="AN1400" t="str">
        <f t="shared" si="281"/>
        <v>High</v>
      </c>
      <c r="AO1400" t="str">
        <f t="shared" si="282"/>
        <v>Better</v>
      </c>
      <c r="AP1400" t="str">
        <f t="shared" si="283"/>
        <v>25-34</v>
      </c>
      <c r="AQ1400" t="str">
        <f t="shared" si="284"/>
        <v>Lower-Mid</v>
      </c>
      <c r="AR1400" t="str">
        <f t="shared" si="285"/>
        <v>6-10 Years</v>
      </c>
    </row>
    <row r="1401" spans="1:44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46</v>
      </c>
      <c r="L1401">
        <v>30</v>
      </c>
      <c r="M1401">
        <v>3</v>
      </c>
      <c r="N1401">
        <v>3</v>
      </c>
      <c r="O1401" t="s">
        <v>54</v>
      </c>
      <c r="P1401">
        <v>3</v>
      </c>
      <c r="Q1401" t="s">
        <v>48</v>
      </c>
      <c r="R1401">
        <v>7510</v>
      </c>
      <c r="S1401">
        <v>1</v>
      </c>
      <c r="T1401" t="s">
        <v>43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  <c r="AF1401">
        <f t="shared" si="273"/>
        <v>0</v>
      </c>
      <c r="AG1401">
        <f t="shared" si="274"/>
        <v>0</v>
      </c>
      <c r="AH1401" t="str">
        <f t="shared" si="275"/>
        <v>Bachelor</v>
      </c>
      <c r="AI1401" t="str">
        <f t="shared" si="276"/>
        <v>Low</v>
      </c>
      <c r="AJ1401" t="str">
        <f t="shared" si="277"/>
        <v>High</v>
      </c>
      <c r="AK1401" t="str">
        <f t="shared" si="278"/>
        <v>Mid-Level</v>
      </c>
      <c r="AL1401" t="str">
        <f t="shared" si="279"/>
        <v>High</v>
      </c>
      <c r="AM1401" t="str">
        <f t="shared" si="280"/>
        <v>Medium</v>
      </c>
      <c r="AN1401" t="str">
        <f t="shared" si="281"/>
        <v>Low</v>
      </c>
      <c r="AO1401" t="str">
        <f t="shared" si="282"/>
        <v>Better</v>
      </c>
      <c r="AP1401" t="str">
        <f t="shared" si="283"/>
        <v>35-44</v>
      </c>
      <c r="AQ1401" t="str">
        <f t="shared" si="284"/>
        <v>Upper-Mid</v>
      </c>
      <c r="AR1401" t="str">
        <f t="shared" si="285"/>
        <v>6-10 Years</v>
      </c>
    </row>
    <row r="1402" spans="1:44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88</v>
      </c>
      <c r="M1402">
        <v>3</v>
      </c>
      <c r="N1402">
        <v>1</v>
      </c>
      <c r="O1402" t="s">
        <v>61</v>
      </c>
      <c r="P1402">
        <v>2</v>
      </c>
      <c r="Q1402" t="s">
        <v>48</v>
      </c>
      <c r="R1402">
        <v>2991</v>
      </c>
      <c r="S1402">
        <v>0</v>
      </c>
      <c r="T1402" t="s">
        <v>35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  <c r="AF1402">
        <f t="shared" si="273"/>
        <v>0</v>
      </c>
      <c r="AG1402">
        <f t="shared" si="274"/>
        <v>1</v>
      </c>
      <c r="AH1402" t="str">
        <f t="shared" si="275"/>
        <v>Master</v>
      </c>
      <c r="AI1402" t="str">
        <f t="shared" si="276"/>
        <v>Very High</v>
      </c>
      <c r="AJ1402" t="str">
        <f t="shared" si="277"/>
        <v>High</v>
      </c>
      <c r="AK1402" t="str">
        <f t="shared" si="278"/>
        <v>Entry</v>
      </c>
      <c r="AL1402" t="str">
        <f t="shared" si="279"/>
        <v>Medium</v>
      </c>
      <c r="AM1402" t="str">
        <f t="shared" si="280"/>
        <v>Medium</v>
      </c>
      <c r="AN1402" t="str">
        <f t="shared" si="281"/>
        <v>Low</v>
      </c>
      <c r="AO1402" t="str">
        <f t="shared" si="282"/>
        <v>Better</v>
      </c>
      <c r="AP1402" t="str">
        <f t="shared" si="283"/>
        <v>35-44</v>
      </c>
      <c r="AQ1402" t="str">
        <f t="shared" si="284"/>
        <v>Low</v>
      </c>
      <c r="AR1402" t="str">
        <f t="shared" si="285"/>
        <v>6-10 Years</v>
      </c>
    </row>
    <row r="1403" spans="1:44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t="s">
        <v>46</v>
      </c>
      <c r="L1403">
        <v>71</v>
      </c>
      <c r="M1403">
        <v>4</v>
      </c>
      <c r="N1403">
        <v>5</v>
      </c>
      <c r="O1403" t="s">
        <v>56</v>
      </c>
      <c r="P1403">
        <v>2</v>
      </c>
      <c r="Q1403" t="s">
        <v>48</v>
      </c>
      <c r="R1403">
        <v>19636</v>
      </c>
      <c r="S1403">
        <v>4</v>
      </c>
      <c r="T1403" t="s">
        <v>35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  <c r="AF1403">
        <f t="shared" si="273"/>
        <v>0</v>
      </c>
      <c r="AG1403">
        <f t="shared" si="274"/>
        <v>1</v>
      </c>
      <c r="AH1403" t="str">
        <f t="shared" si="275"/>
        <v>Master</v>
      </c>
      <c r="AI1403" t="str">
        <f t="shared" si="276"/>
        <v>High</v>
      </c>
      <c r="AJ1403" t="str">
        <f t="shared" si="277"/>
        <v>Very High</v>
      </c>
      <c r="AK1403" t="str">
        <f t="shared" si="278"/>
        <v>Executive</v>
      </c>
      <c r="AL1403" t="str">
        <f t="shared" si="279"/>
        <v>Medium</v>
      </c>
      <c r="AM1403" t="str">
        <f t="shared" si="280"/>
        <v>Low</v>
      </c>
      <c r="AN1403" t="str">
        <f t="shared" si="281"/>
        <v>Low</v>
      </c>
      <c r="AO1403" t="str">
        <f t="shared" si="282"/>
        <v>Better</v>
      </c>
      <c r="AP1403" t="str">
        <f t="shared" si="283"/>
        <v>55+</v>
      </c>
      <c r="AQ1403" t="str">
        <f t="shared" si="284"/>
        <v>High</v>
      </c>
      <c r="AR1403" t="str">
        <f t="shared" si="285"/>
        <v>6-10 Years</v>
      </c>
    </row>
    <row r="1404" spans="1:44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39</v>
      </c>
      <c r="L1404">
        <v>59</v>
      </c>
      <c r="M1404">
        <v>1</v>
      </c>
      <c r="N1404">
        <v>1</v>
      </c>
      <c r="O1404" t="s">
        <v>50</v>
      </c>
      <c r="P1404">
        <v>4</v>
      </c>
      <c r="Q1404" t="s">
        <v>52</v>
      </c>
      <c r="R1404">
        <v>1129</v>
      </c>
      <c r="S1404">
        <v>1</v>
      </c>
      <c r="T1404" t="s">
        <v>35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  <c r="AF1404">
        <f t="shared" si="273"/>
        <v>0</v>
      </c>
      <c r="AG1404">
        <f t="shared" si="274"/>
        <v>1</v>
      </c>
      <c r="AH1404" t="str">
        <f t="shared" si="275"/>
        <v>Below College</v>
      </c>
      <c r="AI1404" t="str">
        <f t="shared" si="276"/>
        <v>Very High</v>
      </c>
      <c r="AJ1404" t="str">
        <f t="shared" si="277"/>
        <v>Low</v>
      </c>
      <c r="AK1404" t="str">
        <f t="shared" si="278"/>
        <v>Entry</v>
      </c>
      <c r="AL1404" t="str">
        <f t="shared" si="279"/>
        <v>Very High</v>
      </c>
      <c r="AM1404" t="str">
        <f t="shared" si="280"/>
        <v>High</v>
      </c>
      <c r="AN1404" t="str">
        <f t="shared" si="281"/>
        <v>High</v>
      </c>
      <c r="AO1404" t="str">
        <f t="shared" si="282"/>
        <v>Better</v>
      </c>
      <c r="AP1404" t="str">
        <f t="shared" si="283"/>
        <v>25-34</v>
      </c>
      <c r="AQ1404" t="str">
        <f t="shared" si="284"/>
        <v>Low</v>
      </c>
      <c r="AR1404" t="str">
        <f t="shared" si="285"/>
        <v>0-2 Years</v>
      </c>
    </row>
    <row r="1405" spans="1:44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t="s">
        <v>46</v>
      </c>
      <c r="L1405">
        <v>77</v>
      </c>
      <c r="M1405">
        <v>3</v>
      </c>
      <c r="N1405">
        <v>4</v>
      </c>
      <c r="O1405" t="s">
        <v>40</v>
      </c>
      <c r="P1405">
        <v>1</v>
      </c>
      <c r="Q1405" t="s">
        <v>41</v>
      </c>
      <c r="R1405">
        <v>13341</v>
      </c>
      <c r="S1405">
        <v>0</v>
      </c>
      <c r="T1405" t="s">
        <v>43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  <c r="AF1405">
        <f t="shared" si="273"/>
        <v>0</v>
      </c>
      <c r="AG1405">
        <f t="shared" si="274"/>
        <v>0</v>
      </c>
      <c r="AH1405" t="str">
        <f t="shared" si="275"/>
        <v>Master</v>
      </c>
      <c r="AI1405" t="str">
        <f t="shared" si="276"/>
        <v>Medium</v>
      </c>
      <c r="AJ1405" t="str">
        <f t="shared" si="277"/>
        <v>High</v>
      </c>
      <c r="AK1405" t="str">
        <f t="shared" si="278"/>
        <v>Senior</v>
      </c>
      <c r="AL1405" t="str">
        <f t="shared" si="279"/>
        <v>Low</v>
      </c>
      <c r="AM1405" t="str">
        <f t="shared" si="280"/>
        <v>Low</v>
      </c>
      <c r="AN1405" t="str">
        <f t="shared" si="281"/>
        <v>No Options</v>
      </c>
      <c r="AO1405" t="str">
        <f t="shared" si="282"/>
        <v>Better</v>
      </c>
      <c r="AP1405" t="str">
        <f t="shared" si="283"/>
        <v>35-44</v>
      </c>
      <c r="AQ1405" t="str">
        <f t="shared" si="284"/>
        <v>High</v>
      </c>
      <c r="AR1405" t="str">
        <f t="shared" si="285"/>
        <v>11-20 Years</v>
      </c>
    </row>
    <row r="1406" spans="1:44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46</v>
      </c>
      <c r="L1406">
        <v>37</v>
      </c>
      <c r="M1406">
        <v>2</v>
      </c>
      <c r="N1406">
        <v>2</v>
      </c>
      <c r="O1406" t="s">
        <v>47</v>
      </c>
      <c r="P1406">
        <v>3</v>
      </c>
      <c r="Q1406" t="s">
        <v>41</v>
      </c>
      <c r="R1406">
        <v>4332</v>
      </c>
      <c r="S1406">
        <v>1</v>
      </c>
      <c r="T1406" t="s">
        <v>43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  <c r="AF1406">
        <f t="shared" si="273"/>
        <v>0</v>
      </c>
      <c r="AG1406">
        <f t="shared" si="274"/>
        <v>0</v>
      </c>
      <c r="AH1406" t="str">
        <f t="shared" si="275"/>
        <v>College</v>
      </c>
      <c r="AI1406" t="str">
        <f t="shared" si="276"/>
        <v>Very High</v>
      </c>
      <c r="AJ1406" t="str">
        <f t="shared" si="277"/>
        <v>Medium</v>
      </c>
      <c r="AK1406" t="str">
        <f t="shared" si="278"/>
        <v>Junior</v>
      </c>
      <c r="AL1406" t="str">
        <f t="shared" si="279"/>
        <v>High</v>
      </c>
      <c r="AM1406" t="str">
        <f t="shared" si="280"/>
        <v>Very High</v>
      </c>
      <c r="AN1406" t="str">
        <f t="shared" si="281"/>
        <v>No Options</v>
      </c>
      <c r="AO1406" t="str">
        <f t="shared" si="282"/>
        <v>Better</v>
      </c>
      <c r="AP1406" t="str">
        <f t="shared" si="283"/>
        <v>35-44</v>
      </c>
      <c r="AQ1406" t="str">
        <f t="shared" si="284"/>
        <v>Lower-Mid</v>
      </c>
      <c r="AR1406" t="str">
        <f t="shared" si="285"/>
        <v>11-20 Years</v>
      </c>
    </row>
    <row r="1407" spans="1:44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39</v>
      </c>
      <c r="L1407">
        <v>40</v>
      </c>
      <c r="M1407">
        <v>3</v>
      </c>
      <c r="N1407">
        <v>3</v>
      </c>
      <c r="O1407" t="s">
        <v>58</v>
      </c>
      <c r="P1407">
        <v>3</v>
      </c>
      <c r="Q1407" t="s">
        <v>48</v>
      </c>
      <c r="R1407">
        <v>11031</v>
      </c>
      <c r="S1407">
        <v>4</v>
      </c>
      <c r="T1407" t="s">
        <v>43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  <c r="AF1407">
        <f t="shared" si="273"/>
        <v>0</v>
      </c>
      <c r="AG1407">
        <f t="shared" si="274"/>
        <v>0</v>
      </c>
      <c r="AH1407" t="str">
        <f t="shared" si="275"/>
        <v>Bachelor</v>
      </c>
      <c r="AI1407" t="str">
        <f t="shared" si="276"/>
        <v>High</v>
      </c>
      <c r="AJ1407" t="str">
        <f t="shared" si="277"/>
        <v>High</v>
      </c>
      <c r="AK1407" t="str">
        <f t="shared" si="278"/>
        <v>Mid-Level</v>
      </c>
      <c r="AL1407" t="str">
        <f t="shared" si="279"/>
        <v>High</v>
      </c>
      <c r="AM1407" t="str">
        <f t="shared" si="280"/>
        <v>High</v>
      </c>
      <c r="AN1407" t="str">
        <f t="shared" si="281"/>
        <v>Low</v>
      </c>
      <c r="AO1407" t="str">
        <f t="shared" si="282"/>
        <v>Best</v>
      </c>
      <c r="AP1407" t="str">
        <f t="shared" si="283"/>
        <v>25-34</v>
      </c>
      <c r="AQ1407" t="str">
        <f t="shared" si="284"/>
        <v>Upper-Mid</v>
      </c>
      <c r="AR1407" t="str">
        <f t="shared" si="285"/>
        <v>11-20 Years</v>
      </c>
    </row>
    <row r="1408" spans="1:44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39</v>
      </c>
      <c r="L1408">
        <v>77</v>
      </c>
      <c r="M1408">
        <v>3</v>
      </c>
      <c r="N1408">
        <v>2</v>
      </c>
      <c r="O1408" t="s">
        <v>53</v>
      </c>
      <c r="P1408">
        <v>1</v>
      </c>
      <c r="Q1408" t="s">
        <v>41</v>
      </c>
      <c r="R1408">
        <v>4440</v>
      </c>
      <c r="S1408">
        <v>6</v>
      </c>
      <c r="T1408" t="s">
        <v>35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  <c r="AF1408">
        <f t="shared" si="273"/>
        <v>0</v>
      </c>
      <c r="AG1408">
        <f t="shared" si="274"/>
        <v>1</v>
      </c>
      <c r="AH1408" t="str">
        <f t="shared" si="275"/>
        <v>Bachelor</v>
      </c>
      <c r="AI1408" t="str">
        <f t="shared" si="276"/>
        <v>High</v>
      </c>
      <c r="AJ1408" t="str">
        <f t="shared" si="277"/>
        <v>High</v>
      </c>
      <c r="AK1408" t="str">
        <f t="shared" si="278"/>
        <v>Junior</v>
      </c>
      <c r="AL1408" t="str">
        <f t="shared" si="279"/>
        <v>Low</v>
      </c>
      <c r="AM1408" t="str">
        <f t="shared" si="280"/>
        <v>Very High</v>
      </c>
      <c r="AN1408" t="str">
        <f t="shared" si="281"/>
        <v>No Options</v>
      </c>
      <c r="AO1408" t="str">
        <f t="shared" si="282"/>
        <v>Better</v>
      </c>
      <c r="AP1408" t="str">
        <f t="shared" si="283"/>
        <v>45-54</v>
      </c>
      <c r="AQ1408" t="str">
        <f t="shared" si="284"/>
        <v>Lower-Mid</v>
      </c>
      <c r="AR1408" t="str">
        <f t="shared" si="285"/>
        <v>3-5 Years</v>
      </c>
    </row>
    <row r="1409" spans="1:44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46</v>
      </c>
      <c r="L1409">
        <v>45</v>
      </c>
      <c r="M1409">
        <v>2</v>
      </c>
      <c r="N1409">
        <v>2</v>
      </c>
      <c r="O1409" t="s">
        <v>54</v>
      </c>
      <c r="P1409">
        <v>3</v>
      </c>
      <c r="Q1409" t="s">
        <v>41</v>
      </c>
      <c r="R1409">
        <v>4617</v>
      </c>
      <c r="S1409">
        <v>1</v>
      </c>
      <c r="T1409" t="s">
        <v>43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  <c r="AF1409">
        <f t="shared" si="273"/>
        <v>0</v>
      </c>
      <c r="AG1409">
        <f t="shared" si="274"/>
        <v>0</v>
      </c>
      <c r="AH1409" t="str">
        <f t="shared" si="275"/>
        <v>College</v>
      </c>
      <c r="AI1409" t="str">
        <f t="shared" si="276"/>
        <v>Medium</v>
      </c>
      <c r="AJ1409" t="str">
        <f t="shared" si="277"/>
        <v>Medium</v>
      </c>
      <c r="AK1409" t="str">
        <f t="shared" si="278"/>
        <v>Junior</v>
      </c>
      <c r="AL1409" t="str">
        <f t="shared" si="279"/>
        <v>High</v>
      </c>
      <c r="AM1409" t="str">
        <f t="shared" si="280"/>
        <v>Medium</v>
      </c>
      <c r="AN1409" t="str">
        <f t="shared" si="281"/>
        <v>No Options</v>
      </c>
      <c r="AO1409" t="str">
        <f t="shared" si="282"/>
        <v>Good</v>
      </c>
      <c r="AP1409" t="str">
        <f t="shared" si="283"/>
        <v>Under 25</v>
      </c>
      <c r="AQ1409" t="str">
        <f t="shared" si="284"/>
        <v>Lower-Mid</v>
      </c>
      <c r="AR1409" t="str">
        <f t="shared" si="285"/>
        <v>3-5 Years</v>
      </c>
    </row>
    <row r="1410" spans="1:44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78</v>
      </c>
      <c r="M1410">
        <v>3</v>
      </c>
      <c r="N1410">
        <v>1</v>
      </c>
      <c r="O1410" t="s">
        <v>50</v>
      </c>
      <c r="P1410">
        <v>4</v>
      </c>
      <c r="Q1410" t="s">
        <v>41</v>
      </c>
      <c r="R1410">
        <v>2647</v>
      </c>
      <c r="S1410">
        <v>1</v>
      </c>
      <c r="T1410" t="s">
        <v>43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  <c r="AF1410">
        <f t="shared" si="273"/>
        <v>0</v>
      </c>
      <c r="AG1410">
        <f t="shared" si="274"/>
        <v>0</v>
      </c>
      <c r="AH1410" t="str">
        <f t="shared" si="275"/>
        <v>College</v>
      </c>
      <c r="AI1410" t="str">
        <f t="shared" si="276"/>
        <v>Very High</v>
      </c>
      <c r="AJ1410" t="str">
        <f t="shared" si="277"/>
        <v>High</v>
      </c>
      <c r="AK1410" t="str">
        <f t="shared" si="278"/>
        <v>Entry</v>
      </c>
      <c r="AL1410" t="str">
        <f t="shared" si="279"/>
        <v>Very High</v>
      </c>
      <c r="AM1410" t="str">
        <f t="shared" si="280"/>
        <v>High</v>
      </c>
      <c r="AN1410" t="str">
        <f t="shared" si="281"/>
        <v>No Options</v>
      </c>
      <c r="AO1410" t="str">
        <f t="shared" si="282"/>
        <v>Best</v>
      </c>
      <c r="AP1410" t="str">
        <f t="shared" si="283"/>
        <v>Under 25</v>
      </c>
      <c r="AQ1410" t="str">
        <f t="shared" si="284"/>
        <v>Low</v>
      </c>
      <c r="AR1410" t="str">
        <f t="shared" si="285"/>
        <v>3-5 Years</v>
      </c>
    </row>
    <row r="1411" spans="1:44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t="s">
        <v>39</v>
      </c>
      <c r="L1411">
        <v>73</v>
      </c>
      <c r="M1411">
        <v>3</v>
      </c>
      <c r="N1411">
        <v>2</v>
      </c>
      <c r="O1411" t="s">
        <v>50</v>
      </c>
      <c r="P1411">
        <v>3</v>
      </c>
      <c r="Q1411" t="s">
        <v>48</v>
      </c>
      <c r="R1411">
        <v>6323</v>
      </c>
      <c r="S1411">
        <v>1</v>
      </c>
      <c r="T1411" t="s">
        <v>43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  <c r="AF1411">
        <f t="shared" ref="AF1411:AF1471" si="286">IF(B1411="Yes",1,0)</f>
        <v>0</v>
      </c>
      <c r="AG1411">
        <f t="shared" ref="AG1411:AG1471" si="287">IF(T1411="Yes",1,0)</f>
        <v>0</v>
      </c>
      <c r="AH1411" t="str">
        <f t="shared" ref="AH1411:AH1471" si="288">CHOOSE(G1411,"Below College","College","Bachelor","Master","Doctor")</f>
        <v>Bachelor</v>
      </c>
      <c r="AI1411" t="str">
        <f t="shared" ref="AI1411:AI1471" si="289">CHOOSE(J1411,"Low","Medium","High","Very High")</f>
        <v>Very High</v>
      </c>
      <c r="AJ1411" t="str">
        <f t="shared" ref="AJ1411:AJ1471" si="290">CHOOSE(M1411,"Low","Medium","High","Very High")</f>
        <v>High</v>
      </c>
      <c r="AK1411" t="str">
        <f t="shared" ref="AK1411:AK1471" si="291">CHOOSE(N1411,"Entry","Junior","Mid-Level","Senior","Executive")</f>
        <v>Junior</v>
      </c>
      <c r="AL1411" t="str">
        <f t="shared" ref="AL1411:AL1471" si="292">CHOOSE(P1411,"Low","Medium","High","Very High")</f>
        <v>High</v>
      </c>
      <c r="AM1411" t="str">
        <f t="shared" ref="AM1411:AM1471" si="293">CHOOSE(W1411,"Low","Medium","High","Very High")</f>
        <v>Low</v>
      </c>
      <c r="AN1411" t="str">
        <f t="shared" ref="AN1411:AN1471" si="294">CHOOSE(X1411+1,"No Options","Low","Medium","High")</f>
        <v>Low</v>
      </c>
      <c r="AO1411" t="str">
        <f t="shared" ref="AO1411:AO1471" si="295">CHOOSE(AA1411,"Bad","Good","Better","Best")</f>
        <v>Best</v>
      </c>
      <c r="AP1411" t="str">
        <f t="shared" ref="AP1411:AP1471" si="296">IF(A1411&lt;=24,"Under 25",IF(A1411&lt;=34,"25-34",IF(A1411&lt;=44,"35-44",IF(A1411&lt;=54,"45-54","55+"))))</f>
        <v>35-44</v>
      </c>
      <c r="AQ1411" t="str">
        <f t="shared" ref="AQ1411:AQ1471" si="297">IF(R1411&lt;3000,"Low",IF(R1411&lt;7000,"Lower-Mid",IF(R1411&lt;13000,"Upper-Mid","High")))</f>
        <v>Lower-Mid</v>
      </c>
      <c r="AR1411" t="str">
        <f t="shared" ref="AR1411:AR1471" si="298">IF(AB1411&lt;=2,"0-2 Years",IF(AB1411&lt;=5,"3-5 Years",IF(AB1411&lt;=10,"6-10 Years",IF(AB1411&lt;=20,"11-20 Years","20+ Years"))))</f>
        <v>6-10 Years</v>
      </c>
    </row>
    <row r="1412" spans="1:44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t="s">
        <v>39</v>
      </c>
      <c r="L1412">
        <v>92</v>
      </c>
      <c r="M1412">
        <v>3</v>
      </c>
      <c r="N1412">
        <v>2</v>
      </c>
      <c r="O1412" t="s">
        <v>40</v>
      </c>
      <c r="P1412">
        <v>2</v>
      </c>
      <c r="Q1412" t="s">
        <v>48</v>
      </c>
      <c r="R1412">
        <v>5677</v>
      </c>
      <c r="S1412">
        <v>3</v>
      </c>
      <c r="T1412" t="s">
        <v>43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  <c r="AF1412">
        <f t="shared" si="286"/>
        <v>0</v>
      </c>
      <c r="AG1412">
        <f t="shared" si="287"/>
        <v>0</v>
      </c>
      <c r="AH1412" t="str">
        <f t="shared" si="288"/>
        <v>College</v>
      </c>
      <c r="AI1412" t="str">
        <f t="shared" si="289"/>
        <v>Medium</v>
      </c>
      <c r="AJ1412" t="str">
        <f t="shared" si="290"/>
        <v>High</v>
      </c>
      <c r="AK1412" t="str">
        <f t="shared" si="291"/>
        <v>Junior</v>
      </c>
      <c r="AL1412" t="str">
        <f t="shared" si="292"/>
        <v>Medium</v>
      </c>
      <c r="AM1412" t="str">
        <f t="shared" si="293"/>
        <v>High</v>
      </c>
      <c r="AN1412" t="str">
        <f t="shared" si="294"/>
        <v>Low</v>
      </c>
      <c r="AO1412" t="str">
        <f t="shared" si="295"/>
        <v>Better</v>
      </c>
      <c r="AP1412" t="str">
        <f t="shared" si="296"/>
        <v>35-44</v>
      </c>
      <c r="AQ1412" t="str">
        <f t="shared" si="297"/>
        <v>Lower-Mid</v>
      </c>
      <c r="AR1412" t="str">
        <f t="shared" si="298"/>
        <v>11-20 Years</v>
      </c>
    </row>
    <row r="1413" spans="1:44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t="s">
        <v>39</v>
      </c>
      <c r="L1413">
        <v>82</v>
      </c>
      <c r="M1413">
        <v>3</v>
      </c>
      <c r="N1413">
        <v>1</v>
      </c>
      <c r="O1413" t="s">
        <v>61</v>
      </c>
      <c r="P1413">
        <v>2</v>
      </c>
      <c r="Q1413" t="s">
        <v>48</v>
      </c>
      <c r="R1413">
        <v>2187</v>
      </c>
      <c r="S1413">
        <v>4</v>
      </c>
      <c r="T1413" t="s">
        <v>43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  <c r="AF1413">
        <f t="shared" si="286"/>
        <v>0</v>
      </c>
      <c r="AG1413">
        <f t="shared" si="287"/>
        <v>0</v>
      </c>
      <c r="AH1413" t="str">
        <f t="shared" si="288"/>
        <v>Bachelor</v>
      </c>
      <c r="AI1413" t="str">
        <f t="shared" si="289"/>
        <v>High</v>
      </c>
      <c r="AJ1413" t="str">
        <f t="shared" si="290"/>
        <v>High</v>
      </c>
      <c r="AK1413" t="str">
        <f t="shared" si="291"/>
        <v>Entry</v>
      </c>
      <c r="AL1413" t="str">
        <f t="shared" si="292"/>
        <v>Medium</v>
      </c>
      <c r="AM1413" t="str">
        <f t="shared" si="293"/>
        <v>High</v>
      </c>
      <c r="AN1413" t="str">
        <f t="shared" si="294"/>
        <v>No Options</v>
      </c>
      <c r="AO1413" t="str">
        <f t="shared" si="295"/>
        <v>Better</v>
      </c>
      <c r="AP1413" t="str">
        <f t="shared" si="296"/>
        <v>25-34</v>
      </c>
      <c r="AQ1413" t="str">
        <f t="shared" si="297"/>
        <v>Low</v>
      </c>
      <c r="AR1413" t="str">
        <f t="shared" si="298"/>
        <v>0-2 Years</v>
      </c>
    </row>
    <row r="1414" spans="1:44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46</v>
      </c>
      <c r="L1414">
        <v>76</v>
      </c>
      <c r="M1414">
        <v>3</v>
      </c>
      <c r="N1414">
        <v>1</v>
      </c>
      <c r="O1414" t="s">
        <v>50</v>
      </c>
      <c r="P1414">
        <v>2</v>
      </c>
      <c r="Q1414" t="s">
        <v>48</v>
      </c>
      <c r="R1414">
        <v>3748</v>
      </c>
      <c r="S1414">
        <v>1</v>
      </c>
      <c r="T1414" t="s">
        <v>43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  <c r="AF1414">
        <f t="shared" si="286"/>
        <v>0</v>
      </c>
      <c r="AG1414">
        <f t="shared" si="287"/>
        <v>0</v>
      </c>
      <c r="AH1414" t="str">
        <f t="shared" si="288"/>
        <v>College</v>
      </c>
      <c r="AI1414" t="str">
        <f t="shared" si="289"/>
        <v>Very High</v>
      </c>
      <c r="AJ1414" t="str">
        <f t="shared" si="290"/>
        <v>High</v>
      </c>
      <c r="AK1414" t="str">
        <f t="shared" si="291"/>
        <v>Entry</v>
      </c>
      <c r="AL1414" t="str">
        <f t="shared" si="292"/>
        <v>Medium</v>
      </c>
      <c r="AM1414" t="str">
        <f t="shared" si="293"/>
        <v>High</v>
      </c>
      <c r="AN1414" t="str">
        <f t="shared" si="294"/>
        <v>No Options</v>
      </c>
      <c r="AO1414" t="str">
        <f t="shared" si="295"/>
        <v>Good</v>
      </c>
      <c r="AP1414" t="str">
        <f t="shared" si="296"/>
        <v>25-34</v>
      </c>
      <c r="AQ1414" t="str">
        <f t="shared" si="297"/>
        <v>Lower-Mid</v>
      </c>
      <c r="AR1414" t="str">
        <f t="shared" si="298"/>
        <v>11-20 Years</v>
      </c>
    </row>
    <row r="1415" spans="1:44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57</v>
      </c>
      <c r="M1415">
        <v>3</v>
      </c>
      <c r="N1415">
        <v>1</v>
      </c>
      <c r="O1415" t="s">
        <v>50</v>
      </c>
      <c r="P1415">
        <v>3</v>
      </c>
      <c r="Q1415" t="s">
        <v>52</v>
      </c>
      <c r="R1415">
        <v>3977</v>
      </c>
      <c r="S1415">
        <v>6</v>
      </c>
      <c r="T1415" t="s">
        <v>35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  <c r="AF1415">
        <f t="shared" si="286"/>
        <v>0</v>
      </c>
      <c r="AG1415">
        <f t="shared" si="287"/>
        <v>1</v>
      </c>
      <c r="AH1415" t="str">
        <f t="shared" si="288"/>
        <v>Below College</v>
      </c>
      <c r="AI1415" t="str">
        <f t="shared" si="289"/>
        <v>Very High</v>
      </c>
      <c r="AJ1415" t="str">
        <f t="shared" si="290"/>
        <v>High</v>
      </c>
      <c r="AK1415" t="str">
        <f t="shared" si="291"/>
        <v>Entry</v>
      </c>
      <c r="AL1415" t="str">
        <f t="shared" si="292"/>
        <v>High</v>
      </c>
      <c r="AM1415" t="str">
        <f t="shared" si="293"/>
        <v>High</v>
      </c>
      <c r="AN1415" t="str">
        <f t="shared" si="294"/>
        <v>Low</v>
      </c>
      <c r="AO1415" t="str">
        <f t="shared" si="295"/>
        <v>Good</v>
      </c>
      <c r="AP1415" t="str">
        <f t="shared" si="296"/>
        <v>25-34</v>
      </c>
      <c r="AQ1415" t="str">
        <f t="shared" si="297"/>
        <v>Lower-Mid</v>
      </c>
      <c r="AR1415" t="str">
        <f t="shared" si="298"/>
        <v>0-2 Years</v>
      </c>
    </row>
    <row r="1416" spans="1:44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46</v>
      </c>
      <c r="L1416">
        <v>84</v>
      </c>
      <c r="M1416">
        <v>3</v>
      </c>
      <c r="N1416">
        <v>3</v>
      </c>
      <c r="O1416" t="s">
        <v>54</v>
      </c>
      <c r="P1416">
        <v>3</v>
      </c>
      <c r="Q1416" t="s">
        <v>41</v>
      </c>
      <c r="R1416">
        <v>8633</v>
      </c>
      <c r="S1416">
        <v>2</v>
      </c>
      <c r="T1416" t="s">
        <v>43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  <c r="AF1416">
        <f t="shared" si="286"/>
        <v>0</v>
      </c>
      <c r="AG1416">
        <f t="shared" si="287"/>
        <v>0</v>
      </c>
      <c r="AH1416" t="str">
        <f t="shared" si="288"/>
        <v>Bachelor</v>
      </c>
      <c r="AI1416" t="str">
        <f t="shared" si="289"/>
        <v>Low</v>
      </c>
      <c r="AJ1416" t="str">
        <f t="shared" si="290"/>
        <v>High</v>
      </c>
      <c r="AK1416" t="str">
        <f t="shared" si="291"/>
        <v>Mid-Level</v>
      </c>
      <c r="AL1416" t="str">
        <f t="shared" si="292"/>
        <v>High</v>
      </c>
      <c r="AM1416" t="str">
        <f t="shared" si="293"/>
        <v>Medium</v>
      </c>
      <c r="AN1416" t="str">
        <f t="shared" si="294"/>
        <v>No Options</v>
      </c>
      <c r="AO1416" t="str">
        <f t="shared" si="295"/>
        <v>Better</v>
      </c>
      <c r="AP1416" t="str">
        <f t="shared" si="296"/>
        <v>45-54</v>
      </c>
      <c r="AQ1416" t="str">
        <f t="shared" si="297"/>
        <v>Upper-Mid</v>
      </c>
      <c r="AR1416" t="str">
        <f t="shared" si="298"/>
        <v>11-20 Years</v>
      </c>
    </row>
    <row r="1417" spans="1:44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46</v>
      </c>
      <c r="L1417">
        <v>59</v>
      </c>
      <c r="M1417">
        <v>2</v>
      </c>
      <c r="N1417">
        <v>1</v>
      </c>
      <c r="O1417" t="s">
        <v>50</v>
      </c>
      <c r="P1417">
        <v>3</v>
      </c>
      <c r="Q1417" t="s">
        <v>52</v>
      </c>
      <c r="R1417">
        <v>2008</v>
      </c>
      <c r="S1417">
        <v>1</v>
      </c>
      <c r="T1417" t="s">
        <v>43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  <c r="AF1417">
        <f t="shared" si="286"/>
        <v>0</v>
      </c>
      <c r="AG1417">
        <f t="shared" si="287"/>
        <v>0</v>
      </c>
      <c r="AH1417" t="str">
        <f t="shared" si="288"/>
        <v>College</v>
      </c>
      <c r="AI1417" t="str">
        <f t="shared" si="289"/>
        <v>Medium</v>
      </c>
      <c r="AJ1417" t="str">
        <f t="shared" si="290"/>
        <v>Medium</v>
      </c>
      <c r="AK1417" t="str">
        <f t="shared" si="291"/>
        <v>Entry</v>
      </c>
      <c r="AL1417" t="str">
        <f t="shared" si="292"/>
        <v>High</v>
      </c>
      <c r="AM1417" t="str">
        <f t="shared" si="293"/>
        <v>High</v>
      </c>
      <c r="AN1417" t="str">
        <f t="shared" si="294"/>
        <v>High</v>
      </c>
      <c r="AO1417" t="str">
        <f t="shared" si="295"/>
        <v>Good</v>
      </c>
      <c r="AP1417" t="str">
        <f t="shared" si="296"/>
        <v>25-34</v>
      </c>
      <c r="AQ1417" t="str">
        <f t="shared" si="297"/>
        <v>Low</v>
      </c>
      <c r="AR1417" t="str">
        <f t="shared" si="298"/>
        <v>0-2 Years</v>
      </c>
    </row>
    <row r="1418" spans="1:44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46</v>
      </c>
      <c r="L1418">
        <v>86</v>
      </c>
      <c r="M1418">
        <v>3</v>
      </c>
      <c r="N1418">
        <v>2</v>
      </c>
      <c r="O1418" t="s">
        <v>40</v>
      </c>
      <c r="P1418">
        <v>2</v>
      </c>
      <c r="Q1418" t="s">
        <v>48</v>
      </c>
      <c r="R1418">
        <v>4440</v>
      </c>
      <c r="S1418">
        <v>0</v>
      </c>
      <c r="T1418" t="s">
        <v>43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  <c r="AF1418">
        <f t="shared" si="286"/>
        <v>0</v>
      </c>
      <c r="AG1418">
        <f t="shared" si="287"/>
        <v>0</v>
      </c>
      <c r="AH1418" t="str">
        <f t="shared" si="288"/>
        <v>Master</v>
      </c>
      <c r="AI1418" t="str">
        <f t="shared" si="289"/>
        <v>Very High</v>
      </c>
      <c r="AJ1418" t="str">
        <f t="shared" si="290"/>
        <v>High</v>
      </c>
      <c r="AK1418" t="str">
        <f t="shared" si="291"/>
        <v>Junior</v>
      </c>
      <c r="AL1418" t="str">
        <f t="shared" si="292"/>
        <v>Medium</v>
      </c>
      <c r="AM1418" t="str">
        <f t="shared" si="293"/>
        <v>Low</v>
      </c>
      <c r="AN1418" t="str">
        <f t="shared" si="294"/>
        <v>Medium</v>
      </c>
      <c r="AO1418" t="str">
        <f t="shared" si="295"/>
        <v>Better</v>
      </c>
      <c r="AP1418" t="str">
        <f t="shared" si="296"/>
        <v>35-44</v>
      </c>
      <c r="AQ1418" t="str">
        <f t="shared" si="297"/>
        <v>Lower-Mid</v>
      </c>
      <c r="AR1418" t="str">
        <f t="shared" si="298"/>
        <v>11-20 Years</v>
      </c>
    </row>
    <row r="1419" spans="1:44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46</v>
      </c>
      <c r="L1419">
        <v>54</v>
      </c>
      <c r="M1419">
        <v>3</v>
      </c>
      <c r="N1419">
        <v>1</v>
      </c>
      <c r="O1419" t="s">
        <v>57</v>
      </c>
      <c r="P1419">
        <v>3</v>
      </c>
      <c r="Q1419" t="s">
        <v>48</v>
      </c>
      <c r="R1419">
        <v>3067</v>
      </c>
      <c r="S1419">
        <v>0</v>
      </c>
      <c r="T1419" t="s">
        <v>43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  <c r="AF1419">
        <f t="shared" si="286"/>
        <v>0</v>
      </c>
      <c r="AG1419">
        <f t="shared" si="287"/>
        <v>0</v>
      </c>
      <c r="AH1419" t="str">
        <f t="shared" si="288"/>
        <v>College</v>
      </c>
      <c r="AI1419" t="str">
        <f t="shared" si="289"/>
        <v>Low</v>
      </c>
      <c r="AJ1419" t="str">
        <f t="shared" si="290"/>
        <v>High</v>
      </c>
      <c r="AK1419" t="str">
        <f t="shared" si="291"/>
        <v>Entry</v>
      </c>
      <c r="AL1419" t="str">
        <f t="shared" si="292"/>
        <v>High</v>
      </c>
      <c r="AM1419" t="str">
        <f t="shared" si="293"/>
        <v>High</v>
      </c>
      <c r="AN1419" t="str">
        <f t="shared" si="294"/>
        <v>Low</v>
      </c>
      <c r="AO1419" t="str">
        <f t="shared" si="295"/>
        <v>Better</v>
      </c>
      <c r="AP1419" t="str">
        <f t="shared" si="296"/>
        <v>25-34</v>
      </c>
      <c r="AQ1419" t="str">
        <f t="shared" si="297"/>
        <v>Lower-Mid</v>
      </c>
      <c r="AR1419" t="str">
        <f t="shared" si="298"/>
        <v>0-2 Years</v>
      </c>
    </row>
    <row r="1420" spans="1:44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46</v>
      </c>
      <c r="L1420">
        <v>72</v>
      </c>
      <c r="M1420">
        <v>2</v>
      </c>
      <c r="N1420">
        <v>2</v>
      </c>
      <c r="O1420" t="s">
        <v>53</v>
      </c>
      <c r="P1420">
        <v>3</v>
      </c>
      <c r="Q1420" t="s">
        <v>48</v>
      </c>
      <c r="R1420">
        <v>5321</v>
      </c>
      <c r="S1420">
        <v>2</v>
      </c>
      <c r="T1420" t="s">
        <v>43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  <c r="AF1420">
        <f t="shared" si="286"/>
        <v>0</v>
      </c>
      <c r="AG1420">
        <f t="shared" si="287"/>
        <v>0</v>
      </c>
      <c r="AH1420" t="str">
        <f t="shared" si="288"/>
        <v>Master</v>
      </c>
      <c r="AI1420" t="str">
        <f t="shared" si="289"/>
        <v>Low</v>
      </c>
      <c r="AJ1420" t="str">
        <f t="shared" si="290"/>
        <v>Medium</v>
      </c>
      <c r="AK1420" t="str">
        <f t="shared" si="291"/>
        <v>Junior</v>
      </c>
      <c r="AL1420" t="str">
        <f t="shared" si="292"/>
        <v>High</v>
      </c>
      <c r="AM1420" t="str">
        <f t="shared" si="293"/>
        <v>Very High</v>
      </c>
      <c r="AN1420" t="str">
        <f t="shared" si="294"/>
        <v>Low</v>
      </c>
      <c r="AO1420" t="str">
        <f t="shared" si="295"/>
        <v>Better</v>
      </c>
      <c r="AP1420" t="str">
        <f t="shared" si="296"/>
        <v>35-44</v>
      </c>
      <c r="AQ1420" t="str">
        <f t="shared" si="297"/>
        <v>Lower-Mid</v>
      </c>
      <c r="AR1420" t="str">
        <f t="shared" si="298"/>
        <v>6-10 Years</v>
      </c>
    </row>
    <row r="1421" spans="1:44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46</v>
      </c>
      <c r="L1421">
        <v>35</v>
      </c>
      <c r="M1421">
        <v>3</v>
      </c>
      <c r="N1421">
        <v>2</v>
      </c>
      <c r="O1421" t="s">
        <v>47</v>
      </c>
      <c r="P1421">
        <v>1</v>
      </c>
      <c r="Q1421" t="s">
        <v>52</v>
      </c>
      <c r="R1421">
        <v>5410</v>
      </c>
      <c r="S1421">
        <v>6</v>
      </c>
      <c r="T1421" t="s">
        <v>35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  <c r="AF1421">
        <f t="shared" si="286"/>
        <v>0</v>
      </c>
      <c r="AG1421">
        <f t="shared" si="287"/>
        <v>1</v>
      </c>
      <c r="AH1421" t="str">
        <f t="shared" si="288"/>
        <v>Master</v>
      </c>
      <c r="AI1421" t="str">
        <f t="shared" si="289"/>
        <v>Very High</v>
      </c>
      <c r="AJ1421" t="str">
        <f t="shared" si="290"/>
        <v>High</v>
      </c>
      <c r="AK1421" t="str">
        <f t="shared" si="291"/>
        <v>Junior</v>
      </c>
      <c r="AL1421" t="str">
        <f t="shared" si="292"/>
        <v>Low</v>
      </c>
      <c r="AM1421" t="str">
        <f t="shared" si="293"/>
        <v>High</v>
      </c>
      <c r="AN1421" t="str">
        <f t="shared" si="294"/>
        <v>Low</v>
      </c>
      <c r="AO1421" t="str">
        <f t="shared" si="295"/>
        <v>Good</v>
      </c>
      <c r="AP1421" t="str">
        <f t="shared" si="296"/>
        <v>35-44</v>
      </c>
      <c r="AQ1421" t="str">
        <f t="shared" si="297"/>
        <v>Lower-Mid</v>
      </c>
      <c r="AR1421" t="str">
        <f t="shared" si="298"/>
        <v>3-5 Years</v>
      </c>
    </row>
    <row r="1422" spans="1:44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46</v>
      </c>
      <c r="L1422">
        <v>76</v>
      </c>
      <c r="M1422">
        <v>3</v>
      </c>
      <c r="N1422">
        <v>1</v>
      </c>
      <c r="O1422" t="s">
        <v>47</v>
      </c>
      <c r="P1422">
        <v>4</v>
      </c>
      <c r="Q1422" t="s">
        <v>48</v>
      </c>
      <c r="R1422">
        <v>2782</v>
      </c>
      <c r="S1422">
        <v>3</v>
      </c>
      <c r="T1422" t="s">
        <v>43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  <c r="AF1422">
        <f t="shared" si="286"/>
        <v>0</v>
      </c>
      <c r="AG1422">
        <f t="shared" si="287"/>
        <v>0</v>
      </c>
      <c r="AH1422" t="str">
        <f t="shared" si="288"/>
        <v>Bachelor</v>
      </c>
      <c r="AI1422" t="str">
        <f t="shared" si="289"/>
        <v>Very High</v>
      </c>
      <c r="AJ1422" t="str">
        <f t="shared" si="290"/>
        <v>High</v>
      </c>
      <c r="AK1422" t="str">
        <f t="shared" si="291"/>
        <v>Entry</v>
      </c>
      <c r="AL1422" t="str">
        <f t="shared" si="292"/>
        <v>Very High</v>
      </c>
      <c r="AM1422" t="str">
        <f t="shared" si="293"/>
        <v>Low</v>
      </c>
      <c r="AN1422" t="str">
        <f t="shared" si="294"/>
        <v>Low</v>
      </c>
      <c r="AO1422" t="str">
        <f t="shared" si="295"/>
        <v>Better</v>
      </c>
      <c r="AP1422" t="str">
        <f t="shared" si="296"/>
        <v>35-44</v>
      </c>
      <c r="AQ1422" t="str">
        <f t="shared" si="297"/>
        <v>Low</v>
      </c>
      <c r="AR1422" t="str">
        <f t="shared" si="298"/>
        <v>3-5 Years</v>
      </c>
    </row>
    <row r="1423" spans="1:44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39</v>
      </c>
      <c r="L1423">
        <v>98</v>
      </c>
      <c r="M1423">
        <v>3</v>
      </c>
      <c r="N1423">
        <v>3</v>
      </c>
      <c r="O1423" t="s">
        <v>58</v>
      </c>
      <c r="P1423">
        <v>2</v>
      </c>
      <c r="Q1423" t="s">
        <v>48</v>
      </c>
      <c r="R1423">
        <v>11957</v>
      </c>
      <c r="S1423">
        <v>0</v>
      </c>
      <c r="T1423" t="s">
        <v>43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  <c r="AF1423">
        <f t="shared" si="286"/>
        <v>0</v>
      </c>
      <c r="AG1423">
        <f t="shared" si="287"/>
        <v>0</v>
      </c>
      <c r="AH1423" t="str">
        <f t="shared" si="288"/>
        <v>Below College</v>
      </c>
      <c r="AI1423" t="str">
        <f t="shared" si="289"/>
        <v>High</v>
      </c>
      <c r="AJ1423" t="str">
        <f t="shared" si="290"/>
        <v>High</v>
      </c>
      <c r="AK1423" t="str">
        <f t="shared" si="291"/>
        <v>Mid-Level</v>
      </c>
      <c r="AL1423" t="str">
        <f t="shared" si="292"/>
        <v>Medium</v>
      </c>
      <c r="AM1423" t="str">
        <f t="shared" si="293"/>
        <v>Low</v>
      </c>
      <c r="AN1423" t="str">
        <f t="shared" si="294"/>
        <v>Medium</v>
      </c>
      <c r="AO1423" t="str">
        <f t="shared" si="295"/>
        <v>Bad</v>
      </c>
      <c r="AP1423" t="str">
        <f t="shared" si="296"/>
        <v>45-54</v>
      </c>
      <c r="AQ1423" t="str">
        <f t="shared" si="297"/>
        <v>Upper-Mid</v>
      </c>
      <c r="AR1423" t="str">
        <f t="shared" si="298"/>
        <v>11-20 Years</v>
      </c>
    </row>
    <row r="1424" spans="1:44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46</v>
      </c>
      <c r="L1424">
        <v>43</v>
      </c>
      <c r="M1424">
        <v>3</v>
      </c>
      <c r="N1424">
        <v>1</v>
      </c>
      <c r="O1424" t="s">
        <v>50</v>
      </c>
      <c r="P1424">
        <v>3</v>
      </c>
      <c r="Q1424" t="s">
        <v>48</v>
      </c>
      <c r="R1424">
        <v>2660</v>
      </c>
      <c r="S1424">
        <v>7</v>
      </c>
      <c r="T1424" t="s">
        <v>35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  <c r="AF1424">
        <f t="shared" si="286"/>
        <v>0</v>
      </c>
      <c r="AG1424">
        <f t="shared" si="287"/>
        <v>1</v>
      </c>
      <c r="AH1424" t="str">
        <f t="shared" si="288"/>
        <v>Master</v>
      </c>
      <c r="AI1424" t="str">
        <f t="shared" si="289"/>
        <v>Very High</v>
      </c>
      <c r="AJ1424" t="str">
        <f t="shared" si="290"/>
        <v>High</v>
      </c>
      <c r="AK1424" t="str">
        <f t="shared" si="291"/>
        <v>Entry</v>
      </c>
      <c r="AL1424" t="str">
        <f t="shared" si="292"/>
        <v>High</v>
      </c>
      <c r="AM1424" t="str">
        <f t="shared" si="293"/>
        <v>High</v>
      </c>
      <c r="AN1424" t="str">
        <f t="shared" si="294"/>
        <v>Low</v>
      </c>
      <c r="AO1424" t="str">
        <f t="shared" si="295"/>
        <v>Better</v>
      </c>
      <c r="AP1424" t="str">
        <f t="shared" si="296"/>
        <v>35-44</v>
      </c>
      <c r="AQ1424" t="str">
        <f t="shared" si="297"/>
        <v>Low</v>
      </c>
      <c r="AR1424" t="str">
        <f t="shared" si="298"/>
        <v>0-2 Years</v>
      </c>
    </row>
    <row r="1425" spans="1:44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46</v>
      </c>
      <c r="L1425">
        <v>63</v>
      </c>
      <c r="M1425">
        <v>3</v>
      </c>
      <c r="N1425">
        <v>1</v>
      </c>
      <c r="O1425" t="s">
        <v>47</v>
      </c>
      <c r="P1425">
        <v>3</v>
      </c>
      <c r="Q1425" t="s">
        <v>41</v>
      </c>
      <c r="R1425">
        <v>3375</v>
      </c>
      <c r="S1425">
        <v>0</v>
      </c>
      <c r="T1425" t="s">
        <v>43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  <c r="AF1425">
        <f t="shared" si="286"/>
        <v>0</v>
      </c>
      <c r="AG1425">
        <f t="shared" si="287"/>
        <v>0</v>
      </c>
      <c r="AH1425" t="str">
        <f t="shared" si="288"/>
        <v>College</v>
      </c>
      <c r="AI1425" t="str">
        <f t="shared" si="289"/>
        <v>Very High</v>
      </c>
      <c r="AJ1425" t="str">
        <f t="shared" si="290"/>
        <v>High</v>
      </c>
      <c r="AK1425" t="str">
        <f t="shared" si="291"/>
        <v>Entry</v>
      </c>
      <c r="AL1425" t="str">
        <f t="shared" si="292"/>
        <v>High</v>
      </c>
      <c r="AM1425" t="str">
        <f t="shared" si="293"/>
        <v>Very High</v>
      </c>
      <c r="AN1425" t="str">
        <f t="shared" si="294"/>
        <v>No Options</v>
      </c>
      <c r="AO1425" t="str">
        <f t="shared" si="295"/>
        <v>Best</v>
      </c>
      <c r="AP1425" t="str">
        <f t="shared" si="296"/>
        <v>Under 25</v>
      </c>
      <c r="AQ1425" t="str">
        <f t="shared" si="297"/>
        <v>Lower-Mid</v>
      </c>
      <c r="AR1425" t="str">
        <f t="shared" si="298"/>
        <v>3-5 Years</v>
      </c>
    </row>
    <row r="1426" spans="1:44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46</v>
      </c>
      <c r="L1426">
        <v>48</v>
      </c>
      <c r="M1426">
        <v>3</v>
      </c>
      <c r="N1426">
        <v>2</v>
      </c>
      <c r="O1426" t="s">
        <v>47</v>
      </c>
      <c r="P1426">
        <v>3</v>
      </c>
      <c r="Q1426" t="s">
        <v>41</v>
      </c>
      <c r="R1426">
        <v>5098</v>
      </c>
      <c r="S1426">
        <v>1</v>
      </c>
      <c r="T1426" t="s">
        <v>43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  <c r="AF1426">
        <f t="shared" si="286"/>
        <v>0</v>
      </c>
      <c r="AG1426">
        <f t="shared" si="287"/>
        <v>0</v>
      </c>
      <c r="AH1426" t="str">
        <f t="shared" si="288"/>
        <v>Master</v>
      </c>
      <c r="AI1426" t="str">
        <f t="shared" si="289"/>
        <v>Medium</v>
      </c>
      <c r="AJ1426" t="str">
        <f t="shared" si="290"/>
        <v>High</v>
      </c>
      <c r="AK1426" t="str">
        <f t="shared" si="291"/>
        <v>Junior</v>
      </c>
      <c r="AL1426" t="str">
        <f t="shared" si="292"/>
        <v>High</v>
      </c>
      <c r="AM1426" t="str">
        <f t="shared" si="293"/>
        <v>Medium</v>
      </c>
      <c r="AN1426" t="str">
        <f t="shared" si="294"/>
        <v>No Options</v>
      </c>
      <c r="AO1426" t="str">
        <f t="shared" si="295"/>
        <v>Better</v>
      </c>
      <c r="AP1426" t="str">
        <f t="shared" si="296"/>
        <v>35-44</v>
      </c>
      <c r="AQ1426" t="str">
        <f t="shared" si="297"/>
        <v>Lower-Mid</v>
      </c>
      <c r="AR1426" t="str">
        <f t="shared" si="298"/>
        <v>6-10 Years</v>
      </c>
    </row>
    <row r="1427" spans="1:44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39</v>
      </c>
      <c r="L1427">
        <v>95</v>
      </c>
      <c r="M1427">
        <v>3</v>
      </c>
      <c r="N1427">
        <v>2</v>
      </c>
      <c r="O1427" t="s">
        <v>54</v>
      </c>
      <c r="P1427">
        <v>4</v>
      </c>
      <c r="Q1427" t="s">
        <v>48</v>
      </c>
      <c r="R1427">
        <v>4878</v>
      </c>
      <c r="S1427">
        <v>0</v>
      </c>
      <c r="T1427" t="s">
        <v>35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  <c r="AF1427">
        <f t="shared" si="286"/>
        <v>0</v>
      </c>
      <c r="AG1427">
        <f t="shared" si="287"/>
        <v>1</v>
      </c>
      <c r="AH1427" t="str">
        <f t="shared" si="288"/>
        <v>College</v>
      </c>
      <c r="AI1427" t="str">
        <f t="shared" si="289"/>
        <v>Medium</v>
      </c>
      <c r="AJ1427" t="str">
        <f t="shared" si="290"/>
        <v>High</v>
      </c>
      <c r="AK1427" t="str">
        <f t="shared" si="291"/>
        <v>Junior</v>
      </c>
      <c r="AL1427" t="str">
        <f t="shared" si="292"/>
        <v>Very High</v>
      </c>
      <c r="AM1427" t="str">
        <f t="shared" si="293"/>
        <v>Low</v>
      </c>
      <c r="AN1427" t="str">
        <f t="shared" si="294"/>
        <v>Low</v>
      </c>
      <c r="AO1427" t="str">
        <f t="shared" si="295"/>
        <v>Better</v>
      </c>
      <c r="AP1427" t="str">
        <f t="shared" si="296"/>
        <v>25-34</v>
      </c>
      <c r="AQ1427" t="str">
        <f t="shared" si="297"/>
        <v>Lower-Mid</v>
      </c>
      <c r="AR1427" t="str">
        <f t="shared" si="298"/>
        <v>6-10 Years</v>
      </c>
    </row>
    <row r="1428" spans="1:44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49</v>
      </c>
      <c r="M1428">
        <v>2</v>
      </c>
      <c r="N1428">
        <v>1</v>
      </c>
      <c r="O1428" t="s">
        <v>50</v>
      </c>
      <c r="P1428">
        <v>2</v>
      </c>
      <c r="Q1428" t="s">
        <v>41</v>
      </c>
      <c r="R1428">
        <v>2837</v>
      </c>
      <c r="S1428">
        <v>1</v>
      </c>
      <c r="T1428" t="s">
        <v>43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  <c r="AF1428">
        <f t="shared" si="286"/>
        <v>0</v>
      </c>
      <c r="AG1428">
        <f t="shared" si="287"/>
        <v>0</v>
      </c>
      <c r="AH1428" t="str">
        <f t="shared" si="288"/>
        <v>Master</v>
      </c>
      <c r="AI1428" t="str">
        <f t="shared" si="289"/>
        <v>High</v>
      </c>
      <c r="AJ1428" t="str">
        <f t="shared" si="290"/>
        <v>Medium</v>
      </c>
      <c r="AK1428" t="str">
        <f t="shared" si="291"/>
        <v>Entry</v>
      </c>
      <c r="AL1428" t="str">
        <f t="shared" si="292"/>
        <v>Medium</v>
      </c>
      <c r="AM1428" t="str">
        <f t="shared" si="293"/>
        <v>High</v>
      </c>
      <c r="AN1428" t="str">
        <f t="shared" si="294"/>
        <v>No Options</v>
      </c>
      <c r="AO1428" t="str">
        <f t="shared" si="295"/>
        <v>Better</v>
      </c>
      <c r="AP1428" t="str">
        <f t="shared" si="296"/>
        <v>25-34</v>
      </c>
      <c r="AQ1428" t="str">
        <f t="shared" si="297"/>
        <v>Low</v>
      </c>
      <c r="AR1428" t="str">
        <f t="shared" si="298"/>
        <v>6-10 Years</v>
      </c>
    </row>
    <row r="1429" spans="1:44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46</v>
      </c>
      <c r="L1429">
        <v>83</v>
      </c>
      <c r="M1429">
        <v>3</v>
      </c>
      <c r="N1429">
        <v>1</v>
      </c>
      <c r="O1429" t="s">
        <v>50</v>
      </c>
      <c r="P1429">
        <v>4</v>
      </c>
      <c r="Q1429" t="s">
        <v>48</v>
      </c>
      <c r="R1429">
        <v>2406</v>
      </c>
      <c r="S1429">
        <v>8</v>
      </c>
      <c r="T1429" t="s">
        <v>43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  <c r="AF1429">
        <f t="shared" si="286"/>
        <v>0</v>
      </c>
      <c r="AG1429">
        <f t="shared" si="287"/>
        <v>0</v>
      </c>
      <c r="AH1429" t="str">
        <f t="shared" si="288"/>
        <v>Master</v>
      </c>
      <c r="AI1429" t="str">
        <f t="shared" si="289"/>
        <v>Low</v>
      </c>
      <c r="AJ1429" t="str">
        <f t="shared" si="290"/>
        <v>High</v>
      </c>
      <c r="AK1429" t="str">
        <f t="shared" si="291"/>
        <v>Entry</v>
      </c>
      <c r="AL1429" t="str">
        <f t="shared" si="292"/>
        <v>Very High</v>
      </c>
      <c r="AM1429" t="str">
        <f t="shared" si="293"/>
        <v>High</v>
      </c>
      <c r="AN1429" t="str">
        <f t="shared" si="294"/>
        <v>Medium</v>
      </c>
      <c r="AO1429" t="str">
        <f t="shared" si="295"/>
        <v>Good</v>
      </c>
      <c r="AP1429" t="str">
        <f t="shared" si="296"/>
        <v>35-44</v>
      </c>
      <c r="AQ1429" t="str">
        <f t="shared" si="297"/>
        <v>Low</v>
      </c>
      <c r="AR1429" t="str">
        <f t="shared" si="298"/>
        <v>0-2 Years</v>
      </c>
    </row>
    <row r="1430" spans="1:44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46</v>
      </c>
      <c r="L1430">
        <v>68</v>
      </c>
      <c r="M1430">
        <v>2</v>
      </c>
      <c r="N1430">
        <v>1</v>
      </c>
      <c r="O1430" t="s">
        <v>57</v>
      </c>
      <c r="P1430">
        <v>2</v>
      </c>
      <c r="Q1430" t="s">
        <v>48</v>
      </c>
      <c r="R1430">
        <v>2269</v>
      </c>
      <c r="S1430">
        <v>0</v>
      </c>
      <c r="T1430" t="s">
        <v>43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  <c r="AF1430">
        <f t="shared" si="286"/>
        <v>0</v>
      </c>
      <c r="AG1430">
        <f t="shared" si="287"/>
        <v>0</v>
      </c>
      <c r="AH1430" t="str">
        <f t="shared" si="288"/>
        <v>Master</v>
      </c>
      <c r="AI1430" t="str">
        <f t="shared" si="289"/>
        <v>Medium</v>
      </c>
      <c r="AJ1430" t="str">
        <f t="shared" si="290"/>
        <v>Medium</v>
      </c>
      <c r="AK1430" t="str">
        <f t="shared" si="291"/>
        <v>Entry</v>
      </c>
      <c r="AL1430" t="str">
        <f t="shared" si="292"/>
        <v>Medium</v>
      </c>
      <c r="AM1430" t="str">
        <f t="shared" si="293"/>
        <v>Medium</v>
      </c>
      <c r="AN1430" t="str">
        <f t="shared" si="294"/>
        <v>Low</v>
      </c>
      <c r="AO1430" t="str">
        <f t="shared" si="295"/>
        <v>Better</v>
      </c>
      <c r="AP1430" t="str">
        <f t="shared" si="296"/>
        <v>25-34</v>
      </c>
      <c r="AQ1430" t="str">
        <f t="shared" si="297"/>
        <v>Low</v>
      </c>
      <c r="AR1430" t="str">
        <f t="shared" si="298"/>
        <v>0-2 Years</v>
      </c>
    </row>
    <row r="1431" spans="1:44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46</v>
      </c>
      <c r="L1431">
        <v>52</v>
      </c>
      <c r="M1431">
        <v>3</v>
      </c>
      <c r="N1431">
        <v>2</v>
      </c>
      <c r="O1431" t="s">
        <v>47</v>
      </c>
      <c r="P1431">
        <v>4</v>
      </c>
      <c r="Q1431" t="s">
        <v>41</v>
      </c>
      <c r="R1431">
        <v>4108</v>
      </c>
      <c r="S1431">
        <v>7</v>
      </c>
      <c r="T1431" t="s">
        <v>43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  <c r="AF1431">
        <f t="shared" si="286"/>
        <v>0</v>
      </c>
      <c r="AG1431">
        <f t="shared" si="287"/>
        <v>0</v>
      </c>
      <c r="AH1431" t="str">
        <f t="shared" si="288"/>
        <v>Below College</v>
      </c>
      <c r="AI1431" t="str">
        <f t="shared" si="289"/>
        <v>Low</v>
      </c>
      <c r="AJ1431" t="str">
        <f t="shared" si="290"/>
        <v>High</v>
      </c>
      <c r="AK1431" t="str">
        <f t="shared" si="291"/>
        <v>Junior</v>
      </c>
      <c r="AL1431" t="str">
        <f t="shared" si="292"/>
        <v>Very High</v>
      </c>
      <c r="AM1431" t="str">
        <f t="shared" si="293"/>
        <v>Low</v>
      </c>
      <c r="AN1431" t="str">
        <f t="shared" si="294"/>
        <v>No Options</v>
      </c>
      <c r="AO1431" t="str">
        <f t="shared" si="295"/>
        <v>Better</v>
      </c>
      <c r="AP1431" t="str">
        <f t="shared" si="296"/>
        <v>35-44</v>
      </c>
      <c r="AQ1431" t="str">
        <f t="shared" si="297"/>
        <v>Lower-Mid</v>
      </c>
      <c r="AR1431" t="str">
        <f t="shared" si="298"/>
        <v>6-10 Years</v>
      </c>
    </row>
    <row r="1432" spans="1:44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39</v>
      </c>
      <c r="L1432">
        <v>99</v>
      </c>
      <c r="M1432">
        <v>1</v>
      </c>
      <c r="N1432">
        <v>3</v>
      </c>
      <c r="O1432" t="s">
        <v>58</v>
      </c>
      <c r="P1432">
        <v>3</v>
      </c>
      <c r="Q1432" t="s">
        <v>48</v>
      </c>
      <c r="R1432">
        <v>13206</v>
      </c>
      <c r="S1432">
        <v>3</v>
      </c>
      <c r="T1432" t="s">
        <v>43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  <c r="AF1432">
        <f t="shared" si="286"/>
        <v>0</v>
      </c>
      <c r="AG1432">
        <f t="shared" si="287"/>
        <v>0</v>
      </c>
      <c r="AH1432" t="str">
        <f t="shared" si="288"/>
        <v>Bachelor</v>
      </c>
      <c r="AI1432" t="str">
        <f t="shared" si="289"/>
        <v>Medium</v>
      </c>
      <c r="AJ1432" t="str">
        <f t="shared" si="290"/>
        <v>Low</v>
      </c>
      <c r="AK1432" t="str">
        <f t="shared" si="291"/>
        <v>Mid-Level</v>
      </c>
      <c r="AL1432" t="str">
        <f t="shared" si="292"/>
        <v>High</v>
      </c>
      <c r="AM1432" t="str">
        <f t="shared" si="293"/>
        <v>Low</v>
      </c>
      <c r="AN1432" t="str">
        <f t="shared" si="294"/>
        <v>Low</v>
      </c>
      <c r="AO1432" t="str">
        <f t="shared" si="295"/>
        <v>Better</v>
      </c>
      <c r="AP1432" t="str">
        <f t="shared" si="296"/>
        <v>35-44</v>
      </c>
      <c r="AQ1432" t="str">
        <f t="shared" si="297"/>
        <v>High</v>
      </c>
      <c r="AR1432" t="str">
        <f t="shared" si="298"/>
        <v>11-20 Years</v>
      </c>
    </row>
    <row r="1433" spans="1:44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t="s">
        <v>39</v>
      </c>
      <c r="L1433">
        <v>48</v>
      </c>
      <c r="M1433">
        <v>3</v>
      </c>
      <c r="N1433">
        <v>3</v>
      </c>
      <c r="O1433" t="s">
        <v>40</v>
      </c>
      <c r="P1433">
        <v>4</v>
      </c>
      <c r="Q1433" t="s">
        <v>48</v>
      </c>
      <c r="R1433">
        <v>10422</v>
      </c>
      <c r="S1433">
        <v>1</v>
      </c>
      <c r="T1433" t="s">
        <v>43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  <c r="AF1433">
        <f t="shared" si="286"/>
        <v>0</v>
      </c>
      <c r="AG1433">
        <f t="shared" si="287"/>
        <v>0</v>
      </c>
      <c r="AH1433" t="str">
        <f t="shared" si="288"/>
        <v>Master</v>
      </c>
      <c r="AI1433" t="str">
        <f t="shared" si="289"/>
        <v>High</v>
      </c>
      <c r="AJ1433" t="str">
        <f t="shared" si="290"/>
        <v>High</v>
      </c>
      <c r="AK1433" t="str">
        <f t="shared" si="291"/>
        <v>Mid-Level</v>
      </c>
      <c r="AL1433" t="str">
        <f t="shared" si="292"/>
        <v>Very High</v>
      </c>
      <c r="AM1433" t="str">
        <f t="shared" si="293"/>
        <v>High</v>
      </c>
      <c r="AN1433" t="str">
        <f t="shared" si="294"/>
        <v>Medium</v>
      </c>
      <c r="AO1433" t="str">
        <f t="shared" si="295"/>
        <v>Better</v>
      </c>
      <c r="AP1433" t="str">
        <f t="shared" si="296"/>
        <v>25-34</v>
      </c>
      <c r="AQ1433" t="str">
        <f t="shared" si="297"/>
        <v>Upper-Mid</v>
      </c>
      <c r="AR1433" t="str">
        <f t="shared" si="298"/>
        <v>11-20 Years</v>
      </c>
    </row>
    <row r="1434" spans="1:44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42</v>
      </c>
      <c r="M1434">
        <v>4</v>
      </c>
      <c r="N1434">
        <v>3</v>
      </c>
      <c r="O1434" t="s">
        <v>58</v>
      </c>
      <c r="P1434">
        <v>4</v>
      </c>
      <c r="Q1434" t="s">
        <v>48</v>
      </c>
      <c r="R1434">
        <v>13744</v>
      </c>
      <c r="S1434">
        <v>1</v>
      </c>
      <c r="T1434" t="s">
        <v>35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  <c r="AF1434">
        <f t="shared" si="286"/>
        <v>0</v>
      </c>
      <c r="AG1434">
        <f t="shared" si="287"/>
        <v>1</v>
      </c>
      <c r="AH1434" t="str">
        <f t="shared" si="288"/>
        <v>Bachelor</v>
      </c>
      <c r="AI1434" t="str">
        <f t="shared" si="289"/>
        <v>High</v>
      </c>
      <c r="AJ1434" t="str">
        <f t="shared" si="290"/>
        <v>Very High</v>
      </c>
      <c r="AK1434" t="str">
        <f t="shared" si="291"/>
        <v>Mid-Level</v>
      </c>
      <c r="AL1434" t="str">
        <f t="shared" si="292"/>
        <v>Very High</v>
      </c>
      <c r="AM1434" t="str">
        <f t="shared" si="293"/>
        <v>Low</v>
      </c>
      <c r="AN1434" t="str">
        <f t="shared" si="294"/>
        <v>Low</v>
      </c>
      <c r="AO1434" t="str">
        <f t="shared" si="295"/>
        <v>Better</v>
      </c>
      <c r="AP1434" t="str">
        <f t="shared" si="296"/>
        <v>35-44</v>
      </c>
      <c r="AQ1434" t="str">
        <f t="shared" si="297"/>
        <v>High</v>
      </c>
      <c r="AR1434" t="str">
        <f t="shared" si="298"/>
        <v>11-20 Years</v>
      </c>
    </row>
    <row r="1435" spans="1:44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39</v>
      </c>
      <c r="L1435">
        <v>85</v>
      </c>
      <c r="M1435">
        <v>3</v>
      </c>
      <c r="N1435">
        <v>2</v>
      </c>
      <c r="O1435" t="s">
        <v>40</v>
      </c>
      <c r="P1435">
        <v>3</v>
      </c>
      <c r="Q1435" t="s">
        <v>52</v>
      </c>
      <c r="R1435">
        <v>4907</v>
      </c>
      <c r="S1435">
        <v>0</v>
      </c>
      <c r="T1435" t="s">
        <v>35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  <c r="AF1435">
        <f t="shared" si="286"/>
        <v>0</v>
      </c>
      <c r="AG1435">
        <f t="shared" si="287"/>
        <v>1</v>
      </c>
      <c r="AH1435" t="str">
        <f t="shared" si="288"/>
        <v>College</v>
      </c>
      <c r="AI1435" t="str">
        <f t="shared" si="289"/>
        <v>Low</v>
      </c>
      <c r="AJ1435" t="str">
        <f t="shared" si="290"/>
        <v>High</v>
      </c>
      <c r="AK1435" t="str">
        <f t="shared" si="291"/>
        <v>Junior</v>
      </c>
      <c r="AL1435" t="str">
        <f t="shared" si="292"/>
        <v>High</v>
      </c>
      <c r="AM1435" t="str">
        <f t="shared" si="293"/>
        <v>Medium</v>
      </c>
      <c r="AN1435" t="str">
        <f t="shared" si="294"/>
        <v>Low</v>
      </c>
      <c r="AO1435" t="str">
        <f t="shared" si="295"/>
        <v>Good</v>
      </c>
      <c r="AP1435" t="str">
        <f t="shared" si="296"/>
        <v>25-34</v>
      </c>
      <c r="AQ1435" t="str">
        <f t="shared" si="297"/>
        <v>Lower-Mid</v>
      </c>
      <c r="AR1435" t="str">
        <f t="shared" si="298"/>
        <v>3-5 Years</v>
      </c>
    </row>
    <row r="1436" spans="1:44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46</v>
      </c>
      <c r="L1436">
        <v>40</v>
      </c>
      <c r="M1436">
        <v>3</v>
      </c>
      <c r="N1436">
        <v>1</v>
      </c>
      <c r="O1436" t="s">
        <v>57</v>
      </c>
      <c r="P1436">
        <v>4</v>
      </c>
      <c r="Q1436" t="s">
        <v>52</v>
      </c>
      <c r="R1436">
        <v>3482</v>
      </c>
      <c r="S1436">
        <v>2</v>
      </c>
      <c r="T1436" t="s">
        <v>43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  <c r="AF1436">
        <f t="shared" si="286"/>
        <v>0</v>
      </c>
      <c r="AG1436">
        <f t="shared" si="287"/>
        <v>0</v>
      </c>
      <c r="AH1436" t="str">
        <f t="shared" si="288"/>
        <v>Master</v>
      </c>
      <c r="AI1436" t="str">
        <f t="shared" si="289"/>
        <v>Low</v>
      </c>
      <c r="AJ1436" t="str">
        <f t="shared" si="290"/>
        <v>High</v>
      </c>
      <c r="AK1436" t="str">
        <f t="shared" si="291"/>
        <v>Entry</v>
      </c>
      <c r="AL1436" t="str">
        <f t="shared" si="292"/>
        <v>Very High</v>
      </c>
      <c r="AM1436" t="str">
        <f t="shared" si="293"/>
        <v>Medium</v>
      </c>
      <c r="AN1436" t="str">
        <f t="shared" si="294"/>
        <v>Medium</v>
      </c>
      <c r="AO1436" t="str">
        <f t="shared" si="295"/>
        <v>Good</v>
      </c>
      <c r="AP1436" t="str">
        <f t="shared" si="296"/>
        <v>45-54</v>
      </c>
      <c r="AQ1436" t="str">
        <f t="shared" si="297"/>
        <v>Lower-Mid</v>
      </c>
      <c r="AR1436" t="str">
        <f t="shared" si="298"/>
        <v>6-10 Years</v>
      </c>
    </row>
    <row r="1437" spans="1:44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46</v>
      </c>
      <c r="L1437">
        <v>42</v>
      </c>
      <c r="M1437">
        <v>3</v>
      </c>
      <c r="N1437">
        <v>1</v>
      </c>
      <c r="O1437" t="s">
        <v>47</v>
      </c>
      <c r="P1437">
        <v>4</v>
      </c>
      <c r="Q1437" t="s">
        <v>41</v>
      </c>
      <c r="R1437">
        <v>2436</v>
      </c>
      <c r="S1437">
        <v>6</v>
      </c>
      <c r="T1437" t="s">
        <v>35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  <c r="AF1437">
        <f t="shared" si="286"/>
        <v>0</v>
      </c>
      <c r="AG1437">
        <f t="shared" si="287"/>
        <v>1</v>
      </c>
      <c r="AH1437" t="str">
        <f t="shared" si="288"/>
        <v>Bachelor</v>
      </c>
      <c r="AI1437" t="str">
        <f t="shared" si="289"/>
        <v>Medium</v>
      </c>
      <c r="AJ1437" t="str">
        <f t="shared" si="290"/>
        <v>High</v>
      </c>
      <c r="AK1437" t="str">
        <f t="shared" si="291"/>
        <v>Entry</v>
      </c>
      <c r="AL1437" t="str">
        <f t="shared" si="292"/>
        <v>Very High</v>
      </c>
      <c r="AM1437" t="str">
        <f t="shared" si="293"/>
        <v>High</v>
      </c>
      <c r="AN1437" t="str">
        <f t="shared" si="294"/>
        <v>No Options</v>
      </c>
      <c r="AO1437" t="str">
        <f t="shared" si="295"/>
        <v>Better</v>
      </c>
      <c r="AP1437" t="str">
        <f t="shared" si="296"/>
        <v>35-44</v>
      </c>
      <c r="AQ1437" t="str">
        <f t="shared" si="297"/>
        <v>Low</v>
      </c>
      <c r="AR1437" t="str">
        <f t="shared" si="298"/>
        <v>3-5 Years</v>
      </c>
    </row>
    <row r="1438" spans="1:44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46</v>
      </c>
      <c r="L1438">
        <v>58</v>
      </c>
      <c r="M1438">
        <v>3</v>
      </c>
      <c r="N1438">
        <v>1</v>
      </c>
      <c r="O1438" t="s">
        <v>57</v>
      </c>
      <c r="P1438">
        <v>1</v>
      </c>
      <c r="Q1438" t="s">
        <v>41</v>
      </c>
      <c r="R1438">
        <v>2380</v>
      </c>
      <c r="S1438">
        <v>1</v>
      </c>
      <c r="T1438" t="s">
        <v>35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  <c r="AF1438">
        <f t="shared" si="286"/>
        <v>0</v>
      </c>
      <c r="AG1438">
        <f t="shared" si="287"/>
        <v>1</v>
      </c>
      <c r="AH1438" t="str">
        <f t="shared" si="288"/>
        <v>Below College</v>
      </c>
      <c r="AI1438" t="str">
        <f t="shared" si="289"/>
        <v>High</v>
      </c>
      <c r="AJ1438" t="str">
        <f t="shared" si="290"/>
        <v>High</v>
      </c>
      <c r="AK1438" t="str">
        <f t="shared" si="291"/>
        <v>Entry</v>
      </c>
      <c r="AL1438" t="str">
        <f t="shared" si="292"/>
        <v>Low</v>
      </c>
      <c r="AM1438" t="str">
        <f t="shared" si="293"/>
        <v>Very High</v>
      </c>
      <c r="AN1438" t="str">
        <f t="shared" si="294"/>
        <v>No Options</v>
      </c>
      <c r="AO1438" t="str">
        <f t="shared" si="295"/>
        <v>Better</v>
      </c>
      <c r="AP1438" t="str">
        <f t="shared" si="296"/>
        <v>Under 25</v>
      </c>
      <c r="AQ1438" t="str">
        <f t="shared" si="297"/>
        <v>Low</v>
      </c>
      <c r="AR1438" t="str">
        <f t="shared" si="298"/>
        <v>0-2 Years</v>
      </c>
    </row>
    <row r="1439" spans="1:44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46</v>
      </c>
      <c r="L1439">
        <v>87</v>
      </c>
      <c r="M1439">
        <v>3</v>
      </c>
      <c r="N1439">
        <v>5</v>
      </c>
      <c r="O1439" t="s">
        <v>56</v>
      </c>
      <c r="P1439">
        <v>4</v>
      </c>
      <c r="Q1439" t="s">
        <v>41</v>
      </c>
      <c r="R1439">
        <v>19431</v>
      </c>
      <c r="S1439">
        <v>2</v>
      </c>
      <c r="T1439" t="s">
        <v>43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  <c r="AF1439">
        <f t="shared" si="286"/>
        <v>0</v>
      </c>
      <c r="AG1439">
        <f t="shared" si="287"/>
        <v>0</v>
      </c>
      <c r="AH1439" t="str">
        <f t="shared" si="288"/>
        <v>Bachelor</v>
      </c>
      <c r="AI1439" t="str">
        <f t="shared" si="289"/>
        <v>Very High</v>
      </c>
      <c r="AJ1439" t="str">
        <f t="shared" si="290"/>
        <v>High</v>
      </c>
      <c r="AK1439" t="str">
        <f t="shared" si="291"/>
        <v>Executive</v>
      </c>
      <c r="AL1439" t="str">
        <f t="shared" si="292"/>
        <v>Very High</v>
      </c>
      <c r="AM1439" t="str">
        <f t="shared" si="293"/>
        <v>High</v>
      </c>
      <c r="AN1439" t="str">
        <f t="shared" si="294"/>
        <v>No Options</v>
      </c>
      <c r="AO1439" t="str">
        <f t="shared" si="295"/>
        <v>Good</v>
      </c>
      <c r="AP1439" t="str">
        <f t="shared" si="296"/>
        <v>35-44</v>
      </c>
      <c r="AQ1439" t="str">
        <f t="shared" si="297"/>
        <v>High</v>
      </c>
      <c r="AR1439" t="str">
        <f t="shared" si="298"/>
        <v>6-10 Years</v>
      </c>
    </row>
    <row r="1440" spans="1:44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t="s">
        <v>46</v>
      </c>
      <c r="L1440">
        <v>33</v>
      </c>
      <c r="M1440">
        <v>3</v>
      </c>
      <c r="N1440">
        <v>1</v>
      </c>
      <c r="O1440" t="s">
        <v>57</v>
      </c>
      <c r="P1440">
        <v>1</v>
      </c>
      <c r="Q1440" t="s">
        <v>48</v>
      </c>
      <c r="R1440">
        <v>1790</v>
      </c>
      <c r="S1440">
        <v>1</v>
      </c>
      <c r="T1440" t="s">
        <v>43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  <c r="AF1440">
        <f t="shared" si="286"/>
        <v>1</v>
      </c>
      <c r="AG1440">
        <f t="shared" si="287"/>
        <v>0</v>
      </c>
      <c r="AH1440" t="str">
        <f t="shared" si="288"/>
        <v>Bachelor</v>
      </c>
      <c r="AI1440" t="str">
        <f t="shared" si="289"/>
        <v>Very High</v>
      </c>
      <c r="AJ1440" t="str">
        <f t="shared" si="290"/>
        <v>High</v>
      </c>
      <c r="AK1440" t="str">
        <f t="shared" si="291"/>
        <v>Entry</v>
      </c>
      <c r="AL1440" t="str">
        <f t="shared" si="292"/>
        <v>Low</v>
      </c>
      <c r="AM1440" t="str">
        <f t="shared" si="293"/>
        <v>Low</v>
      </c>
      <c r="AN1440" t="str">
        <f t="shared" si="294"/>
        <v>Low</v>
      </c>
      <c r="AO1440" t="str">
        <f t="shared" si="295"/>
        <v>Good</v>
      </c>
      <c r="AP1440" t="str">
        <f t="shared" si="296"/>
        <v>Under 25</v>
      </c>
      <c r="AQ1440" t="str">
        <f t="shared" si="297"/>
        <v>Low</v>
      </c>
      <c r="AR1440" t="str">
        <f t="shared" si="298"/>
        <v>0-2 Years</v>
      </c>
    </row>
    <row r="1441" spans="1:44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39</v>
      </c>
      <c r="L1441">
        <v>94</v>
      </c>
      <c r="M1441">
        <v>2</v>
      </c>
      <c r="N1441">
        <v>3</v>
      </c>
      <c r="O1441" t="s">
        <v>40</v>
      </c>
      <c r="P1441">
        <v>4</v>
      </c>
      <c r="Q1441" t="s">
        <v>48</v>
      </c>
      <c r="R1441">
        <v>7644</v>
      </c>
      <c r="S1441">
        <v>0</v>
      </c>
      <c r="T1441" t="s">
        <v>43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  <c r="AF1441">
        <f t="shared" si="286"/>
        <v>0</v>
      </c>
      <c r="AG1441">
        <f t="shared" si="287"/>
        <v>0</v>
      </c>
      <c r="AH1441" t="str">
        <f t="shared" si="288"/>
        <v>Bachelor</v>
      </c>
      <c r="AI1441" t="str">
        <f t="shared" si="289"/>
        <v>Low</v>
      </c>
      <c r="AJ1441" t="str">
        <f t="shared" si="290"/>
        <v>Medium</v>
      </c>
      <c r="AK1441" t="str">
        <f t="shared" si="291"/>
        <v>Mid-Level</v>
      </c>
      <c r="AL1441" t="str">
        <f t="shared" si="292"/>
        <v>Very High</v>
      </c>
      <c r="AM1441" t="str">
        <f t="shared" si="293"/>
        <v>High</v>
      </c>
      <c r="AN1441" t="str">
        <f t="shared" si="294"/>
        <v>Medium</v>
      </c>
      <c r="AO1441" t="str">
        <f t="shared" si="295"/>
        <v>Better</v>
      </c>
      <c r="AP1441" t="str">
        <f t="shared" si="296"/>
        <v>35-44</v>
      </c>
      <c r="AQ1441" t="str">
        <f t="shared" si="297"/>
        <v>Upper-Mid</v>
      </c>
      <c r="AR1441" t="str">
        <f t="shared" si="298"/>
        <v>6-10 Years</v>
      </c>
    </row>
    <row r="1442" spans="1:44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97</v>
      </c>
      <c r="M1442">
        <v>3</v>
      </c>
      <c r="N1442">
        <v>2</v>
      </c>
      <c r="O1442" t="s">
        <v>53</v>
      </c>
      <c r="P1442">
        <v>2</v>
      </c>
      <c r="Q1442" t="s">
        <v>52</v>
      </c>
      <c r="R1442">
        <v>5131</v>
      </c>
      <c r="S1442">
        <v>7</v>
      </c>
      <c r="T1442" t="s">
        <v>43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  <c r="AF1442">
        <f t="shared" si="286"/>
        <v>0</v>
      </c>
      <c r="AG1442">
        <f t="shared" si="287"/>
        <v>0</v>
      </c>
      <c r="AH1442" t="str">
        <f t="shared" si="288"/>
        <v>College</v>
      </c>
      <c r="AI1442" t="str">
        <f t="shared" si="289"/>
        <v>Very High</v>
      </c>
      <c r="AJ1442" t="str">
        <f t="shared" si="290"/>
        <v>High</v>
      </c>
      <c r="AK1442" t="str">
        <f t="shared" si="291"/>
        <v>Junior</v>
      </c>
      <c r="AL1442" t="str">
        <f t="shared" si="292"/>
        <v>Medium</v>
      </c>
      <c r="AM1442" t="str">
        <f t="shared" si="293"/>
        <v>Medium</v>
      </c>
      <c r="AN1442" t="str">
        <f t="shared" si="294"/>
        <v>High</v>
      </c>
      <c r="AO1442" t="str">
        <f t="shared" si="295"/>
        <v>Better</v>
      </c>
      <c r="AP1442" t="str">
        <f t="shared" si="296"/>
        <v>35-44</v>
      </c>
      <c r="AQ1442" t="str">
        <f t="shared" si="297"/>
        <v>Lower-Mid</v>
      </c>
      <c r="AR1442" t="str">
        <f t="shared" si="298"/>
        <v>3-5 Years</v>
      </c>
    </row>
    <row r="1443" spans="1:44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46</v>
      </c>
      <c r="L1443">
        <v>57</v>
      </c>
      <c r="M1443">
        <v>3</v>
      </c>
      <c r="N1443">
        <v>2</v>
      </c>
      <c r="O1443" t="s">
        <v>54</v>
      </c>
      <c r="P1443">
        <v>3</v>
      </c>
      <c r="Q1443" t="s">
        <v>52</v>
      </c>
      <c r="R1443">
        <v>6306</v>
      </c>
      <c r="S1443">
        <v>1</v>
      </c>
      <c r="T1443" t="s">
        <v>43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  <c r="AF1443">
        <f t="shared" si="286"/>
        <v>0</v>
      </c>
      <c r="AG1443">
        <f t="shared" si="287"/>
        <v>0</v>
      </c>
      <c r="AH1443" t="str">
        <f t="shared" si="288"/>
        <v>Master</v>
      </c>
      <c r="AI1443" t="str">
        <f t="shared" si="289"/>
        <v>High</v>
      </c>
      <c r="AJ1443" t="str">
        <f t="shared" si="290"/>
        <v>High</v>
      </c>
      <c r="AK1443" t="str">
        <f t="shared" si="291"/>
        <v>Junior</v>
      </c>
      <c r="AL1443" t="str">
        <f t="shared" si="292"/>
        <v>High</v>
      </c>
      <c r="AM1443" t="str">
        <f t="shared" si="293"/>
        <v>Low</v>
      </c>
      <c r="AN1443" t="str">
        <f t="shared" si="294"/>
        <v>Low</v>
      </c>
      <c r="AO1443" t="str">
        <f t="shared" si="295"/>
        <v>Good</v>
      </c>
      <c r="AP1443" t="str">
        <f t="shared" si="296"/>
        <v>55+</v>
      </c>
      <c r="AQ1443" t="str">
        <f t="shared" si="297"/>
        <v>Lower-Mid</v>
      </c>
      <c r="AR1443" t="str">
        <f t="shared" si="298"/>
        <v>11-20 Years</v>
      </c>
    </row>
    <row r="1444" spans="1:44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46</v>
      </c>
      <c r="L1444">
        <v>36</v>
      </c>
      <c r="M1444">
        <v>3</v>
      </c>
      <c r="N1444">
        <v>1</v>
      </c>
      <c r="O1444" t="s">
        <v>47</v>
      </c>
      <c r="P1444">
        <v>4</v>
      </c>
      <c r="Q1444" t="s">
        <v>48</v>
      </c>
      <c r="R1444">
        <v>4787</v>
      </c>
      <c r="S1444">
        <v>9</v>
      </c>
      <c r="T1444" t="s">
        <v>35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  <c r="AF1444">
        <f t="shared" si="286"/>
        <v>1</v>
      </c>
      <c r="AG1444">
        <f t="shared" si="287"/>
        <v>1</v>
      </c>
      <c r="AH1444" t="str">
        <f t="shared" si="288"/>
        <v>Master</v>
      </c>
      <c r="AI1444" t="str">
        <f t="shared" si="289"/>
        <v>Low</v>
      </c>
      <c r="AJ1444" t="str">
        <f t="shared" si="290"/>
        <v>High</v>
      </c>
      <c r="AK1444" t="str">
        <f t="shared" si="291"/>
        <v>Entry</v>
      </c>
      <c r="AL1444" t="str">
        <f t="shared" si="292"/>
        <v>Very High</v>
      </c>
      <c r="AM1444" t="str">
        <f t="shared" si="293"/>
        <v>Medium</v>
      </c>
      <c r="AN1444" t="str">
        <f t="shared" si="294"/>
        <v>High</v>
      </c>
      <c r="AO1444" t="str">
        <f t="shared" si="295"/>
        <v>Best</v>
      </c>
      <c r="AP1444" t="str">
        <f t="shared" si="296"/>
        <v>25-34</v>
      </c>
      <c r="AQ1444" t="str">
        <f t="shared" si="297"/>
        <v>Lower-Mid</v>
      </c>
      <c r="AR1444" t="str">
        <f t="shared" si="298"/>
        <v>0-2 Years</v>
      </c>
    </row>
    <row r="1445" spans="1:44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46</v>
      </c>
      <c r="L1445">
        <v>56</v>
      </c>
      <c r="M1445">
        <v>3</v>
      </c>
      <c r="N1445">
        <v>5</v>
      </c>
      <c r="O1445" t="s">
        <v>56</v>
      </c>
      <c r="P1445">
        <v>3</v>
      </c>
      <c r="Q1445" t="s">
        <v>48</v>
      </c>
      <c r="R1445">
        <v>18880</v>
      </c>
      <c r="S1445">
        <v>5</v>
      </c>
      <c r="T1445" t="s">
        <v>43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  <c r="AF1445">
        <f t="shared" si="286"/>
        <v>0</v>
      </c>
      <c r="AG1445">
        <f t="shared" si="287"/>
        <v>0</v>
      </c>
      <c r="AH1445" t="str">
        <f t="shared" si="288"/>
        <v>Bachelor</v>
      </c>
      <c r="AI1445" t="str">
        <f t="shared" si="289"/>
        <v>Low</v>
      </c>
      <c r="AJ1445" t="str">
        <f t="shared" si="290"/>
        <v>High</v>
      </c>
      <c r="AK1445" t="str">
        <f t="shared" si="291"/>
        <v>Executive</v>
      </c>
      <c r="AL1445" t="str">
        <f t="shared" si="292"/>
        <v>High</v>
      </c>
      <c r="AM1445" t="str">
        <f t="shared" si="293"/>
        <v>Low</v>
      </c>
      <c r="AN1445" t="str">
        <f t="shared" si="294"/>
        <v>No Options</v>
      </c>
      <c r="AO1445" t="str">
        <f t="shared" si="295"/>
        <v>Good</v>
      </c>
      <c r="AP1445" t="str">
        <f t="shared" si="296"/>
        <v>35-44</v>
      </c>
      <c r="AQ1445" t="str">
        <f t="shared" si="297"/>
        <v>High</v>
      </c>
      <c r="AR1445" t="str">
        <f t="shared" si="298"/>
        <v>20+ Years</v>
      </c>
    </row>
    <row r="1446" spans="1:44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t="s">
        <v>46</v>
      </c>
      <c r="L1446">
        <v>72</v>
      </c>
      <c r="M1446">
        <v>3</v>
      </c>
      <c r="N1446">
        <v>1</v>
      </c>
      <c r="O1446" t="s">
        <v>50</v>
      </c>
      <c r="P1446">
        <v>3</v>
      </c>
      <c r="Q1446" t="s">
        <v>48</v>
      </c>
      <c r="R1446">
        <v>2339</v>
      </c>
      <c r="S1446">
        <v>8</v>
      </c>
      <c r="T1446" t="s">
        <v>43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  <c r="AF1446">
        <f t="shared" si="286"/>
        <v>1</v>
      </c>
      <c r="AG1446">
        <f t="shared" si="287"/>
        <v>0</v>
      </c>
      <c r="AH1446" t="str">
        <f t="shared" si="288"/>
        <v>College</v>
      </c>
      <c r="AI1446" t="str">
        <f t="shared" si="289"/>
        <v>Very High</v>
      </c>
      <c r="AJ1446" t="str">
        <f t="shared" si="290"/>
        <v>High</v>
      </c>
      <c r="AK1446" t="str">
        <f t="shared" si="291"/>
        <v>Entry</v>
      </c>
      <c r="AL1446" t="str">
        <f t="shared" si="292"/>
        <v>High</v>
      </c>
      <c r="AM1446" t="str">
        <f t="shared" si="293"/>
        <v>Very High</v>
      </c>
      <c r="AN1446" t="str">
        <f t="shared" si="294"/>
        <v>Low</v>
      </c>
      <c r="AO1446" t="str">
        <f t="shared" si="295"/>
        <v>Bad</v>
      </c>
      <c r="AP1446" t="str">
        <f t="shared" si="296"/>
        <v>55+</v>
      </c>
      <c r="AQ1446" t="str">
        <f t="shared" si="297"/>
        <v>Low</v>
      </c>
      <c r="AR1446" t="str">
        <f t="shared" si="298"/>
        <v>6-10 Years</v>
      </c>
    </row>
    <row r="1447" spans="1:44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60</v>
      </c>
      <c r="M1447">
        <v>2</v>
      </c>
      <c r="N1447">
        <v>4</v>
      </c>
      <c r="O1447" t="s">
        <v>53</v>
      </c>
      <c r="P1447">
        <v>2</v>
      </c>
      <c r="Q1447" t="s">
        <v>48</v>
      </c>
      <c r="R1447">
        <v>13570</v>
      </c>
      <c r="S1447">
        <v>0</v>
      </c>
      <c r="T1447" t="s">
        <v>43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  <c r="AF1447">
        <f t="shared" si="286"/>
        <v>0</v>
      </c>
      <c r="AG1447">
        <f t="shared" si="287"/>
        <v>0</v>
      </c>
      <c r="AH1447" t="str">
        <f t="shared" si="288"/>
        <v>Master</v>
      </c>
      <c r="AI1447" t="str">
        <f t="shared" si="289"/>
        <v>Low</v>
      </c>
      <c r="AJ1447" t="str">
        <f t="shared" si="290"/>
        <v>Medium</v>
      </c>
      <c r="AK1447" t="str">
        <f t="shared" si="291"/>
        <v>Senior</v>
      </c>
      <c r="AL1447" t="str">
        <f t="shared" si="292"/>
        <v>Medium</v>
      </c>
      <c r="AM1447" t="str">
        <f t="shared" si="293"/>
        <v>High</v>
      </c>
      <c r="AN1447" t="str">
        <f t="shared" si="294"/>
        <v>Low</v>
      </c>
      <c r="AO1447" t="str">
        <f t="shared" si="295"/>
        <v>Better</v>
      </c>
      <c r="AP1447" t="str">
        <f t="shared" si="296"/>
        <v>35-44</v>
      </c>
      <c r="AQ1447" t="str">
        <f t="shared" si="297"/>
        <v>High</v>
      </c>
      <c r="AR1447" t="str">
        <f t="shared" si="298"/>
        <v>11-20 Years</v>
      </c>
    </row>
    <row r="1448" spans="1:44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t="s">
        <v>39</v>
      </c>
      <c r="L1448">
        <v>95</v>
      </c>
      <c r="M1448">
        <v>2</v>
      </c>
      <c r="N1448">
        <v>2</v>
      </c>
      <c r="O1448" t="s">
        <v>40</v>
      </c>
      <c r="P1448">
        <v>3</v>
      </c>
      <c r="Q1448" t="s">
        <v>48</v>
      </c>
      <c r="R1448">
        <v>6712</v>
      </c>
      <c r="S1448">
        <v>1</v>
      </c>
      <c r="T1448" t="s">
        <v>43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  <c r="AF1448">
        <f t="shared" si="286"/>
        <v>0</v>
      </c>
      <c r="AG1448">
        <f t="shared" si="287"/>
        <v>0</v>
      </c>
      <c r="AH1448" t="str">
        <f t="shared" si="288"/>
        <v>Bachelor</v>
      </c>
      <c r="AI1448" t="str">
        <f t="shared" si="289"/>
        <v>Very High</v>
      </c>
      <c r="AJ1448" t="str">
        <f t="shared" si="290"/>
        <v>Medium</v>
      </c>
      <c r="AK1448" t="str">
        <f t="shared" si="291"/>
        <v>Junior</v>
      </c>
      <c r="AL1448" t="str">
        <f t="shared" si="292"/>
        <v>High</v>
      </c>
      <c r="AM1448" t="str">
        <f t="shared" si="293"/>
        <v>Very High</v>
      </c>
      <c r="AN1448" t="str">
        <f t="shared" si="294"/>
        <v>Medium</v>
      </c>
      <c r="AO1448" t="str">
        <f t="shared" si="295"/>
        <v>Better</v>
      </c>
      <c r="AP1448" t="str">
        <f t="shared" si="296"/>
        <v>25-34</v>
      </c>
      <c r="AQ1448" t="str">
        <f t="shared" si="297"/>
        <v>Lower-Mid</v>
      </c>
      <c r="AR1448" t="str">
        <f t="shared" si="298"/>
        <v>6-10 Years</v>
      </c>
    </row>
    <row r="1449" spans="1:44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t="s">
        <v>46</v>
      </c>
      <c r="L1449">
        <v>88</v>
      </c>
      <c r="M1449">
        <v>1</v>
      </c>
      <c r="N1449">
        <v>2</v>
      </c>
      <c r="O1449" t="s">
        <v>40</v>
      </c>
      <c r="P1449">
        <v>4</v>
      </c>
      <c r="Q1449" t="s">
        <v>52</v>
      </c>
      <c r="R1449">
        <v>5406</v>
      </c>
      <c r="S1449">
        <v>1</v>
      </c>
      <c r="T1449" t="s">
        <v>43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  <c r="AF1449">
        <f t="shared" si="286"/>
        <v>0</v>
      </c>
      <c r="AG1449">
        <f t="shared" si="287"/>
        <v>0</v>
      </c>
      <c r="AH1449" t="str">
        <f t="shared" si="288"/>
        <v>Master</v>
      </c>
      <c r="AI1449" t="str">
        <f t="shared" si="289"/>
        <v>Very High</v>
      </c>
      <c r="AJ1449" t="str">
        <f t="shared" si="290"/>
        <v>Low</v>
      </c>
      <c r="AK1449" t="str">
        <f t="shared" si="291"/>
        <v>Junior</v>
      </c>
      <c r="AL1449" t="str">
        <f t="shared" si="292"/>
        <v>Very High</v>
      </c>
      <c r="AM1449" t="str">
        <f t="shared" si="293"/>
        <v>Low</v>
      </c>
      <c r="AN1449" t="str">
        <f t="shared" si="294"/>
        <v>Low</v>
      </c>
      <c r="AO1449" t="str">
        <f t="shared" si="295"/>
        <v>Good</v>
      </c>
      <c r="AP1449" t="str">
        <f t="shared" si="296"/>
        <v>35-44</v>
      </c>
      <c r="AQ1449" t="str">
        <f t="shared" si="297"/>
        <v>Lower-Mid</v>
      </c>
      <c r="AR1449" t="str">
        <f t="shared" si="298"/>
        <v>11-20 Years</v>
      </c>
    </row>
    <row r="1450" spans="1:44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46</v>
      </c>
      <c r="L1450">
        <v>57</v>
      </c>
      <c r="M1450">
        <v>2</v>
      </c>
      <c r="N1450">
        <v>2</v>
      </c>
      <c r="O1450" t="s">
        <v>40</v>
      </c>
      <c r="P1450">
        <v>2</v>
      </c>
      <c r="Q1450" t="s">
        <v>52</v>
      </c>
      <c r="R1450">
        <v>8938</v>
      </c>
      <c r="S1450">
        <v>2</v>
      </c>
      <c r="T1450" t="s">
        <v>43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  <c r="AF1450">
        <f t="shared" si="286"/>
        <v>0</v>
      </c>
      <c r="AG1450">
        <f t="shared" si="287"/>
        <v>0</v>
      </c>
      <c r="AH1450" t="str">
        <f t="shared" si="288"/>
        <v>Bachelor</v>
      </c>
      <c r="AI1450" t="str">
        <f t="shared" si="289"/>
        <v>High</v>
      </c>
      <c r="AJ1450" t="str">
        <f t="shared" si="290"/>
        <v>Medium</v>
      </c>
      <c r="AK1450" t="str">
        <f t="shared" si="291"/>
        <v>Junior</v>
      </c>
      <c r="AL1450" t="str">
        <f t="shared" si="292"/>
        <v>Medium</v>
      </c>
      <c r="AM1450" t="str">
        <f t="shared" si="293"/>
        <v>High</v>
      </c>
      <c r="AN1450" t="str">
        <f t="shared" si="294"/>
        <v>Low</v>
      </c>
      <c r="AO1450" t="str">
        <f t="shared" si="295"/>
        <v>Better</v>
      </c>
      <c r="AP1450" t="str">
        <f t="shared" si="296"/>
        <v>35-44</v>
      </c>
      <c r="AQ1450" t="str">
        <f t="shared" si="297"/>
        <v>Upper-Mid</v>
      </c>
      <c r="AR1450" t="str">
        <f t="shared" si="298"/>
        <v>3-5 Years</v>
      </c>
    </row>
    <row r="1451" spans="1:44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t="s">
        <v>46</v>
      </c>
      <c r="L1451">
        <v>78</v>
      </c>
      <c r="M1451">
        <v>3</v>
      </c>
      <c r="N1451">
        <v>1</v>
      </c>
      <c r="O1451" t="s">
        <v>47</v>
      </c>
      <c r="P1451">
        <v>1</v>
      </c>
      <c r="Q1451" t="s">
        <v>41</v>
      </c>
      <c r="R1451">
        <v>2439</v>
      </c>
      <c r="S1451">
        <v>1</v>
      </c>
      <c r="T1451" t="s">
        <v>43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  <c r="AF1451">
        <f t="shared" si="286"/>
        <v>0</v>
      </c>
      <c r="AG1451">
        <f t="shared" si="287"/>
        <v>0</v>
      </c>
      <c r="AH1451" t="str">
        <f t="shared" si="288"/>
        <v>Bachelor</v>
      </c>
      <c r="AI1451" t="str">
        <f t="shared" si="289"/>
        <v>Very High</v>
      </c>
      <c r="AJ1451" t="str">
        <f t="shared" si="290"/>
        <v>High</v>
      </c>
      <c r="AK1451" t="str">
        <f t="shared" si="291"/>
        <v>Entry</v>
      </c>
      <c r="AL1451" t="str">
        <f t="shared" si="292"/>
        <v>Low</v>
      </c>
      <c r="AM1451" t="str">
        <f t="shared" si="293"/>
        <v>Very High</v>
      </c>
      <c r="AN1451" t="str">
        <f t="shared" si="294"/>
        <v>No Options</v>
      </c>
      <c r="AO1451" t="str">
        <f t="shared" si="295"/>
        <v>Better</v>
      </c>
      <c r="AP1451" t="str">
        <f t="shared" si="296"/>
        <v>25-34</v>
      </c>
      <c r="AQ1451" t="str">
        <f t="shared" si="297"/>
        <v>Low</v>
      </c>
      <c r="AR1451" t="str">
        <f t="shared" si="298"/>
        <v>3-5 Years</v>
      </c>
    </row>
    <row r="1452" spans="1:44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31</v>
      </c>
      <c r="M1452">
        <v>3</v>
      </c>
      <c r="N1452">
        <v>3</v>
      </c>
      <c r="O1452" t="s">
        <v>61</v>
      </c>
      <c r="P1452">
        <v>4</v>
      </c>
      <c r="Q1452" t="s">
        <v>41</v>
      </c>
      <c r="R1452">
        <v>8837</v>
      </c>
      <c r="S1452">
        <v>1</v>
      </c>
      <c r="T1452" t="s">
        <v>35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  <c r="AF1452">
        <f t="shared" si="286"/>
        <v>0</v>
      </c>
      <c r="AG1452">
        <f t="shared" si="287"/>
        <v>1</v>
      </c>
      <c r="AH1452" t="str">
        <f t="shared" si="288"/>
        <v>Master</v>
      </c>
      <c r="AI1452" t="str">
        <f t="shared" si="289"/>
        <v>High</v>
      </c>
      <c r="AJ1452" t="str">
        <f t="shared" si="290"/>
        <v>High</v>
      </c>
      <c r="AK1452" t="str">
        <f t="shared" si="291"/>
        <v>Mid-Level</v>
      </c>
      <c r="AL1452" t="str">
        <f t="shared" si="292"/>
        <v>Very High</v>
      </c>
      <c r="AM1452" t="str">
        <f t="shared" si="293"/>
        <v>High</v>
      </c>
      <c r="AN1452" t="str">
        <f t="shared" si="294"/>
        <v>No Options</v>
      </c>
      <c r="AO1452" t="str">
        <f t="shared" si="295"/>
        <v>Better</v>
      </c>
      <c r="AP1452" t="str">
        <f t="shared" si="296"/>
        <v>35-44</v>
      </c>
      <c r="AQ1452" t="str">
        <f t="shared" si="297"/>
        <v>Upper-Mid</v>
      </c>
      <c r="AR1452" t="str">
        <f t="shared" si="298"/>
        <v>6-10 Years</v>
      </c>
    </row>
    <row r="1453" spans="1:44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100</v>
      </c>
      <c r="M1453">
        <v>3</v>
      </c>
      <c r="N1453">
        <v>2</v>
      </c>
      <c r="O1453" t="s">
        <v>40</v>
      </c>
      <c r="P1453">
        <v>4</v>
      </c>
      <c r="Q1453" t="s">
        <v>48</v>
      </c>
      <c r="R1453">
        <v>5343</v>
      </c>
      <c r="S1453">
        <v>1</v>
      </c>
      <c r="T1453" t="s">
        <v>43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  <c r="AF1453">
        <f t="shared" si="286"/>
        <v>0</v>
      </c>
      <c r="AG1453">
        <f t="shared" si="287"/>
        <v>0</v>
      </c>
      <c r="AH1453" t="str">
        <f t="shared" si="288"/>
        <v>College</v>
      </c>
      <c r="AI1453" t="str">
        <f t="shared" si="289"/>
        <v>Low</v>
      </c>
      <c r="AJ1453" t="str">
        <f t="shared" si="290"/>
        <v>High</v>
      </c>
      <c r="AK1453" t="str">
        <f t="shared" si="291"/>
        <v>Junior</v>
      </c>
      <c r="AL1453" t="str">
        <f t="shared" si="292"/>
        <v>Very High</v>
      </c>
      <c r="AM1453" t="str">
        <f t="shared" si="293"/>
        <v>High</v>
      </c>
      <c r="AN1453" t="str">
        <f t="shared" si="294"/>
        <v>Low</v>
      </c>
      <c r="AO1453" t="str">
        <f t="shared" si="295"/>
        <v>Better</v>
      </c>
      <c r="AP1453" t="str">
        <f t="shared" si="296"/>
        <v>35-44</v>
      </c>
      <c r="AQ1453" t="str">
        <f t="shared" si="297"/>
        <v>Lower-Mid</v>
      </c>
      <c r="AR1453" t="str">
        <f t="shared" si="298"/>
        <v>6-10 Years</v>
      </c>
    </row>
    <row r="1454" spans="1:44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46</v>
      </c>
      <c r="L1454">
        <v>94</v>
      </c>
      <c r="M1454">
        <v>3</v>
      </c>
      <c r="N1454">
        <v>2</v>
      </c>
      <c r="O1454" t="s">
        <v>40</v>
      </c>
      <c r="P1454">
        <v>3</v>
      </c>
      <c r="Q1454" t="s">
        <v>52</v>
      </c>
      <c r="R1454">
        <v>6728</v>
      </c>
      <c r="S1454">
        <v>7</v>
      </c>
      <c r="T1454" t="s">
        <v>43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  <c r="AF1454">
        <f t="shared" si="286"/>
        <v>1</v>
      </c>
      <c r="AG1454">
        <f t="shared" si="287"/>
        <v>0</v>
      </c>
      <c r="AH1454" t="str">
        <f t="shared" si="288"/>
        <v>Master</v>
      </c>
      <c r="AI1454" t="str">
        <f t="shared" si="289"/>
        <v>Medium</v>
      </c>
      <c r="AJ1454" t="str">
        <f t="shared" si="290"/>
        <v>High</v>
      </c>
      <c r="AK1454" t="str">
        <f t="shared" si="291"/>
        <v>Junior</v>
      </c>
      <c r="AL1454" t="str">
        <f t="shared" si="292"/>
        <v>High</v>
      </c>
      <c r="AM1454" t="str">
        <f t="shared" si="293"/>
        <v>Very High</v>
      </c>
      <c r="AN1454" t="str">
        <f t="shared" si="294"/>
        <v>Medium</v>
      </c>
      <c r="AO1454" t="str">
        <f t="shared" si="295"/>
        <v>Better</v>
      </c>
      <c r="AP1454" t="str">
        <f t="shared" si="296"/>
        <v>45-54</v>
      </c>
      <c r="AQ1454" t="str">
        <f t="shared" si="297"/>
        <v>Lower-Mid</v>
      </c>
      <c r="AR1454" t="str">
        <f t="shared" si="298"/>
        <v>6-10 Years</v>
      </c>
    </row>
    <row r="1455" spans="1:44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t="s">
        <v>39</v>
      </c>
      <c r="L1455">
        <v>100</v>
      </c>
      <c r="M1455">
        <v>2</v>
      </c>
      <c r="N1455">
        <v>2</v>
      </c>
      <c r="O1455" t="s">
        <v>40</v>
      </c>
      <c r="P1455">
        <v>4</v>
      </c>
      <c r="Q1455" t="s">
        <v>48</v>
      </c>
      <c r="R1455">
        <v>6652</v>
      </c>
      <c r="S1455">
        <v>4</v>
      </c>
      <c r="T1455" t="s">
        <v>43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  <c r="AF1455">
        <f t="shared" si="286"/>
        <v>0</v>
      </c>
      <c r="AG1455">
        <f t="shared" si="287"/>
        <v>0</v>
      </c>
      <c r="AH1455" t="str">
        <f t="shared" si="288"/>
        <v>Master</v>
      </c>
      <c r="AI1455" t="str">
        <f t="shared" si="289"/>
        <v>Medium</v>
      </c>
      <c r="AJ1455" t="str">
        <f t="shared" si="290"/>
        <v>Medium</v>
      </c>
      <c r="AK1455" t="str">
        <f t="shared" si="291"/>
        <v>Junior</v>
      </c>
      <c r="AL1455" t="str">
        <f t="shared" si="292"/>
        <v>Very High</v>
      </c>
      <c r="AM1455" t="str">
        <f t="shared" si="293"/>
        <v>Low</v>
      </c>
      <c r="AN1455" t="str">
        <f t="shared" si="294"/>
        <v>Low</v>
      </c>
      <c r="AO1455" t="str">
        <f t="shared" si="295"/>
        <v>Good</v>
      </c>
      <c r="AP1455" t="str">
        <f t="shared" si="296"/>
        <v>35-44</v>
      </c>
      <c r="AQ1455" t="str">
        <f t="shared" si="297"/>
        <v>Lower-Mid</v>
      </c>
      <c r="AR1455" t="str">
        <f t="shared" si="298"/>
        <v>6-10 Years</v>
      </c>
    </row>
    <row r="1456" spans="1:44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50</v>
      </c>
      <c r="M1456">
        <v>3</v>
      </c>
      <c r="N1456">
        <v>2</v>
      </c>
      <c r="O1456" t="s">
        <v>40</v>
      </c>
      <c r="P1456">
        <v>3</v>
      </c>
      <c r="Q1456" t="s">
        <v>41</v>
      </c>
      <c r="R1456">
        <v>4850</v>
      </c>
      <c r="S1456">
        <v>8</v>
      </c>
      <c r="T1456" t="s">
        <v>43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  <c r="AF1456">
        <f t="shared" si="286"/>
        <v>0</v>
      </c>
      <c r="AG1456">
        <f t="shared" si="287"/>
        <v>0</v>
      </c>
      <c r="AH1456" t="str">
        <f t="shared" si="288"/>
        <v>Bachelor</v>
      </c>
      <c r="AI1456" t="str">
        <f t="shared" si="289"/>
        <v>Very High</v>
      </c>
      <c r="AJ1456" t="str">
        <f t="shared" si="290"/>
        <v>High</v>
      </c>
      <c r="AK1456" t="str">
        <f t="shared" si="291"/>
        <v>Junior</v>
      </c>
      <c r="AL1456" t="str">
        <f t="shared" si="292"/>
        <v>High</v>
      </c>
      <c r="AM1456" t="str">
        <f t="shared" si="293"/>
        <v>High</v>
      </c>
      <c r="AN1456" t="str">
        <f t="shared" si="294"/>
        <v>No Options</v>
      </c>
      <c r="AO1456" t="str">
        <f t="shared" si="295"/>
        <v>Better</v>
      </c>
      <c r="AP1456" t="str">
        <f t="shared" si="296"/>
        <v>45-54</v>
      </c>
      <c r="AQ1456" t="str">
        <f t="shared" si="297"/>
        <v>Lower-Mid</v>
      </c>
      <c r="AR1456" t="str">
        <f t="shared" si="298"/>
        <v>3-5 Years</v>
      </c>
    </row>
    <row r="1457" spans="1:44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46</v>
      </c>
      <c r="L1457">
        <v>52</v>
      </c>
      <c r="M1457">
        <v>2</v>
      </c>
      <c r="N1457">
        <v>1</v>
      </c>
      <c r="O1457" t="s">
        <v>47</v>
      </c>
      <c r="P1457">
        <v>3</v>
      </c>
      <c r="Q1457" t="s">
        <v>41</v>
      </c>
      <c r="R1457">
        <v>2809</v>
      </c>
      <c r="S1457">
        <v>2</v>
      </c>
      <c r="T1457" t="s">
        <v>43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  <c r="AF1457">
        <f t="shared" si="286"/>
        <v>0</v>
      </c>
      <c r="AG1457">
        <f t="shared" si="287"/>
        <v>0</v>
      </c>
      <c r="AH1457" t="str">
        <f t="shared" si="288"/>
        <v>Master</v>
      </c>
      <c r="AI1457" t="str">
        <f t="shared" si="289"/>
        <v>High</v>
      </c>
      <c r="AJ1457" t="str">
        <f t="shared" si="290"/>
        <v>Medium</v>
      </c>
      <c r="AK1457" t="str">
        <f t="shared" si="291"/>
        <v>Entry</v>
      </c>
      <c r="AL1457" t="str">
        <f t="shared" si="292"/>
        <v>High</v>
      </c>
      <c r="AM1457" t="str">
        <f t="shared" si="293"/>
        <v>Very High</v>
      </c>
      <c r="AN1457" t="str">
        <f t="shared" si="294"/>
        <v>No Options</v>
      </c>
      <c r="AO1457" t="str">
        <f t="shared" si="295"/>
        <v>Better</v>
      </c>
      <c r="AP1457" t="str">
        <f t="shared" si="296"/>
        <v>35-44</v>
      </c>
      <c r="AQ1457" t="str">
        <f t="shared" si="297"/>
        <v>Low</v>
      </c>
      <c r="AR1457" t="str">
        <f t="shared" si="298"/>
        <v>0-2 Years</v>
      </c>
    </row>
    <row r="1458" spans="1:44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46</v>
      </c>
      <c r="L1458">
        <v>80</v>
      </c>
      <c r="M1458">
        <v>3</v>
      </c>
      <c r="N1458">
        <v>2</v>
      </c>
      <c r="O1458" t="s">
        <v>54</v>
      </c>
      <c r="P1458">
        <v>3</v>
      </c>
      <c r="Q1458" t="s">
        <v>48</v>
      </c>
      <c r="R1458">
        <v>5689</v>
      </c>
      <c r="S1458">
        <v>1</v>
      </c>
      <c r="T1458" t="s">
        <v>35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  <c r="AF1458">
        <f t="shared" si="286"/>
        <v>0</v>
      </c>
      <c r="AG1458">
        <f t="shared" si="287"/>
        <v>1</v>
      </c>
      <c r="AH1458" t="str">
        <f t="shared" si="288"/>
        <v>Master</v>
      </c>
      <c r="AI1458" t="str">
        <f t="shared" si="289"/>
        <v>High</v>
      </c>
      <c r="AJ1458" t="str">
        <f t="shared" si="290"/>
        <v>High</v>
      </c>
      <c r="AK1458" t="str">
        <f t="shared" si="291"/>
        <v>Junior</v>
      </c>
      <c r="AL1458" t="str">
        <f t="shared" si="292"/>
        <v>High</v>
      </c>
      <c r="AM1458" t="str">
        <f t="shared" si="293"/>
        <v>Very High</v>
      </c>
      <c r="AN1458" t="str">
        <f t="shared" si="294"/>
        <v>Medium</v>
      </c>
      <c r="AO1458" t="str">
        <f t="shared" si="295"/>
        <v>Best</v>
      </c>
      <c r="AP1458" t="str">
        <f t="shared" si="296"/>
        <v>35-44</v>
      </c>
      <c r="AQ1458" t="str">
        <f t="shared" si="297"/>
        <v>Lower-Mid</v>
      </c>
      <c r="AR1458" t="str">
        <f t="shared" si="298"/>
        <v>6-10 Years</v>
      </c>
    </row>
    <row r="1459" spans="1:44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39</v>
      </c>
      <c r="L1459">
        <v>98</v>
      </c>
      <c r="M1459">
        <v>3</v>
      </c>
      <c r="N1459">
        <v>1</v>
      </c>
      <c r="O1459" t="s">
        <v>47</v>
      </c>
      <c r="P1459">
        <v>3</v>
      </c>
      <c r="Q1459" t="s">
        <v>48</v>
      </c>
      <c r="R1459">
        <v>2001</v>
      </c>
      <c r="S1459">
        <v>2</v>
      </c>
      <c r="T1459" t="s">
        <v>43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  <c r="AF1459">
        <f t="shared" si="286"/>
        <v>0</v>
      </c>
      <c r="AG1459">
        <f t="shared" si="287"/>
        <v>0</v>
      </c>
      <c r="AH1459" t="str">
        <f t="shared" si="288"/>
        <v>Master</v>
      </c>
      <c r="AI1459" t="str">
        <f t="shared" si="289"/>
        <v>High</v>
      </c>
      <c r="AJ1459" t="str">
        <f t="shared" si="290"/>
        <v>High</v>
      </c>
      <c r="AK1459" t="str">
        <f t="shared" si="291"/>
        <v>Entry</v>
      </c>
      <c r="AL1459" t="str">
        <f t="shared" si="292"/>
        <v>High</v>
      </c>
      <c r="AM1459" t="str">
        <f t="shared" si="293"/>
        <v>Medium</v>
      </c>
      <c r="AN1459" t="str">
        <f t="shared" si="294"/>
        <v>High</v>
      </c>
      <c r="AO1459" t="str">
        <f t="shared" si="295"/>
        <v>Better</v>
      </c>
      <c r="AP1459" t="str">
        <f t="shared" si="296"/>
        <v>35-44</v>
      </c>
      <c r="AQ1459" t="str">
        <f t="shared" si="297"/>
        <v>Low</v>
      </c>
      <c r="AR1459" t="str">
        <f t="shared" si="298"/>
        <v>3-5 Years</v>
      </c>
    </row>
    <row r="1460" spans="1:44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62</v>
      </c>
      <c r="M1460">
        <v>1</v>
      </c>
      <c r="N1460">
        <v>1</v>
      </c>
      <c r="O1460" t="s">
        <v>47</v>
      </c>
      <c r="P1460">
        <v>4</v>
      </c>
      <c r="Q1460" t="s">
        <v>48</v>
      </c>
      <c r="R1460">
        <v>2977</v>
      </c>
      <c r="S1460">
        <v>1</v>
      </c>
      <c r="T1460" t="s">
        <v>43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  <c r="AF1460">
        <f t="shared" si="286"/>
        <v>0</v>
      </c>
      <c r="AG1460">
        <f t="shared" si="287"/>
        <v>0</v>
      </c>
      <c r="AH1460" t="str">
        <f t="shared" si="288"/>
        <v>Master</v>
      </c>
      <c r="AI1460" t="str">
        <f t="shared" si="289"/>
        <v>High</v>
      </c>
      <c r="AJ1460" t="str">
        <f t="shared" si="290"/>
        <v>Low</v>
      </c>
      <c r="AK1460" t="str">
        <f t="shared" si="291"/>
        <v>Entry</v>
      </c>
      <c r="AL1460" t="str">
        <f t="shared" si="292"/>
        <v>Very High</v>
      </c>
      <c r="AM1460" t="str">
        <f t="shared" si="293"/>
        <v>Very High</v>
      </c>
      <c r="AN1460" t="str">
        <f t="shared" si="294"/>
        <v>Low</v>
      </c>
      <c r="AO1460" t="str">
        <f t="shared" si="295"/>
        <v>Better</v>
      </c>
      <c r="AP1460" t="str">
        <f t="shared" si="296"/>
        <v>35-44</v>
      </c>
      <c r="AQ1460" t="str">
        <f t="shared" si="297"/>
        <v>Low</v>
      </c>
      <c r="AR1460" t="str">
        <f t="shared" si="298"/>
        <v>3-5 Years</v>
      </c>
    </row>
    <row r="1461" spans="1:44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46</v>
      </c>
      <c r="M1461">
        <v>2</v>
      </c>
      <c r="N1461">
        <v>2</v>
      </c>
      <c r="O1461" t="s">
        <v>50</v>
      </c>
      <c r="P1461">
        <v>2</v>
      </c>
      <c r="Q1461" t="s">
        <v>48</v>
      </c>
      <c r="R1461">
        <v>4025</v>
      </c>
      <c r="S1461">
        <v>4</v>
      </c>
      <c r="T1461" t="s">
        <v>35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  <c r="AF1461">
        <f t="shared" si="286"/>
        <v>0</v>
      </c>
      <c r="AG1461">
        <f t="shared" si="287"/>
        <v>1</v>
      </c>
      <c r="AH1461" t="str">
        <f t="shared" si="288"/>
        <v>College</v>
      </c>
      <c r="AI1461" t="str">
        <f t="shared" si="289"/>
        <v>Very High</v>
      </c>
      <c r="AJ1461" t="str">
        <f t="shared" si="290"/>
        <v>Medium</v>
      </c>
      <c r="AK1461" t="str">
        <f t="shared" si="291"/>
        <v>Junior</v>
      </c>
      <c r="AL1461" t="str">
        <f t="shared" si="292"/>
        <v>Medium</v>
      </c>
      <c r="AM1461" t="str">
        <f t="shared" si="293"/>
        <v>Low</v>
      </c>
      <c r="AN1461" t="str">
        <f t="shared" si="294"/>
        <v>Low</v>
      </c>
      <c r="AO1461" t="str">
        <f t="shared" si="295"/>
        <v>Better</v>
      </c>
      <c r="AP1461" t="str">
        <f t="shared" si="296"/>
        <v>25-34</v>
      </c>
      <c r="AQ1461" t="str">
        <f t="shared" si="297"/>
        <v>Lower-Mid</v>
      </c>
      <c r="AR1461" t="str">
        <f t="shared" si="298"/>
        <v>3-5 Years</v>
      </c>
    </row>
    <row r="1462" spans="1:44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39</v>
      </c>
      <c r="L1462">
        <v>73</v>
      </c>
      <c r="M1462">
        <v>2</v>
      </c>
      <c r="N1462">
        <v>1</v>
      </c>
      <c r="O1462" t="s">
        <v>47</v>
      </c>
      <c r="P1462">
        <v>1</v>
      </c>
      <c r="Q1462" t="s">
        <v>41</v>
      </c>
      <c r="R1462">
        <v>3785</v>
      </c>
      <c r="S1462">
        <v>1</v>
      </c>
      <c r="T1462" t="s">
        <v>43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  <c r="AF1462">
        <f t="shared" si="286"/>
        <v>0</v>
      </c>
      <c r="AG1462">
        <f t="shared" si="287"/>
        <v>0</v>
      </c>
      <c r="AH1462" t="str">
        <f t="shared" si="288"/>
        <v>Master</v>
      </c>
      <c r="AI1462" t="str">
        <f t="shared" si="289"/>
        <v>Very High</v>
      </c>
      <c r="AJ1462" t="str">
        <f t="shared" si="290"/>
        <v>Medium</v>
      </c>
      <c r="AK1462" t="str">
        <f t="shared" si="291"/>
        <v>Entry</v>
      </c>
      <c r="AL1462" t="str">
        <f t="shared" si="292"/>
        <v>Low</v>
      </c>
      <c r="AM1462" t="str">
        <f t="shared" si="293"/>
        <v>Medium</v>
      </c>
      <c r="AN1462" t="str">
        <f t="shared" si="294"/>
        <v>No Options</v>
      </c>
      <c r="AO1462" t="str">
        <f t="shared" si="295"/>
        <v>Bad</v>
      </c>
      <c r="AP1462" t="str">
        <f t="shared" si="296"/>
        <v>25-34</v>
      </c>
      <c r="AQ1462" t="str">
        <f t="shared" si="297"/>
        <v>Lower-Mid</v>
      </c>
      <c r="AR1462" t="str">
        <f t="shared" si="298"/>
        <v>3-5 Years</v>
      </c>
    </row>
    <row r="1463" spans="1:44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t="s">
        <v>46</v>
      </c>
      <c r="L1463">
        <v>39</v>
      </c>
      <c r="M1463">
        <v>2</v>
      </c>
      <c r="N1463">
        <v>3</v>
      </c>
      <c r="O1463" t="s">
        <v>40</v>
      </c>
      <c r="P1463">
        <v>1</v>
      </c>
      <c r="Q1463" t="s">
        <v>52</v>
      </c>
      <c r="R1463">
        <v>10854</v>
      </c>
      <c r="S1463">
        <v>4</v>
      </c>
      <c r="T1463" t="s">
        <v>35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  <c r="AF1463">
        <f t="shared" si="286"/>
        <v>1</v>
      </c>
      <c r="AG1463">
        <f t="shared" si="287"/>
        <v>1</v>
      </c>
      <c r="AH1463" t="str">
        <f t="shared" si="288"/>
        <v>Bachelor</v>
      </c>
      <c r="AI1463" t="str">
        <f t="shared" si="289"/>
        <v>Very High</v>
      </c>
      <c r="AJ1463" t="str">
        <f t="shared" si="290"/>
        <v>Medium</v>
      </c>
      <c r="AK1463" t="str">
        <f t="shared" si="291"/>
        <v>Mid-Level</v>
      </c>
      <c r="AL1463" t="str">
        <f t="shared" si="292"/>
        <v>Low</v>
      </c>
      <c r="AM1463" t="str">
        <f t="shared" si="293"/>
        <v>Medium</v>
      </c>
      <c r="AN1463" t="str">
        <f t="shared" si="294"/>
        <v>Low</v>
      </c>
      <c r="AO1463" t="str">
        <f t="shared" si="295"/>
        <v>Better</v>
      </c>
      <c r="AP1463" t="str">
        <f t="shared" si="296"/>
        <v>45-54</v>
      </c>
      <c r="AQ1463" t="str">
        <f t="shared" si="297"/>
        <v>Upper-Mid</v>
      </c>
      <c r="AR1463" t="str">
        <f t="shared" si="298"/>
        <v>3-5 Years</v>
      </c>
    </row>
    <row r="1464" spans="1:44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t="s">
        <v>39</v>
      </c>
      <c r="L1464">
        <v>60</v>
      </c>
      <c r="M1464">
        <v>2</v>
      </c>
      <c r="N1464">
        <v>4</v>
      </c>
      <c r="O1464" t="s">
        <v>40</v>
      </c>
      <c r="P1464">
        <v>4</v>
      </c>
      <c r="Q1464" t="s">
        <v>48</v>
      </c>
      <c r="R1464">
        <v>12031</v>
      </c>
      <c r="S1464">
        <v>0</v>
      </c>
      <c r="T1464" t="s">
        <v>43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  <c r="AF1464">
        <f t="shared" si="286"/>
        <v>0</v>
      </c>
      <c r="AG1464">
        <f t="shared" si="287"/>
        <v>0</v>
      </c>
      <c r="AH1464" t="str">
        <f t="shared" si="288"/>
        <v>Below College</v>
      </c>
      <c r="AI1464" t="str">
        <f t="shared" si="289"/>
        <v>Medium</v>
      </c>
      <c r="AJ1464" t="str">
        <f t="shared" si="290"/>
        <v>Medium</v>
      </c>
      <c r="AK1464" t="str">
        <f t="shared" si="291"/>
        <v>Senior</v>
      </c>
      <c r="AL1464" t="str">
        <f t="shared" si="292"/>
        <v>Very High</v>
      </c>
      <c r="AM1464" t="str">
        <f t="shared" si="293"/>
        <v>Low</v>
      </c>
      <c r="AN1464" t="str">
        <f t="shared" si="294"/>
        <v>Low</v>
      </c>
      <c r="AO1464" t="str">
        <f t="shared" si="295"/>
        <v>Good</v>
      </c>
      <c r="AP1464" t="str">
        <f t="shared" si="296"/>
        <v>35-44</v>
      </c>
      <c r="AQ1464" t="str">
        <f t="shared" si="297"/>
        <v>Upper-Mid</v>
      </c>
      <c r="AR1464" t="str">
        <f t="shared" si="298"/>
        <v>11-20 Years</v>
      </c>
    </row>
    <row r="1465" spans="1:44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46</v>
      </c>
      <c r="L1465">
        <v>74</v>
      </c>
      <c r="M1465">
        <v>3</v>
      </c>
      <c r="N1465">
        <v>2</v>
      </c>
      <c r="O1465" t="s">
        <v>53</v>
      </c>
      <c r="P1465">
        <v>1</v>
      </c>
      <c r="Q1465" t="s">
        <v>41</v>
      </c>
      <c r="R1465">
        <v>9936</v>
      </c>
      <c r="S1465">
        <v>0</v>
      </c>
      <c r="T1465" t="s">
        <v>43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  <c r="AF1465">
        <f t="shared" si="286"/>
        <v>0</v>
      </c>
      <c r="AG1465">
        <f t="shared" si="287"/>
        <v>0</v>
      </c>
      <c r="AH1465" t="str">
        <f t="shared" si="288"/>
        <v>Bachelor</v>
      </c>
      <c r="AI1465" t="str">
        <f t="shared" si="289"/>
        <v>Medium</v>
      </c>
      <c r="AJ1465" t="str">
        <f t="shared" si="290"/>
        <v>High</v>
      </c>
      <c r="AK1465" t="str">
        <f t="shared" si="291"/>
        <v>Junior</v>
      </c>
      <c r="AL1465" t="str">
        <f t="shared" si="292"/>
        <v>Low</v>
      </c>
      <c r="AM1465" t="str">
        <f t="shared" si="293"/>
        <v>Medium</v>
      </c>
      <c r="AN1465" t="str">
        <f t="shared" si="294"/>
        <v>No Options</v>
      </c>
      <c r="AO1465" t="str">
        <f t="shared" si="295"/>
        <v>Better</v>
      </c>
      <c r="AP1465" t="str">
        <f t="shared" si="296"/>
        <v>25-34</v>
      </c>
      <c r="AQ1465" t="str">
        <f t="shared" si="297"/>
        <v>Upper-Mid</v>
      </c>
      <c r="AR1465" t="str">
        <f t="shared" si="298"/>
        <v>6-10 Years</v>
      </c>
    </row>
    <row r="1466" spans="1:44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39</v>
      </c>
      <c r="L1466">
        <v>30</v>
      </c>
      <c r="M1466">
        <v>2</v>
      </c>
      <c r="N1466">
        <v>1</v>
      </c>
      <c r="O1466" t="s">
        <v>57</v>
      </c>
      <c r="P1466">
        <v>3</v>
      </c>
      <c r="Q1466" t="s">
        <v>41</v>
      </c>
      <c r="R1466">
        <v>2966</v>
      </c>
      <c r="S1466">
        <v>0</v>
      </c>
      <c r="T1466" t="s">
        <v>43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  <c r="AF1466">
        <f t="shared" si="286"/>
        <v>0</v>
      </c>
      <c r="AG1466">
        <f t="shared" si="287"/>
        <v>0</v>
      </c>
      <c r="AH1466" t="str">
        <f t="shared" si="288"/>
        <v>Bachelor</v>
      </c>
      <c r="AI1466" t="str">
        <f t="shared" si="289"/>
        <v>Very High</v>
      </c>
      <c r="AJ1466" t="str">
        <f t="shared" si="290"/>
        <v>Medium</v>
      </c>
      <c r="AK1466" t="str">
        <f t="shared" si="291"/>
        <v>Entry</v>
      </c>
      <c r="AL1466" t="str">
        <f t="shared" si="292"/>
        <v>High</v>
      </c>
      <c r="AM1466" t="str">
        <f t="shared" si="293"/>
        <v>Very High</v>
      </c>
      <c r="AN1466" t="str">
        <f t="shared" si="294"/>
        <v>No Options</v>
      </c>
      <c r="AO1466" t="str">
        <f t="shared" si="295"/>
        <v>Better</v>
      </c>
      <c r="AP1466" t="str">
        <f t="shared" si="296"/>
        <v>25-34</v>
      </c>
      <c r="AQ1466" t="str">
        <f t="shared" si="297"/>
        <v>Low</v>
      </c>
      <c r="AR1466" t="str">
        <f t="shared" si="298"/>
        <v>3-5 Years</v>
      </c>
    </row>
    <row r="1467" spans="1:44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46</v>
      </c>
      <c r="L1467">
        <v>41</v>
      </c>
      <c r="M1467">
        <v>4</v>
      </c>
      <c r="N1467">
        <v>2</v>
      </c>
      <c r="O1467" t="s">
        <v>50</v>
      </c>
      <c r="P1467">
        <v>4</v>
      </c>
      <c r="Q1467" t="s">
        <v>48</v>
      </c>
      <c r="R1467">
        <v>2571</v>
      </c>
      <c r="S1467">
        <v>4</v>
      </c>
      <c r="T1467" t="s">
        <v>43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  <c r="AF1467">
        <f t="shared" si="286"/>
        <v>0</v>
      </c>
      <c r="AG1467">
        <f t="shared" si="287"/>
        <v>0</v>
      </c>
      <c r="AH1467" t="str">
        <f t="shared" si="288"/>
        <v>College</v>
      </c>
      <c r="AI1467" t="str">
        <f t="shared" si="289"/>
        <v>High</v>
      </c>
      <c r="AJ1467" t="str">
        <f t="shared" si="290"/>
        <v>Very High</v>
      </c>
      <c r="AK1467" t="str">
        <f t="shared" si="291"/>
        <v>Junior</v>
      </c>
      <c r="AL1467" t="str">
        <f t="shared" si="292"/>
        <v>Very High</v>
      </c>
      <c r="AM1467" t="str">
        <f t="shared" si="293"/>
        <v>High</v>
      </c>
      <c r="AN1467" t="str">
        <f t="shared" si="294"/>
        <v>Low</v>
      </c>
      <c r="AO1467" t="str">
        <f t="shared" si="295"/>
        <v>Better</v>
      </c>
      <c r="AP1467" t="str">
        <f t="shared" si="296"/>
        <v>35-44</v>
      </c>
      <c r="AQ1467" t="str">
        <f t="shared" si="297"/>
        <v>Low</v>
      </c>
      <c r="AR1467" t="str">
        <f t="shared" si="298"/>
        <v>3-5 Years</v>
      </c>
    </row>
    <row r="1468" spans="1:44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46</v>
      </c>
      <c r="L1468">
        <v>42</v>
      </c>
      <c r="M1468">
        <v>2</v>
      </c>
      <c r="N1468">
        <v>3</v>
      </c>
      <c r="O1468" t="s">
        <v>54</v>
      </c>
      <c r="P1468">
        <v>1</v>
      </c>
      <c r="Q1468" t="s">
        <v>48</v>
      </c>
      <c r="R1468">
        <v>9991</v>
      </c>
      <c r="S1468">
        <v>4</v>
      </c>
      <c r="T1468" t="s">
        <v>43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  <c r="AF1468">
        <f t="shared" si="286"/>
        <v>0</v>
      </c>
      <c r="AG1468">
        <f t="shared" si="287"/>
        <v>0</v>
      </c>
      <c r="AH1468" t="str">
        <f t="shared" si="288"/>
        <v>Below College</v>
      </c>
      <c r="AI1468" t="str">
        <f t="shared" si="289"/>
        <v>Very High</v>
      </c>
      <c r="AJ1468" t="str">
        <f t="shared" si="290"/>
        <v>Medium</v>
      </c>
      <c r="AK1468" t="str">
        <f t="shared" si="291"/>
        <v>Mid-Level</v>
      </c>
      <c r="AL1468" t="str">
        <f t="shared" si="292"/>
        <v>Low</v>
      </c>
      <c r="AM1468" t="str">
        <f t="shared" si="293"/>
        <v>Low</v>
      </c>
      <c r="AN1468" t="str">
        <f t="shared" si="294"/>
        <v>Low</v>
      </c>
      <c r="AO1468" t="str">
        <f t="shared" si="295"/>
        <v>Better</v>
      </c>
      <c r="AP1468" t="str">
        <f t="shared" si="296"/>
        <v>35-44</v>
      </c>
      <c r="AQ1468" t="str">
        <f t="shared" si="297"/>
        <v>Upper-Mid</v>
      </c>
      <c r="AR1468" t="str">
        <f t="shared" si="298"/>
        <v>6-10 Years</v>
      </c>
    </row>
    <row r="1469" spans="1:44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46</v>
      </c>
      <c r="L1469">
        <v>87</v>
      </c>
      <c r="M1469">
        <v>4</v>
      </c>
      <c r="N1469">
        <v>2</v>
      </c>
      <c r="O1469" t="s">
        <v>53</v>
      </c>
      <c r="P1469">
        <v>2</v>
      </c>
      <c r="Q1469" t="s">
        <v>48</v>
      </c>
      <c r="R1469">
        <v>6142</v>
      </c>
      <c r="S1469">
        <v>1</v>
      </c>
      <c r="T1469" t="s">
        <v>35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  <c r="AF1469">
        <f t="shared" si="286"/>
        <v>0</v>
      </c>
      <c r="AG1469">
        <f t="shared" si="287"/>
        <v>1</v>
      </c>
      <c r="AH1469" t="str">
        <f t="shared" si="288"/>
        <v>Bachelor</v>
      </c>
      <c r="AI1469" t="str">
        <f t="shared" si="289"/>
        <v>Medium</v>
      </c>
      <c r="AJ1469" t="str">
        <f t="shared" si="290"/>
        <v>Very High</v>
      </c>
      <c r="AK1469" t="str">
        <f t="shared" si="291"/>
        <v>Junior</v>
      </c>
      <c r="AL1469" t="str">
        <f t="shared" si="292"/>
        <v>Medium</v>
      </c>
      <c r="AM1469" t="str">
        <f t="shared" si="293"/>
        <v>Medium</v>
      </c>
      <c r="AN1469" t="str">
        <f t="shared" si="294"/>
        <v>Low</v>
      </c>
      <c r="AO1469" t="str">
        <f t="shared" si="295"/>
        <v>Better</v>
      </c>
      <c r="AP1469" t="str">
        <f t="shared" si="296"/>
        <v>25-34</v>
      </c>
      <c r="AQ1469" t="str">
        <f t="shared" si="297"/>
        <v>Lower-Mid</v>
      </c>
      <c r="AR1469" t="str">
        <f t="shared" si="298"/>
        <v>6-10 Years</v>
      </c>
    </row>
    <row r="1470" spans="1:44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46</v>
      </c>
      <c r="L1470">
        <v>63</v>
      </c>
      <c r="M1470">
        <v>2</v>
      </c>
      <c r="N1470">
        <v>2</v>
      </c>
      <c r="O1470" t="s">
        <v>40</v>
      </c>
      <c r="P1470">
        <v>2</v>
      </c>
      <c r="Q1470" t="s">
        <v>48</v>
      </c>
      <c r="R1470">
        <v>5390</v>
      </c>
      <c r="S1470">
        <v>2</v>
      </c>
      <c r="T1470" t="s">
        <v>43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  <c r="AF1470">
        <f t="shared" si="286"/>
        <v>0</v>
      </c>
      <c r="AG1470">
        <f t="shared" si="287"/>
        <v>0</v>
      </c>
      <c r="AH1470" t="str">
        <f t="shared" si="288"/>
        <v>Bachelor</v>
      </c>
      <c r="AI1470" t="str">
        <f t="shared" si="289"/>
        <v>Very High</v>
      </c>
      <c r="AJ1470" t="str">
        <f t="shared" si="290"/>
        <v>Medium</v>
      </c>
      <c r="AK1470" t="str">
        <f t="shared" si="291"/>
        <v>Junior</v>
      </c>
      <c r="AL1470" t="str">
        <f t="shared" si="292"/>
        <v>Medium</v>
      </c>
      <c r="AM1470" t="str">
        <f t="shared" si="293"/>
        <v>Very High</v>
      </c>
      <c r="AN1470" t="str">
        <f t="shared" si="294"/>
        <v>No Options</v>
      </c>
      <c r="AO1470" t="str">
        <f t="shared" si="295"/>
        <v>Good</v>
      </c>
      <c r="AP1470" t="str">
        <f t="shared" si="296"/>
        <v>45-54</v>
      </c>
      <c r="AQ1470" t="str">
        <f t="shared" si="297"/>
        <v>Lower-Mid</v>
      </c>
      <c r="AR1470" t="str">
        <f t="shared" si="298"/>
        <v>6-10 Years</v>
      </c>
    </row>
    <row r="1471" spans="1:44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46</v>
      </c>
      <c r="L1471">
        <v>82</v>
      </c>
      <c r="M1471">
        <v>4</v>
      </c>
      <c r="N1471">
        <v>2</v>
      </c>
      <c r="O1471" t="s">
        <v>50</v>
      </c>
      <c r="P1471">
        <v>3</v>
      </c>
      <c r="Q1471" t="s">
        <v>48</v>
      </c>
      <c r="R1471">
        <v>4404</v>
      </c>
      <c r="S1471">
        <v>2</v>
      </c>
      <c r="T1471" t="s">
        <v>43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  <c r="AF1471">
        <f t="shared" si="286"/>
        <v>0</v>
      </c>
      <c r="AG1471">
        <f t="shared" si="287"/>
        <v>0</v>
      </c>
      <c r="AH1471" t="str">
        <f t="shared" si="288"/>
        <v>Bachelor</v>
      </c>
      <c r="AI1471" t="str">
        <f t="shared" si="289"/>
        <v>Medium</v>
      </c>
      <c r="AJ1471" t="str">
        <f t="shared" si="290"/>
        <v>Very High</v>
      </c>
      <c r="AK1471" t="str">
        <f t="shared" si="291"/>
        <v>Junior</v>
      </c>
      <c r="AL1471" t="str">
        <f t="shared" si="292"/>
        <v>High</v>
      </c>
      <c r="AM1471" t="str">
        <f t="shared" si="293"/>
        <v>Low</v>
      </c>
      <c r="AN1471" t="str">
        <f t="shared" si="294"/>
        <v>No Options</v>
      </c>
      <c r="AO1471" t="str">
        <f t="shared" si="295"/>
        <v>Best</v>
      </c>
      <c r="AP1471" t="str">
        <f t="shared" si="296"/>
        <v>25-34</v>
      </c>
      <c r="AQ1471" t="str">
        <f t="shared" si="297"/>
        <v>Lower-Mid</v>
      </c>
      <c r="AR1471" t="str">
        <f t="shared" si="298"/>
        <v>3-5 Years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F8C6-F0FE-4742-8C54-69F0C5096152}">
  <dimension ref="C2:L28"/>
  <sheetViews>
    <sheetView zoomScaleNormal="100" workbookViewId="0">
      <selection activeCell="O10" sqref="O10"/>
    </sheetView>
  </sheetViews>
  <sheetFormatPr defaultRowHeight="14.4" x14ac:dyDescent="0.3"/>
  <cols>
    <col min="3" max="3" width="22.88671875" bestFit="1" customWidth="1"/>
    <col min="4" max="4" width="13.88671875" bestFit="1" customWidth="1"/>
    <col min="5" max="5" width="14.88671875" bestFit="1" customWidth="1"/>
    <col min="6" max="6" width="14" bestFit="1" customWidth="1"/>
    <col min="8" max="8" width="21.88671875" bestFit="1" customWidth="1"/>
    <col min="9" max="9" width="13.5546875" bestFit="1" customWidth="1"/>
    <col min="10" max="10" width="14.5546875" bestFit="1" customWidth="1"/>
    <col min="11" max="11" width="14" bestFit="1" customWidth="1"/>
    <col min="12" max="12" width="21.88671875" bestFit="1" customWidth="1"/>
  </cols>
  <sheetData>
    <row r="2" spans="3:12" x14ac:dyDescent="0.3">
      <c r="C2" s="14" t="s">
        <v>200</v>
      </c>
      <c r="D2" s="14"/>
      <c r="E2" s="14"/>
      <c r="F2" s="14"/>
      <c r="G2" s="14"/>
      <c r="H2" s="14"/>
      <c r="I2" s="14"/>
      <c r="J2" s="14"/>
      <c r="K2" s="14"/>
      <c r="L2" s="14"/>
    </row>
    <row r="4" spans="3:12" x14ac:dyDescent="0.3">
      <c r="C4" t="s">
        <v>201</v>
      </c>
      <c r="H4" t="s">
        <v>198</v>
      </c>
    </row>
    <row r="5" spans="3:12" x14ac:dyDescent="0.3">
      <c r="C5" s="4" t="s">
        <v>4</v>
      </c>
      <c r="D5" t="s">
        <v>195</v>
      </c>
      <c r="E5" t="s">
        <v>194</v>
      </c>
      <c r="F5" s="1" t="s">
        <v>196</v>
      </c>
      <c r="H5" s="1" t="s">
        <v>4</v>
      </c>
      <c r="I5" s="1" t="s">
        <v>195</v>
      </c>
      <c r="J5" s="1" t="s">
        <v>194</v>
      </c>
      <c r="K5" s="1" t="s">
        <v>196</v>
      </c>
      <c r="L5" s="1" t="s">
        <v>202</v>
      </c>
    </row>
    <row r="6" spans="3:12" x14ac:dyDescent="0.3">
      <c r="C6" t="s">
        <v>61</v>
      </c>
      <c r="D6">
        <v>12</v>
      </c>
      <c r="E6">
        <v>63</v>
      </c>
      <c r="F6" s="5">
        <f>D6/E6</f>
        <v>0.19047619047619047</v>
      </c>
      <c r="H6" t="s">
        <v>37</v>
      </c>
      <c r="I6">
        <v>92</v>
      </c>
      <c r="J6">
        <v>446</v>
      </c>
      <c r="K6" s="5">
        <v>0.20627802690582961</v>
      </c>
      <c r="L6" s="5">
        <f>K6-0.161</f>
        <v>4.5278026905829605E-2</v>
      </c>
    </row>
    <row r="7" spans="3:12" x14ac:dyDescent="0.3">
      <c r="C7" t="s">
        <v>45</v>
      </c>
      <c r="D7">
        <v>133</v>
      </c>
      <c r="E7">
        <v>961</v>
      </c>
      <c r="F7" s="5">
        <f t="shared" ref="F7:F9" si="0">D7/E7</f>
        <v>0.13839750260145681</v>
      </c>
      <c r="H7" t="s">
        <v>61</v>
      </c>
      <c r="I7">
        <v>12</v>
      </c>
      <c r="J7">
        <v>63</v>
      </c>
      <c r="K7" s="5">
        <v>0.19047619047619047</v>
      </c>
      <c r="L7" s="5">
        <f t="shared" ref="L7:L8" si="1">K7-0.161</f>
        <v>2.9476190476190461E-2</v>
      </c>
    </row>
    <row r="8" spans="3:12" x14ac:dyDescent="0.3">
      <c r="C8" t="s">
        <v>37</v>
      </c>
      <c r="D8">
        <v>92</v>
      </c>
      <c r="E8">
        <v>446</v>
      </c>
      <c r="F8" s="5">
        <f t="shared" si="0"/>
        <v>0.20627802690582961</v>
      </c>
      <c r="H8" t="s">
        <v>45</v>
      </c>
      <c r="I8">
        <v>133</v>
      </c>
      <c r="J8">
        <v>961</v>
      </c>
      <c r="K8" s="5">
        <v>0.13839750260145681</v>
      </c>
      <c r="L8" s="5">
        <f t="shared" si="1"/>
        <v>-2.2602497398543198E-2</v>
      </c>
    </row>
    <row r="9" spans="3:12" x14ac:dyDescent="0.3">
      <c r="C9" t="s">
        <v>193</v>
      </c>
      <c r="D9">
        <v>237</v>
      </c>
      <c r="E9">
        <v>1470</v>
      </c>
      <c r="F9" s="6">
        <f t="shared" si="0"/>
        <v>0.16122448979591836</v>
      </c>
    </row>
    <row r="11" spans="3:12" x14ac:dyDescent="0.3">
      <c r="C11" t="s">
        <v>201</v>
      </c>
      <c r="H11" t="s">
        <v>197</v>
      </c>
    </row>
    <row r="12" spans="3:12" x14ac:dyDescent="0.3">
      <c r="C12" s="4" t="s">
        <v>15</v>
      </c>
      <c r="D12" t="s">
        <v>195</v>
      </c>
      <c r="E12" t="s">
        <v>194</v>
      </c>
      <c r="F12" s="1" t="s">
        <v>196</v>
      </c>
      <c r="H12" s="1" t="s">
        <v>15</v>
      </c>
      <c r="I12" s="1" t="s">
        <v>195</v>
      </c>
      <c r="J12" s="1" t="s">
        <v>194</v>
      </c>
      <c r="K12" s="1" t="s">
        <v>196</v>
      </c>
      <c r="L12" s="1" t="s">
        <v>202</v>
      </c>
    </row>
    <row r="13" spans="3:12" x14ac:dyDescent="0.3">
      <c r="C13" t="s">
        <v>54</v>
      </c>
      <c r="D13">
        <v>9</v>
      </c>
      <c r="E13">
        <v>131</v>
      </c>
      <c r="F13" s="5">
        <f>D13/E13</f>
        <v>6.8702290076335881E-2</v>
      </c>
      <c r="H13" t="s">
        <v>57</v>
      </c>
      <c r="I13">
        <v>33</v>
      </c>
      <c r="J13">
        <v>83</v>
      </c>
      <c r="K13" s="5">
        <v>0.39759036144578314</v>
      </c>
      <c r="L13" s="5">
        <f>K13-0.161</f>
        <v>0.23659036144578313</v>
      </c>
    </row>
    <row r="14" spans="3:12" x14ac:dyDescent="0.3">
      <c r="C14" t="s">
        <v>61</v>
      </c>
      <c r="D14">
        <v>12</v>
      </c>
      <c r="E14">
        <v>52</v>
      </c>
      <c r="F14" s="5">
        <f t="shared" ref="F14:F22" si="2">D14/E14</f>
        <v>0.23076923076923078</v>
      </c>
      <c r="H14" t="s">
        <v>50</v>
      </c>
      <c r="I14">
        <v>62</v>
      </c>
      <c r="J14">
        <v>259</v>
      </c>
      <c r="K14" s="5">
        <v>0.23938223938223938</v>
      </c>
      <c r="L14" s="5">
        <f t="shared" ref="L14:L21" si="3">K14-0.161</f>
        <v>7.8382239382239371E-2</v>
      </c>
    </row>
    <row r="15" spans="3:12" x14ac:dyDescent="0.3">
      <c r="C15" t="s">
        <v>50</v>
      </c>
      <c r="D15">
        <v>62</v>
      </c>
      <c r="E15">
        <v>259</v>
      </c>
      <c r="F15" s="5">
        <f t="shared" si="2"/>
        <v>0.23938223938223938</v>
      </c>
      <c r="H15" t="s">
        <v>61</v>
      </c>
      <c r="I15">
        <v>12</v>
      </c>
      <c r="J15">
        <v>52</v>
      </c>
      <c r="K15" s="5">
        <v>0.23076923076923078</v>
      </c>
      <c r="L15" s="5">
        <f t="shared" si="3"/>
        <v>6.9769230769230778E-2</v>
      </c>
    </row>
    <row r="16" spans="3:12" x14ac:dyDescent="0.3">
      <c r="C16" t="s">
        <v>56</v>
      </c>
      <c r="D16">
        <v>5</v>
      </c>
      <c r="E16">
        <v>102</v>
      </c>
      <c r="F16" s="5">
        <f t="shared" si="2"/>
        <v>4.9019607843137254E-2</v>
      </c>
      <c r="H16" t="s">
        <v>40</v>
      </c>
      <c r="I16">
        <v>57</v>
      </c>
      <c r="J16">
        <v>326</v>
      </c>
      <c r="K16" s="5">
        <v>0.17484662576687116</v>
      </c>
      <c r="L16" s="5">
        <f t="shared" si="3"/>
        <v>1.3846625766871151E-2</v>
      </c>
    </row>
    <row r="17" spans="3:12" x14ac:dyDescent="0.3">
      <c r="C17" t="s">
        <v>53</v>
      </c>
      <c r="D17">
        <v>10</v>
      </c>
      <c r="E17">
        <v>145</v>
      </c>
      <c r="F17" s="5">
        <f t="shared" si="2"/>
        <v>6.8965517241379309E-2</v>
      </c>
      <c r="H17" t="s">
        <v>47</v>
      </c>
      <c r="I17">
        <v>47</v>
      </c>
      <c r="J17">
        <v>292</v>
      </c>
      <c r="K17" s="5">
        <v>0.16095890410958905</v>
      </c>
      <c r="L17" s="5">
        <f t="shared" si="3"/>
        <v>-4.109589041095818E-5</v>
      </c>
    </row>
    <row r="18" spans="3:12" x14ac:dyDescent="0.3">
      <c r="C18" t="s">
        <v>58</v>
      </c>
      <c r="D18">
        <v>2</v>
      </c>
      <c r="E18">
        <v>80</v>
      </c>
      <c r="F18" s="5">
        <f t="shared" si="2"/>
        <v>2.5000000000000001E-2</v>
      </c>
      <c r="H18" t="s">
        <v>53</v>
      </c>
      <c r="I18">
        <v>10</v>
      </c>
      <c r="J18">
        <v>145</v>
      </c>
      <c r="K18" s="5">
        <v>6.8965517241379309E-2</v>
      </c>
      <c r="L18" s="5">
        <f t="shared" si="3"/>
        <v>-9.2034482758620695E-2</v>
      </c>
    </row>
    <row r="19" spans="3:12" x14ac:dyDescent="0.3">
      <c r="C19" t="s">
        <v>47</v>
      </c>
      <c r="D19">
        <v>47</v>
      </c>
      <c r="E19">
        <v>292</v>
      </c>
      <c r="F19" s="5">
        <f t="shared" si="2"/>
        <v>0.16095890410958905</v>
      </c>
      <c r="H19" t="s">
        <v>54</v>
      </c>
      <c r="I19">
        <v>9</v>
      </c>
      <c r="J19">
        <v>131</v>
      </c>
      <c r="K19" s="5">
        <v>6.8702290076335881E-2</v>
      </c>
      <c r="L19" s="5">
        <f t="shared" si="3"/>
        <v>-9.2297709923664123E-2</v>
      </c>
    </row>
    <row r="20" spans="3:12" x14ac:dyDescent="0.3">
      <c r="C20" t="s">
        <v>40</v>
      </c>
      <c r="D20">
        <v>57</v>
      </c>
      <c r="E20">
        <v>326</v>
      </c>
      <c r="F20" s="5">
        <f t="shared" si="2"/>
        <v>0.17484662576687116</v>
      </c>
      <c r="H20" t="s">
        <v>56</v>
      </c>
      <c r="I20">
        <v>5</v>
      </c>
      <c r="J20">
        <v>102</v>
      </c>
      <c r="K20" s="5">
        <v>4.9019607843137254E-2</v>
      </c>
      <c r="L20" s="5">
        <f t="shared" si="3"/>
        <v>-0.11198039215686276</v>
      </c>
    </row>
    <row r="21" spans="3:12" x14ac:dyDescent="0.3">
      <c r="C21" t="s">
        <v>57</v>
      </c>
      <c r="D21">
        <v>33</v>
      </c>
      <c r="E21">
        <v>83</v>
      </c>
      <c r="F21" s="5">
        <f t="shared" si="2"/>
        <v>0.39759036144578314</v>
      </c>
      <c r="H21" t="s">
        <v>58</v>
      </c>
      <c r="I21">
        <v>2</v>
      </c>
      <c r="J21">
        <v>80</v>
      </c>
      <c r="K21" s="5">
        <v>2.5000000000000001E-2</v>
      </c>
      <c r="L21" s="5">
        <f t="shared" si="3"/>
        <v>-0.13600000000000001</v>
      </c>
    </row>
    <row r="22" spans="3:12" x14ac:dyDescent="0.3">
      <c r="C22" t="s">
        <v>193</v>
      </c>
      <c r="D22">
        <v>237</v>
      </c>
      <c r="E22">
        <v>1470</v>
      </c>
      <c r="F22" s="6">
        <f t="shared" si="2"/>
        <v>0.16122448979591836</v>
      </c>
    </row>
    <row r="24" spans="3:12" x14ac:dyDescent="0.3">
      <c r="C24" t="s">
        <v>201</v>
      </c>
      <c r="H24" t="s">
        <v>199</v>
      </c>
    </row>
    <row r="25" spans="3:12" x14ac:dyDescent="0.3">
      <c r="C25" s="4" t="s">
        <v>11</v>
      </c>
      <c r="D25" t="s">
        <v>195</v>
      </c>
      <c r="E25" t="s">
        <v>194</v>
      </c>
      <c r="F25" s="1" t="s">
        <v>196</v>
      </c>
      <c r="H25" s="1" t="s">
        <v>11</v>
      </c>
      <c r="I25" s="1" t="s">
        <v>195</v>
      </c>
      <c r="J25" s="1" t="s">
        <v>194</v>
      </c>
      <c r="K25" s="1" t="s">
        <v>196</v>
      </c>
      <c r="L25" s="1" t="s">
        <v>202</v>
      </c>
    </row>
    <row r="26" spans="3:12" x14ac:dyDescent="0.3">
      <c r="C26" t="s">
        <v>39</v>
      </c>
      <c r="D26">
        <v>87</v>
      </c>
      <c r="E26">
        <v>588</v>
      </c>
      <c r="F26" s="5">
        <f>D26/E26</f>
        <v>0.14795918367346939</v>
      </c>
      <c r="H26" t="s">
        <v>46</v>
      </c>
      <c r="I26">
        <v>150</v>
      </c>
      <c r="J26">
        <v>882</v>
      </c>
      <c r="K26" s="5">
        <v>0.17006802721088435</v>
      </c>
      <c r="L26" s="5">
        <f>K26-0.161</f>
        <v>9.068027210884344E-3</v>
      </c>
    </row>
    <row r="27" spans="3:12" x14ac:dyDescent="0.3">
      <c r="C27" t="s">
        <v>46</v>
      </c>
      <c r="D27">
        <v>150</v>
      </c>
      <c r="E27">
        <v>882</v>
      </c>
      <c r="F27" s="5">
        <f t="shared" ref="F27:F28" si="4">D27/E27</f>
        <v>0.17006802721088435</v>
      </c>
      <c r="H27" t="s">
        <v>39</v>
      </c>
      <c r="I27">
        <v>87</v>
      </c>
      <c r="J27">
        <v>588</v>
      </c>
      <c r="K27" s="5">
        <v>0.14795918367346939</v>
      </c>
      <c r="L27" s="5">
        <f>K27-0.161</f>
        <v>-1.3040816326530619E-2</v>
      </c>
    </row>
    <row r="28" spans="3:12" x14ac:dyDescent="0.3">
      <c r="C28" t="s">
        <v>193</v>
      </c>
      <c r="D28">
        <v>237</v>
      </c>
      <c r="E28">
        <v>1470</v>
      </c>
      <c r="F28" s="6">
        <f t="shared" si="4"/>
        <v>0.16122448979591836</v>
      </c>
    </row>
  </sheetData>
  <sortState xmlns:xlrd2="http://schemas.microsoft.com/office/spreadsheetml/2017/richdata2" ref="H25:K27">
    <sortCondition descending="1" ref="K25:K27"/>
  </sortState>
  <mergeCells count="1">
    <mergeCell ref="C2:L2"/>
  </mergeCells>
  <conditionalFormatting sqref="L6:L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3:L21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6:L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9CEA-C318-4FF2-A616-81648DB4E708}">
  <dimension ref="C2:L39"/>
  <sheetViews>
    <sheetView topLeftCell="A23" zoomScaleNormal="100" workbookViewId="0">
      <selection activeCell="H4" sqref="H4"/>
    </sheetView>
  </sheetViews>
  <sheetFormatPr defaultRowHeight="14.4" x14ac:dyDescent="0.3"/>
  <cols>
    <col min="3" max="3" width="17.21875" bestFit="1" customWidth="1"/>
    <col min="4" max="4" width="13.88671875" bestFit="1" customWidth="1"/>
    <col min="5" max="5" width="14.88671875" bestFit="1" customWidth="1"/>
    <col min="6" max="6" width="14" bestFit="1" customWidth="1"/>
    <col min="8" max="8" width="16.109375" customWidth="1"/>
    <col min="9" max="9" width="13.5546875" bestFit="1" customWidth="1"/>
    <col min="10" max="10" width="14.5546875" bestFit="1" customWidth="1"/>
    <col min="11" max="11" width="14" bestFit="1" customWidth="1"/>
    <col min="12" max="12" width="21.88671875" bestFit="1" customWidth="1"/>
  </cols>
  <sheetData>
    <row r="2" spans="3:12" x14ac:dyDescent="0.3">
      <c r="C2" s="14" t="s">
        <v>203</v>
      </c>
      <c r="D2" s="14"/>
      <c r="E2" s="14"/>
      <c r="F2" s="14"/>
      <c r="G2" s="14"/>
      <c r="H2" s="14"/>
      <c r="I2" s="14"/>
      <c r="J2" s="14"/>
      <c r="K2" s="14"/>
      <c r="L2" s="14"/>
    </row>
    <row r="3" spans="3:12" x14ac:dyDescent="0.3">
      <c r="C3" s="2"/>
      <c r="D3" s="2"/>
      <c r="E3" s="2"/>
      <c r="F3" s="2"/>
      <c r="G3" s="2"/>
      <c r="H3" s="2"/>
      <c r="I3" s="2"/>
      <c r="J3" s="2"/>
      <c r="K3" s="2"/>
      <c r="L3" s="2"/>
    </row>
    <row r="4" spans="3:12" x14ac:dyDescent="0.3">
      <c r="C4" t="s">
        <v>201</v>
      </c>
      <c r="H4" t="s">
        <v>209</v>
      </c>
    </row>
    <row r="5" spans="3:12" x14ac:dyDescent="0.3">
      <c r="C5" s="4" t="s">
        <v>156</v>
      </c>
      <c r="D5" t="s">
        <v>195</v>
      </c>
      <c r="E5" t="s">
        <v>194</v>
      </c>
      <c r="F5" s="1" t="s">
        <v>196</v>
      </c>
      <c r="H5" s="1" t="s">
        <v>156</v>
      </c>
      <c r="I5" s="1" t="s">
        <v>195</v>
      </c>
      <c r="J5" s="1" t="s">
        <v>194</v>
      </c>
      <c r="K5" s="1" t="s">
        <v>196</v>
      </c>
      <c r="L5" s="1" t="s">
        <v>202</v>
      </c>
    </row>
    <row r="6" spans="3:12" x14ac:dyDescent="0.3">
      <c r="C6" t="s">
        <v>208</v>
      </c>
      <c r="D6">
        <v>38</v>
      </c>
      <c r="E6">
        <v>97</v>
      </c>
      <c r="F6" s="5">
        <f>D6/E6</f>
        <v>0.39175257731958762</v>
      </c>
      <c r="H6" t="s">
        <v>208</v>
      </c>
      <c r="I6">
        <v>38</v>
      </c>
      <c r="J6">
        <v>97</v>
      </c>
      <c r="K6" s="5">
        <v>0.39175257731958762</v>
      </c>
      <c r="L6" s="5">
        <f>K6-0.161</f>
        <v>0.23075257731958762</v>
      </c>
    </row>
    <row r="7" spans="3:12" x14ac:dyDescent="0.3">
      <c r="C7" t="s">
        <v>204</v>
      </c>
      <c r="D7">
        <v>112</v>
      </c>
      <c r="E7">
        <v>554</v>
      </c>
      <c r="F7" s="5">
        <f t="shared" ref="F7:F11" si="0">D7/E7</f>
        <v>0.20216606498194944</v>
      </c>
      <c r="H7" t="s">
        <v>204</v>
      </c>
      <c r="I7">
        <v>112</v>
      </c>
      <c r="J7">
        <v>554</v>
      </c>
      <c r="K7" s="5">
        <v>0.20216606498194944</v>
      </c>
      <c r="L7" s="5">
        <f>K7-0.161</f>
        <v>4.1166064981949441E-2</v>
      </c>
    </row>
    <row r="8" spans="3:12" x14ac:dyDescent="0.3">
      <c r="C8" t="s">
        <v>205</v>
      </c>
      <c r="D8">
        <v>51</v>
      </c>
      <c r="E8">
        <v>505</v>
      </c>
      <c r="F8" s="5">
        <f t="shared" si="0"/>
        <v>0.100990099009901</v>
      </c>
      <c r="H8" t="s">
        <v>207</v>
      </c>
      <c r="I8">
        <v>11</v>
      </c>
      <c r="J8">
        <v>69</v>
      </c>
      <c r="K8" s="5">
        <v>0.15942028985507245</v>
      </c>
      <c r="L8" s="5">
        <f>K8-0.161</f>
        <v>-1.5797101449275541E-3</v>
      </c>
    </row>
    <row r="9" spans="3:12" x14ac:dyDescent="0.3">
      <c r="C9" t="s">
        <v>206</v>
      </c>
      <c r="D9">
        <v>25</v>
      </c>
      <c r="E9">
        <v>245</v>
      </c>
      <c r="F9" s="5">
        <f t="shared" si="0"/>
        <v>0.10204081632653061</v>
      </c>
      <c r="H9" t="s">
        <v>206</v>
      </c>
      <c r="I9">
        <v>25</v>
      </c>
      <c r="J9">
        <v>245</v>
      </c>
      <c r="K9" s="5">
        <v>0.10204081632653061</v>
      </c>
      <c r="L9" s="5">
        <f>K9-0.161</f>
        <v>-5.895918367346939E-2</v>
      </c>
    </row>
    <row r="10" spans="3:12" x14ac:dyDescent="0.3">
      <c r="C10" t="s">
        <v>207</v>
      </c>
      <c r="D10">
        <v>11</v>
      </c>
      <c r="E10">
        <v>69</v>
      </c>
      <c r="F10" s="5">
        <f t="shared" si="0"/>
        <v>0.15942028985507245</v>
      </c>
      <c r="H10" t="s">
        <v>205</v>
      </c>
      <c r="I10">
        <v>51</v>
      </c>
      <c r="J10">
        <v>505</v>
      </c>
      <c r="K10" s="5">
        <v>0.100990099009901</v>
      </c>
      <c r="L10" s="5">
        <f>K10-0.161</f>
        <v>-6.0009900990099008E-2</v>
      </c>
    </row>
    <row r="11" spans="3:12" x14ac:dyDescent="0.3">
      <c r="C11" t="s">
        <v>193</v>
      </c>
      <c r="D11">
        <v>237</v>
      </c>
      <c r="E11">
        <v>1470</v>
      </c>
      <c r="F11" s="6">
        <f t="shared" si="0"/>
        <v>0.16122448979591836</v>
      </c>
    </row>
    <row r="14" spans="3:12" x14ac:dyDescent="0.3">
      <c r="C14" t="s">
        <v>201</v>
      </c>
      <c r="H14" t="s">
        <v>210</v>
      </c>
    </row>
    <row r="15" spans="3:12" x14ac:dyDescent="0.3">
      <c r="C15" s="4" t="s">
        <v>17</v>
      </c>
      <c r="D15" t="s">
        <v>195</v>
      </c>
      <c r="E15" t="s">
        <v>194</v>
      </c>
      <c r="F15" s="1" t="s">
        <v>196</v>
      </c>
      <c r="H15" s="1" t="s">
        <v>17</v>
      </c>
      <c r="I15" s="1" t="s">
        <v>195</v>
      </c>
      <c r="J15" s="1" t="s">
        <v>194</v>
      </c>
      <c r="K15" s="1" t="s">
        <v>196</v>
      </c>
      <c r="L15" s="1" t="s">
        <v>202</v>
      </c>
    </row>
    <row r="16" spans="3:12" x14ac:dyDescent="0.3">
      <c r="C16" t="s">
        <v>41</v>
      </c>
      <c r="D16">
        <v>120</v>
      </c>
      <c r="E16">
        <v>470</v>
      </c>
      <c r="F16" s="5">
        <f>D16/E16</f>
        <v>0.25531914893617019</v>
      </c>
      <c r="H16" t="s">
        <v>41</v>
      </c>
      <c r="I16">
        <v>120</v>
      </c>
      <c r="J16">
        <v>470</v>
      </c>
      <c r="K16" s="5">
        <v>0.25531914893617019</v>
      </c>
      <c r="L16" s="5">
        <f>K16-0.161</f>
        <v>9.4319148936170188E-2</v>
      </c>
    </row>
    <row r="17" spans="3:12" x14ac:dyDescent="0.3">
      <c r="C17" t="s">
        <v>48</v>
      </c>
      <c r="D17">
        <v>84</v>
      </c>
      <c r="E17">
        <v>673</v>
      </c>
      <c r="F17" s="5">
        <f t="shared" ref="F17:F19" si="1">D17/E17</f>
        <v>0.12481426448736999</v>
      </c>
      <c r="H17" t="s">
        <v>48</v>
      </c>
      <c r="I17">
        <v>84</v>
      </c>
      <c r="J17">
        <v>673</v>
      </c>
      <c r="K17" s="5">
        <v>0.12481426448736999</v>
      </c>
      <c r="L17" s="5">
        <f>K17-0.161</f>
        <v>-3.6185735512630018E-2</v>
      </c>
    </row>
    <row r="18" spans="3:12" x14ac:dyDescent="0.3">
      <c r="C18" t="s">
        <v>52</v>
      </c>
      <c r="D18">
        <v>33</v>
      </c>
      <c r="E18">
        <v>327</v>
      </c>
      <c r="F18" s="5">
        <f t="shared" si="1"/>
        <v>0.10091743119266056</v>
      </c>
      <c r="H18" t="s">
        <v>52</v>
      </c>
      <c r="I18">
        <v>33</v>
      </c>
      <c r="J18">
        <v>327</v>
      </c>
      <c r="K18" s="5">
        <v>0.10091743119266056</v>
      </c>
      <c r="L18" s="5">
        <f>K18-0.161</f>
        <v>-6.0082568807339448E-2</v>
      </c>
    </row>
    <row r="19" spans="3:12" x14ac:dyDescent="0.3">
      <c r="C19" t="s">
        <v>193</v>
      </c>
      <c r="D19">
        <v>237</v>
      </c>
      <c r="E19">
        <v>1470</v>
      </c>
      <c r="F19" s="6">
        <f t="shared" si="1"/>
        <v>0.16122448979591836</v>
      </c>
      <c r="L19" s="5"/>
    </row>
    <row r="20" spans="3:12" x14ac:dyDescent="0.3">
      <c r="L20" s="5"/>
    </row>
    <row r="22" spans="3:12" x14ac:dyDescent="0.3">
      <c r="C22" t="s">
        <v>201</v>
      </c>
      <c r="H22" t="s">
        <v>216</v>
      </c>
    </row>
    <row r="23" spans="3:12" x14ac:dyDescent="0.3">
      <c r="C23" s="4" t="s">
        <v>148</v>
      </c>
      <c r="D23" t="s">
        <v>195</v>
      </c>
      <c r="E23" t="s">
        <v>194</v>
      </c>
      <c r="F23" s="1" t="s">
        <v>196</v>
      </c>
      <c r="H23" s="1" t="s">
        <v>148</v>
      </c>
      <c r="I23" s="1" t="s">
        <v>195</v>
      </c>
      <c r="J23" s="1" t="s">
        <v>194</v>
      </c>
      <c r="K23" s="1" t="s">
        <v>196</v>
      </c>
      <c r="L23" s="1" t="s">
        <v>202</v>
      </c>
    </row>
    <row r="24" spans="3:12" x14ac:dyDescent="0.3">
      <c r="C24" t="s">
        <v>212</v>
      </c>
      <c r="D24">
        <v>31</v>
      </c>
      <c r="E24">
        <v>170</v>
      </c>
      <c r="F24" s="5">
        <f>D24/E24</f>
        <v>0.18235294117647058</v>
      </c>
      <c r="H24" t="s">
        <v>212</v>
      </c>
      <c r="I24">
        <v>31</v>
      </c>
      <c r="J24">
        <v>170</v>
      </c>
      <c r="K24" s="5">
        <v>0.18235294117647058</v>
      </c>
      <c r="L24" s="5">
        <f>K24-0.161</f>
        <v>2.1352941176470575E-2</v>
      </c>
    </row>
    <row r="25" spans="3:12" x14ac:dyDescent="0.3">
      <c r="C25" t="s">
        <v>213</v>
      </c>
      <c r="D25">
        <v>44</v>
      </c>
      <c r="E25">
        <v>282</v>
      </c>
      <c r="F25" s="5">
        <f t="shared" ref="F25:F29" si="2">D25/E25</f>
        <v>0.15602836879432624</v>
      </c>
      <c r="H25" t="s">
        <v>211</v>
      </c>
      <c r="I25">
        <v>99</v>
      </c>
      <c r="J25">
        <v>572</v>
      </c>
      <c r="K25" s="5">
        <v>0.17307692307692307</v>
      </c>
      <c r="L25" s="5">
        <f>K25-0.161</f>
        <v>1.2076923076923068E-2</v>
      </c>
    </row>
    <row r="26" spans="3:12" x14ac:dyDescent="0.3">
      <c r="C26" t="s">
        <v>211</v>
      </c>
      <c r="D26">
        <v>99</v>
      </c>
      <c r="E26">
        <v>572</v>
      </c>
      <c r="F26" s="5">
        <f t="shared" si="2"/>
        <v>0.17307692307692307</v>
      </c>
      <c r="H26" t="s">
        <v>213</v>
      </c>
      <c r="I26">
        <v>44</v>
      </c>
      <c r="J26">
        <v>282</v>
      </c>
      <c r="K26" s="5">
        <v>0.15602836879432624</v>
      </c>
      <c r="L26" s="5">
        <f>K26-0.161</f>
        <v>-4.9716312056737599E-3</v>
      </c>
    </row>
    <row r="27" spans="3:12" x14ac:dyDescent="0.3">
      <c r="C27" t="s">
        <v>215</v>
      </c>
      <c r="D27">
        <v>58</v>
      </c>
      <c r="E27">
        <v>398</v>
      </c>
      <c r="F27" s="5">
        <f t="shared" si="2"/>
        <v>0.14572864321608039</v>
      </c>
      <c r="H27" t="s">
        <v>215</v>
      </c>
      <c r="I27">
        <v>58</v>
      </c>
      <c r="J27">
        <v>398</v>
      </c>
      <c r="K27" s="5">
        <v>0.14572864321608039</v>
      </c>
      <c r="L27" s="5">
        <f>K27-0.161</f>
        <v>-1.527135678391961E-2</v>
      </c>
    </row>
    <row r="28" spans="3:12" x14ac:dyDescent="0.3">
      <c r="C28" t="s">
        <v>214</v>
      </c>
      <c r="D28">
        <v>5</v>
      </c>
      <c r="E28">
        <v>48</v>
      </c>
      <c r="F28" s="5">
        <f t="shared" si="2"/>
        <v>0.10416666666666667</v>
      </c>
      <c r="H28" t="s">
        <v>214</v>
      </c>
      <c r="I28">
        <v>5</v>
      </c>
      <c r="J28">
        <v>48</v>
      </c>
      <c r="K28" s="5">
        <v>0.10416666666666667</v>
      </c>
      <c r="L28" s="5">
        <f>K28-0.161</f>
        <v>-5.6833333333333333E-2</v>
      </c>
    </row>
    <row r="29" spans="3:12" x14ac:dyDescent="0.3">
      <c r="C29" t="s">
        <v>193</v>
      </c>
      <c r="D29">
        <v>237</v>
      </c>
      <c r="E29">
        <v>1470</v>
      </c>
      <c r="F29" s="6">
        <f t="shared" si="2"/>
        <v>0.16122448979591836</v>
      </c>
    </row>
    <row r="32" spans="3:12" x14ac:dyDescent="0.3">
      <c r="C32" t="s">
        <v>201</v>
      </c>
      <c r="H32" t="s">
        <v>222</v>
      </c>
    </row>
    <row r="33" spans="3:12" x14ac:dyDescent="0.3">
      <c r="C33" s="4" t="s">
        <v>158</v>
      </c>
      <c r="D33" t="s">
        <v>195</v>
      </c>
      <c r="E33" t="s">
        <v>194</v>
      </c>
      <c r="F33" s="1" t="s">
        <v>196</v>
      </c>
      <c r="H33" s="1" t="s">
        <v>158</v>
      </c>
      <c r="I33" s="1" t="s">
        <v>195</v>
      </c>
      <c r="J33" s="1" t="s">
        <v>194</v>
      </c>
      <c r="K33" s="1" t="s">
        <v>196</v>
      </c>
      <c r="L33" s="1" t="s">
        <v>202</v>
      </c>
    </row>
    <row r="34" spans="3:12" x14ac:dyDescent="0.3">
      <c r="C34" t="s">
        <v>217</v>
      </c>
      <c r="D34">
        <v>102</v>
      </c>
      <c r="E34">
        <v>342</v>
      </c>
      <c r="F34" s="5">
        <f>D34/E34</f>
        <v>0.2982456140350877</v>
      </c>
      <c r="H34" t="s">
        <v>217</v>
      </c>
      <c r="I34">
        <v>102</v>
      </c>
      <c r="J34">
        <v>342</v>
      </c>
      <c r="K34" s="5">
        <v>0.2982456140350877</v>
      </c>
      <c r="L34" s="5">
        <f>K34-0.161</f>
        <v>0.1372456140350877</v>
      </c>
    </row>
    <row r="35" spans="3:12" x14ac:dyDescent="0.3">
      <c r="C35" t="s">
        <v>220</v>
      </c>
      <c r="D35">
        <v>60</v>
      </c>
      <c r="E35">
        <v>434</v>
      </c>
      <c r="F35" s="5">
        <f t="shared" ref="F35:F39" si="3">D35/E35</f>
        <v>0.13824884792626729</v>
      </c>
      <c r="H35" t="s">
        <v>220</v>
      </c>
      <c r="I35">
        <v>60</v>
      </c>
      <c r="J35">
        <v>434</v>
      </c>
      <c r="K35" s="5">
        <v>0.13824884792626729</v>
      </c>
      <c r="L35" s="5">
        <f>K35-0.161</f>
        <v>-2.2751152073732711E-2</v>
      </c>
    </row>
    <row r="36" spans="3:12" x14ac:dyDescent="0.3">
      <c r="C36" t="s">
        <v>221</v>
      </c>
      <c r="D36">
        <v>55</v>
      </c>
      <c r="E36">
        <v>448</v>
      </c>
      <c r="F36" s="5">
        <f t="shared" si="3"/>
        <v>0.12276785714285714</v>
      </c>
      <c r="H36" t="s">
        <v>221</v>
      </c>
      <c r="I36">
        <v>55</v>
      </c>
      <c r="J36">
        <v>448</v>
      </c>
      <c r="K36" s="5">
        <v>0.12276785714285714</v>
      </c>
      <c r="L36" s="5">
        <f>K36-0.161</f>
        <v>-3.8232142857142867E-2</v>
      </c>
    </row>
    <row r="37" spans="3:12" x14ac:dyDescent="0.3">
      <c r="C37" t="s">
        <v>218</v>
      </c>
      <c r="D37">
        <v>12</v>
      </c>
      <c r="E37">
        <v>180</v>
      </c>
      <c r="F37" s="5">
        <f t="shared" si="3"/>
        <v>6.6666666666666666E-2</v>
      </c>
      <c r="H37" t="s">
        <v>218</v>
      </c>
      <c r="I37">
        <v>12</v>
      </c>
      <c r="J37">
        <v>180</v>
      </c>
      <c r="K37" s="5">
        <v>6.6666666666666666E-2</v>
      </c>
      <c r="L37" s="5">
        <f>K37-0.161</f>
        <v>-9.4333333333333338E-2</v>
      </c>
    </row>
    <row r="38" spans="3:12" x14ac:dyDescent="0.3">
      <c r="C38" t="s">
        <v>219</v>
      </c>
      <c r="D38">
        <v>8</v>
      </c>
      <c r="E38">
        <v>66</v>
      </c>
      <c r="F38" s="5">
        <f t="shared" si="3"/>
        <v>0.12121212121212122</v>
      </c>
      <c r="H38" t="s">
        <v>219</v>
      </c>
      <c r="I38">
        <v>8</v>
      </c>
      <c r="J38">
        <v>66</v>
      </c>
      <c r="K38" s="5">
        <v>0.12121212121212122</v>
      </c>
      <c r="L38" s="5">
        <f>K38-0.161</f>
        <v>-3.9787878787878789E-2</v>
      </c>
    </row>
    <row r="39" spans="3:12" x14ac:dyDescent="0.3">
      <c r="C39" t="s">
        <v>193</v>
      </c>
      <c r="D39">
        <v>237</v>
      </c>
      <c r="E39">
        <v>1470</v>
      </c>
      <c r="F39" s="6">
        <f t="shared" si="3"/>
        <v>0.16122448979591836</v>
      </c>
    </row>
  </sheetData>
  <sortState xmlns:xlrd2="http://schemas.microsoft.com/office/spreadsheetml/2017/richdata2" ref="H33:L38">
    <sortCondition descending="1" ref="K33:K38"/>
  </sortState>
  <mergeCells count="1">
    <mergeCell ref="C2:L2"/>
  </mergeCells>
  <conditionalFormatting sqref="L6:L10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6:L20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4:L2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34:L3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42E3-3A56-4F35-98A1-C99B3741B6C2}">
  <dimension ref="C2:L41"/>
  <sheetViews>
    <sheetView topLeftCell="B3" workbookViewId="0">
      <selection activeCell="L14" sqref="L14"/>
    </sheetView>
  </sheetViews>
  <sheetFormatPr defaultRowHeight="14.4" x14ac:dyDescent="0.3"/>
  <cols>
    <col min="3" max="3" width="21.88671875" bestFit="1" customWidth="1"/>
    <col min="4" max="4" width="13.88671875" bestFit="1" customWidth="1"/>
    <col min="5" max="5" width="14.88671875" bestFit="1" customWidth="1"/>
    <col min="6" max="7" width="13.88671875" bestFit="1" customWidth="1"/>
    <col min="8" max="8" width="18.6640625" bestFit="1" customWidth="1"/>
    <col min="9" max="9" width="14.88671875" bestFit="1" customWidth="1"/>
    <col min="10" max="12" width="20.33203125" bestFit="1" customWidth="1"/>
    <col min="13" max="13" width="18.6640625" bestFit="1" customWidth="1"/>
    <col min="14" max="14" width="25.109375" bestFit="1" customWidth="1"/>
  </cols>
  <sheetData>
    <row r="2" spans="3:12" x14ac:dyDescent="0.3">
      <c r="C2" s="14" t="s">
        <v>223</v>
      </c>
      <c r="D2" s="14"/>
      <c r="E2" s="14"/>
      <c r="F2" s="14"/>
      <c r="G2" s="14"/>
      <c r="H2" s="14"/>
      <c r="I2" s="14"/>
      <c r="J2" s="14"/>
      <c r="K2" s="14"/>
    </row>
    <row r="4" spans="3:12" x14ac:dyDescent="0.3">
      <c r="C4" t="s">
        <v>201</v>
      </c>
      <c r="H4" t="s">
        <v>235</v>
      </c>
    </row>
    <row r="5" spans="3:12" x14ac:dyDescent="0.3">
      <c r="C5" s="4" t="s">
        <v>157</v>
      </c>
      <c r="D5" t="s">
        <v>195</v>
      </c>
      <c r="E5" t="s">
        <v>194</v>
      </c>
      <c r="F5" s="1" t="s">
        <v>196</v>
      </c>
      <c r="H5" s="1" t="s">
        <v>157</v>
      </c>
      <c r="I5" s="1" t="s">
        <v>195</v>
      </c>
      <c r="J5" s="1" t="s">
        <v>194</v>
      </c>
      <c r="K5" s="1" t="s">
        <v>196</v>
      </c>
      <c r="L5" s="1" t="s">
        <v>202</v>
      </c>
    </row>
    <row r="6" spans="3:12" x14ac:dyDescent="0.3">
      <c r="C6" t="s">
        <v>225</v>
      </c>
      <c r="D6">
        <v>113</v>
      </c>
      <c r="E6">
        <v>395</v>
      </c>
      <c r="F6" s="5">
        <f>D6/E6</f>
        <v>0.28607594936708863</v>
      </c>
      <c r="H6" t="s">
        <v>225</v>
      </c>
      <c r="I6">
        <v>113</v>
      </c>
      <c r="J6">
        <v>395</v>
      </c>
      <c r="K6" s="5">
        <v>0.28607594936708863</v>
      </c>
      <c r="L6" s="5">
        <f>K6-0.161</f>
        <v>0.12507594936708863</v>
      </c>
    </row>
    <row r="7" spans="3:12" x14ac:dyDescent="0.3">
      <c r="C7" t="s">
        <v>226</v>
      </c>
      <c r="D7">
        <v>77</v>
      </c>
      <c r="E7">
        <v>640</v>
      </c>
      <c r="F7" s="5">
        <f t="shared" ref="F7:F10" si="0">D7/E7</f>
        <v>0.1203125</v>
      </c>
      <c r="H7" t="s">
        <v>227</v>
      </c>
      <c r="I7">
        <v>38</v>
      </c>
      <c r="J7">
        <v>250</v>
      </c>
      <c r="K7" s="5">
        <v>0.152</v>
      </c>
      <c r="L7" s="5">
        <f>K7-0.161</f>
        <v>-9.000000000000008E-3</v>
      </c>
    </row>
    <row r="8" spans="3:12" x14ac:dyDescent="0.3">
      <c r="C8" t="s">
        <v>227</v>
      </c>
      <c r="D8">
        <v>38</v>
      </c>
      <c r="E8">
        <v>250</v>
      </c>
      <c r="F8" s="5">
        <f t="shared" si="0"/>
        <v>0.152</v>
      </c>
      <c r="H8" t="s">
        <v>226</v>
      </c>
      <c r="I8">
        <v>77</v>
      </c>
      <c r="J8">
        <v>640</v>
      </c>
      <c r="K8" s="5">
        <v>0.1203125</v>
      </c>
      <c r="L8" s="5">
        <f>K8-0.161</f>
        <v>-4.0687500000000001E-2</v>
      </c>
    </row>
    <row r="9" spans="3:12" x14ac:dyDescent="0.3">
      <c r="C9" t="s">
        <v>224</v>
      </c>
      <c r="D9">
        <v>9</v>
      </c>
      <c r="E9">
        <v>185</v>
      </c>
      <c r="F9" s="5">
        <f t="shared" si="0"/>
        <v>4.8648648648648651E-2</v>
      </c>
      <c r="H9" t="s">
        <v>224</v>
      </c>
      <c r="I9">
        <v>9</v>
      </c>
      <c r="J9">
        <v>185</v>
      </c>
      <c r="K9" s="5">
        <v>4.8648648648648651E-2</v>
      </c>
      <c r="L9" s="5">
        <f>K9-0.161</f>
        <v>-0.11235135135135135</v>
      </c>
    </row>
    <row r="10" spans="3:12" x14ac:dyDescent="0.3">
      <c r="C10" t="s">
        <v>193</v>
      </c>
      <c r="D10">
        <v>237</v>
      </c>
      <c r="E10">
        <v>1470</v>
      </c>
      <c r="F10" s="6">
        <f t="shared" si="0"/>
        <v>0.16122448979591836</v>
      </c>
    </row>
    <row r="13" spans="3:12" x14ac:dyDescent="0.3">
      <c r="C13" t="s">
        <v>201</v>
      </c>
      <c r="H13" t="s">
        <v>234</v>
      </c>
    </row>
    <row r="14" spans="3:12" x14ac:dyDescent="0.3">
      <c r="C14" s="4" t="s">
        <v>22</v>
      </c>
      <c r="D14" t="s">
        <v>195</v>
      </c>
      <c r="E14" t="s">
        <v>194</v>
      </c>
      <c r="F14" s="1" t="s">
        <v>196</v>
      </c>
      <c r="H14" s="1" t="s">
        <v>22</v>
      </c>
      <c r="I14" s="1" t="s">
        <v>195</v>
      </c>
      <c r="J14" s="1" t="s">
        <v>194</v>
      </c>
      <c r="K14" s="1" t="s">
        <v>196</v>
      </c>
      <c r="L14" s="1" t="s">
        <v>202</v>
      </c>
    </row>
    <row r="15" spans="3:12" x14ac:dyDescent="0.3">
      <c r="C15" t="s">
        <v>35</v>
      </c>
      <c r="D15">
        <v>127</v>
      </c>
      <c r="E15">
        <v>416</v>
      </c>
      <c r="F15" s="5">
        <f>D15/E15</f>
        <v>0.30528846153846156</v>
      </c>
      <c r="H15" t="s">
        <v>35</v>
      </c>
      <c r="I15">
        <v>127</v>
      </c>
      <c r="J15">
        <v>416</v>
      </c>
      <c r="K15" s="5">
        <v>0.30528846153846156</v>
      </c>
      <c r="L15" s="5">
        <f>K15-0.161</f>
        <v>0.14428846153846156</v>
      </c>
    </row>
    <row r="16" spans="3:12" x14ac:dyDescent="0.3">
      <c r="C16" t="s">
        <v>43</v>
      </c>
      <c r="D16">
        <v>110</v>
      </c>
      <c r="E16">
        <v>1054</v>
      </c>
      <c r="F16" s="5">
        <f t="shared" ref="F16:F17" si="1">D16/E16</f>
        <v>0.10436432637571158</v>
      </c>
      <c r="H16" t="s">
        <v>43</v>
      </c>
      <c r="I16">
        <v>110</v>
      </c>
      <c r="J16">
        <v>1054</v>
      </c>
      <c r="K16" s="5">
        <v>0.10436432637571158</v>
      </c>
      <c r="L16" s="5">
        <f>K16-0.161</f>
        <v>-5.6635673624288424E-2</v>
      </c>
    </row>
    <row r="17" spans="3:12" x14ac:dyDescent="0.3">
      <c r="C17" t="s">
        <v>193</v>
      </c>
      <c r="D17">
        <v>237</v>
      </c>
      <c r="E17">
        <v>1470</v>
      </c>
      <c r="F17" s="6">
        <f t="shared" si="1"/>
        <v>0.16122448979591836</v>
      </c>
    </row>
    <row r="20" spans="3:12" x14ac:dyDescent="0.3">
      <c r="C20" t="s">
        <v>201</v>
      </c>
      <c r="H20" t="s">
        <v>233</v>
      </c>
    </row>
    <row r="21" spans="3:12" x14ac:dyDescent="0.3">
      <c r="C21" s="4" t="s">
        <v>151</v>
      </c>
      <c r="D21" t="s">
        <v>195</v>
      </c>
      <c r="E21" t="s">
        <v>194</v>
      </c>
      <c r="F21" s="1" t="s">
        <v>196</v>
      </c>
      <c r="H21" s="1" t="s">
        <v>151</v>
      </c>
      <c r="I21" s="1" t="s">
        <v>195</v>
      </c>
      <c r="J21" s="1" t="s">
        <v>194</v>
      </c>
      <c r="K21" s="1" t="s">
        <v>196</v>
      </c>
      <c r="L21" s="1" t="s">
        <v>202</v>
      </c>
    </row>
    <row r="22" spans="3:12" x14ac:dyDescent="0.3">
      <c r="C22" t="s">
        <v>228</v>
      </c>
      <c r="D22">
        <v>143</v>
      </c>
      <c r="E22">
        <v>543</v>
      </c>
      <c r="F22" s="5">
        <f>D22/E22</f>
        <v>0.26335174953959484</v>
      </c>
      <c r="H22" t="s">
        <v>228</v>
      </c>
      <c r="I22">
        <v>143</v>
      </c>
      <c r="J22">
        <v>543</v>
      </c>
      <c r="K22" s="5">
        <v>0.26335174953959484</v>
      </c>
      <c r="L22" s="5">
        <f>K22-0.161</f>
        <v>0.10235174953959483</v>
      </c>
    </row>
    <row r="23" spans="3:12" x14ac:dyDescent="0.3">
      <c r="C23" t="s">
        <v>230</v>
      </c>
      <c r="D23">
        <v>52</v>
      </c>
      <c r="E23">
        <v>534</v>
      </c>
      <c r="F23" s="5">
        <f t="shared" ref="F23:F27" si="2">D23/E23</f>
        <v>9.7378277153558054E-2</v>
      </c>
      <c r="H23" t="s">
        <v>231</v>
      </c>
      <c r="I23">
        <v>32</v>
      </c>
      <c r="J23">
        <v>218</v>
      </c>
      <c r="K23" s="5">
        <v>0.14678899082568808</v>
      </c>
      <c r="L23" s="5">
        <f t="shared" ref="L23:L26" si="3">K23-0.161</f>
        <v>-1.4211009174311923E-2</v>
      </c>
    </row>
    <row r="24" spans="3:12" x14ac:dyDescent="0.3">
      <c r="C24" t="s">
        <v>231</v>
      </c>
      <c r="D24">
        <v>32</v>
      </c>
      <c r="E24">
        <v>218</v>
      </c>
      <c r="F24" s="5">
        <f t="shared" si="2"/>
        <v>0.14678899082568808</v>
      </c>
      <c r="H24" t="s">
        <v>230</v>
      </c>
      <c r="I24">
        <v>52</v>
      </c>
      <c r="J24">
        <v>534</v>
      </c>
      <c r="K24" s="5">
        <v>9.7378277153558054E-2</v>
      </c>
      <c r="L24" s="5">
        <f t="shared" si="3"/>
        <v>-6.362172284644195E-2</v>
      </c>
    </row>
    <row r="25" spans="3:12" x14ac:dyDescent="0.3">
      <c r="C25" t="s">
        <v>232</v>
      </c>
      <c r="D25">
        <v>5</v>
      </c>
      <c r="E25">
        <v>106</v>
      </c>
      <c r="F25" s="5">
        <f t="shared" si="2"/>
        <v>4.716981132075472E-2</v>
      </c>
      <c r="H25" t="s">
        <v>229</v>
      </c>
      <c r="I25">
        <v>5</v>
      </c>
      <c r="J25">
        <v>69</v>
      </c>
      <c r="K25" s="5">
        <v>7.2463768115942032E-2</v>
      </c>
      <c r="L25" s="5">
        <f t="shared" si="3"/>
        <v>-8.8536231884057973E-2</v>
      </c>
    </row>
    <row r="26" spans="3:12" x14ac:dyDescent="0.3">
      <c r="C26" t="s">
        <v>229</v>
      </c>
      <c r="D26">
        <v>5</v>
      </c>
      <c r="E26">
        <v>69</v>
      </c>
      <c r="F26" s="5">
        <f t="shared" si="2"/>
        <v>7.2463768115942032E-2</v>
      </c>
      <c r="H26" t="s">
        <v>232</v>
      </c>
      <c r="I26">
        <v>5</v>
      </c>
      <c r="J26">
        <v>106</v>
      </c>
      <c r="K26" s="5">
        <v>4.716981132075472E-2</v>
      </c>
      <c r="L26" s="5">
        <f t="shared" si="3"/>
        <v>-0.11383018867924528</v>
      </c>
    </row>
    <row r="27" spans="3:12" x14ac:dyDescent="0.3">
      <c r="C27" t="s">
        <v>193</v>
      </c>
      <c r="D27">
        <v>237</v>
      </c>
      <c r="E27">
        <v>1470</v>
      </c>
      <c r="F27" s="6">
        <f t="shared" si="2"/>
        <v>0.16122448979591836</v>
      </c>
    </row>
    <row r="30" spans="3:12" x14ac:dyDescent="0.3">
      <c r="C30" t="s">
        <v>236</v>
      </c>
    </row>
    <row r="31" spans="3:12" x14ac:dyDescent="0.3">
      <c r="C31" s="4" t="s">
        <v>4</v>
      </c>
      <c r="D31" t="s">
        <v>195</v>
      </c>
      <c r="E31" t="s">
        <v>194</v>
      </c>
      <c r="F31" t="s">
        <v>196</v>
      </c>
    </row>
    <row r="32" spans="3:12" x14ac:dyDescent="0.3">
      <c r="C32" s="3" t="s">
        <v>61</v>
      </c>
      <c r="D32">
        <v>12</v>
      </c>
      <c r="E32">
        <v>63</v>
      </c>
      <c r="F32" s="7">
        <v>0.19047619047619047</v>
      </c>
      <c r="L32" s="7"/>
    </row>
    <row r="33" spans="3:12" x14ac:dyDescent="0.3">
      <c r="C33" s="8" t="s">
        <v>43</v>
      </c>
      <c r="D33">
        <v>7</v>
      </c>
      <c r="E33">
        <v>46</v>
      </c>
      <c r="F33" s="7">
        <v>0.15217391304347827</v>
      </c>
      <c r="L33" s="7"/>
    </row>
    <row r="34" spans="3:12" x14ac:dyDescent="0.3">
      <c r="C34" s="8" t="s">
        <v>35</v>
      </c>
      <c r="D34">
        <v>5</v>
      </c>
      <c r="E34">
        <v>17</v>
      </c>
      <c r="F34" s="7">
        <v>0.29411764705882354</v>
      </c>
      <c r="L34" s="7"/>
    </row>
    <row r="35" spans="3:12" x14ac:dyDescent="0.3">
      <c r="C35" s="3" t="s">
        <v>45</v>
      </c>
      <c r="D35">
        <v>133</v>
      </c>
      <c r="E35">
        <v>961</v>
      </c>
      <c r="F35" s="7">
        <v>0.13839750260145681</v>
      </c>
      <c r="L35" s="7"/>
    </row>
    <row r="36" spans="3:12" x14ac:dyDescent="0.3">
      <c r="C36" s="8" t="s">
        <v>35</v>
      </c>
      <c r="D36">
        <v>74</v>
      </c>
      <c r="E36">
        <v>271</v>
      </c>
      <c r="F36" s="7">
        <v>0.27306273062730629</v>
      </c>
      <c r="L36" s="7"/>
    </row>
    <row r="37" spans="3:12" x14ac:dyDescent="0.3">
      <c r="C37" s="8" t="s">
        <v>43</v>
      </c>
      <c r="D37">
        <v>59</v>
      </c>
      <c r="E37">
        <v>690</v>
      </c>
      <c r="F37" s="7">
        <v>8.5507246376811591E-2</v>
      </c>
    </row>
    <row r="38" spans="3:12" x14ac:dyDescent="0.3">
      <c r="C38" s="3" t="s">
        <v>37</v>
      </c>
      <c r="D38">
        <v>92</v>
      </c>
      <c r="E38">
        <v>446</v>
      </c>
      <c r="F38" s="7">
        <v>0.20627802690582961</v>
      </c>
    </row>
    <row r="39" spans="3:12" x14ac:dyDescent="0.3">
      <c r="C39" s="8" t="s">
        <v>35</v>
      </c>
      <c r="D39">
        <v>48</v>
      </c>
      <c r="E39">
        <v>128</v>
      </c>
      <c r="F39" s="7">
        <v>0.375</v>
      </c>
    </row>
    <row r="40" spans="3:12" x14ac:dyDescent="0.3">
      <c r="C40" s="8" t="s">
        <v>43</v>
      </c>
      <c r="D40">
        <v>44</v>
      </c>
      <c r="E40">
        <v>318</v>
      </c>
      <c r="F40" s="7">
        <v>0.13836477987421383</v>
      </c>
    </row>
    <row r="41" spans="3:12" x14ac:dyDescent="0.3">
      <c r="C41" s="3" t="s">
        <v>193</v>
      </c>
      <c r="D41">
        <v>237</v>
      </c>
      <c r="E41">
        <v>1470</v>
      </c>
      <c r="F41" s="7">
        <v>0.16122448979591836</v>
      </c>
    </row>
  </sheetData>
  <mergeCells count="1">
    <mergeCell ref="C2:K2"/>
  </mergeCells>
  <conditionalFormatting sqref="L6:L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5:L1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22:L2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A5C7-65AE-4BF8-838D-FB3AB76DF12E}">
  <dimension ref="C2:M28"/>
  <sheetViews>
    <sheetView topLeftCell="B3" workbookViewId="0">
      <selection activeCell="G30" sqref="G30"/>
    </sheetView>
  </sheetViews>
  <sheetFormatPr defaultRowHeight="14.4" x14ac:dyDescent="0.3"/>
  <cols>
    <col min="3" max="3" width="22.44140625" bestFit="1" customWidth="1"/>
    <col min="4" max="4" width="13.88671875" bestFit="1" customWidth="1"/>
    <col min="5" max="5" width="14.88671875" bestFit="1" customWidth="1"/>
    <col min="6" max="6" width="14.21875" bestFit="1" customWidth="1"/>
    <col min="7" max="7" width="21.88671875" bestFit="1" customWidth="1"/>
    <col min="9" max="9" width="26.33203125" customWidth="1"/>
    <col min="10" max="10" width="13.88671875" bestFit="1" customWidth="1"/>
    <col min="11" max="11" width="14.88671875" bestFit="1" customWidth="1"/>
    <col min="12" max="12" width="14.21875" bestFit="1" customWidth="1"/>
    <col min="13" max="13" width="21.88671875" bestFit="1" customWidth="1"/>
  </cols>
  <sheetData>
    <row r="2" spans="3:13" x14ac:dyDescent="0.3">
      <c r="C2" s="14" t="s">
        <v>243</v>
      </c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3:13" x14ac:dyDescent="0.3">
      <c r="C4" t="s">
        <v>246</v>
      </c>
      <c r="I4" t="s">
        <v>245</v>
      </c>
    </row>
    <row r="5" spans="3:13" x14ac:dyDescent="0.3">
      <c r="C5" s="4" t="s">
        <v>152</v>
      </c>
      <c r="D5" t="s">
        <v>195</v>
      </c>
      <c r="E5" t="s">
        <v>194</v>
      </c>
      <c r="F5" t="s">
        <v>196</v>
      </c>
      <c r="G5" s="1" t="s">
        <v>202</v>
      </c>
      <c r="I5" s="4" t="s">
        <v>155</v>
      </c>
      <c r="J5" t="s">
        <v>195</v>
      </c>
      <c r="K5" t="s">
        <v>194</v>
      </c>
      <c r="L5" t="s">
        <v>196</v>
      </c>
      <c r="M5" s="1" t="s">
        <v>202</v>
      </c>
    </row>
    <row r="6" spans="3:13" x14ac:dyDescent="0.3">
      <c r="C6" s="3" t="s">
        <v>225</v>
      </c>
      <c r="D6">
        <v>66</v>
      </c>
      <c r="E6">
        <v>289</v>
      </c>
      <c r="F6" s="7">
        <v>0.22837370242214533</v>
      </c>
      <c r="G6" s="7">
        <f>F6-$F$10</f>
        <v>6.7149212626226973E-2</v>
      </c>
      <c r="I6" s="3" t="s">
        <v>242</v>
      </c>
      <c r="J6">
        <v>25</v>
      </c>
      <c r="K6">
        <v>80</v>
      </c>
      <c r="L6" s="7">
        <v>0.3125</v>
      </c>
      <c r="M6" s="7">
        <f>L6-$L$10</f>
        <v>0.15127551020408164</v>
      </c>
    </row>
    <row r="7" spans="3:13" x14ac:dyDescent="0.3">
      <c r="C7" s="3" t="s">
        <v>224</v>
      </c>
      <c r="D7">
        <v>73</v>
      </c>
      <c r="E7">
        <v>442</v>
      </c>
      <c r="F7" s="7">
        <v>0.16515837104072398</v>
      </c>
      <c r="G7" s="7">
        <f>F7-$F$10</f>
        <v>3.9338812448056204E-3</v>
      </c>
      <c r="I7" s="3" t="s">
        <v>241</v>
      </c>
      <c r="J7">
        <v>27</v>
      </c>
      <c r="K7">
        <v>153</v>
      </c>
      <c r="L7" s="7">
        <v>0.17647058823529413</v>
      </c>
      <c r="M7" s="7">
        <f>L7-$L$10</f>
        <v>1.5246098439375771E-2</v>
      </c>
    </row>
    <row r="8" spans="3:13" x14ac:dyDescent="0.3">
      <c r="C8" s="3" t="s">
        <v>238</v>
      </c>
      <c r="D8">
        <v>46</v>
      </c>
      <c r="E8">
        <v>280</v>
      </c>
      <c r="F8" s="7">
        <v>0.16428571428571428</v>
      </c>
      <c r="G8" s="7">
        <f>F8-$F$10</f>
        <v>3.0612244897959273E-3</v>
      </c>
      <c r="I8" s="3" t="s">
        <v>239</v>
      </c>
      <c r="J8">
        <v>58</v>
      </c>
      <c r="K8">
        <v>344</v>
      </c>
      <c r="L8" s="7">
        <v>0.16860465116279069</v>
      </c>
      <c r="M8" s="7">
        <f>L8-$L$10</f>
        <v>7.3801613668723343E-3</v>
      </c>
    </row>
    <row r="9" spans="3:13" x14ac:dyDescent="0.3">
      <c r="C9" s="3" t="s">
        <v>237</v>
      </c>
      <c r="D9">
        <v>52</v>
      </c>
      <c r="E9">
        <v>459</v>
      </c>
      <c r="F9" s="7">
        <v>0.11328976034858387</v>
      </c>
      <c r="G9" s="7">
        <f>F9-$F$10</f>
        <v>-4.7934729447334484E-2</v>
      </c>
      <c r="I9" s="3" t="s">
        <v>240</v>
      </c>
      <c r="J9">
        <v>127</v>
      </c>
      <c r="K9">
        <v>893</v>
      </c>
      <c r="L9" s="7">
        <v>0.14221724524076149</v>
      </c>
      <c r="M9" s="7">
        <f>L9-$L$10</f>
        <v>-1.9007244555156871E-2</v>
      </c>
    </row>
    <row r="10" spans="3:13" x14ac:dyDescent="0.3">
      <c r="C10" s="3" t="s">
        <v>193</v>
      </c>
      <c r="D10">
        <v>237</v>
      </c>
      <c r="E10">
        <v>1470</v>
      </c>
      <c r="F10" s="7">
        <v>0.16122448979591836</v>
      </c>
      <c r="G10" s="7"/>
      <c r="I10" s="3" t="s">
        <v>193</v>
      </c>
      <c r="J10">
        <v>237</v>
      </c>
      <c r="K10">
        <v>1470</v>
      </c>
      <c r="L10" s="7">
        <v>0.16122448979591836</v>
      </c>
    </row>
    <row r="13" spans="3:13" x14ac:dyDescent="0.3">
      <c r="C13" t="s">
        <v>244</v>
      </c>
      <c r="I13" t="s">
        <v>247</v>
      </c>
    </row>
    <row r="14" spans="3:13" x14ac:dyDescent="0.3">
      <c r="C14" s="4" t="s">
        <v>149</v>
      </c>
      <c r="D14" t="s">
        <v>195</v>
      </c>
      <c r="E14" t="s">
        <v>194</v>
      </c>
      <c r="F14" t="s">
        <v>196</v>
      </c>
      <c r="G14" s="1" t="s">
        <v>202</v>
      </c>
      <c r="I14" s="4" t="s">
        <v>153</v>
      </c>
      <c r="J14" t="s">
        <v>195</v>
      </c>
      <c r="K14" t="s">
        <v>194</v>
      </c>
      <c r="L14" t="s">
        <v>196</v>
      </c>
      <c r="M14" s="1" t="s">
        <v>202</v>
      </c>
    </row>
    <row r="15" spans="3:13" x14ac:dyDescent="0.3">
      <c r="C15" s="3" t="s">
        <v>225</v>
      </c>
      <c r="D15">
        <v>72</v>
      </c>
      <c r="E15">
        <v>284</v>
      </c>
      <c r="F15" s="7">
        <v>0.25352112676056338</v>
      </c>
      <c r="G15" s="7">
        <f>F15-$F$19</f>
        <v>9.2296636964645018E-2</v>
      </c>
      <c r="I15" s="3" t="s">
        <v>225</v>
      </c>
      <c r="J15">
        <v>57</v>
      </c>
      <c r="K15">
        <v>276</v>
      </c>
      <c r="L15" s="7">
        <v>0.20652173913043478</v>
      </c>
      <c r="M15" s="7">
        <f>L15-$L$19</f>
        <v>4.5297249334516426E-2</v>
      </c>
    </row>
    <row r="16" spans="3:13" x14ac:dyDescent="0.3">
      <c r="C16" s="3" t="s">
        <v>238</v>
      </c>
      <c r="D16">
        <v>43</v>
      </c>
      <c r="E16">
        <v>287</v>
      </c>
      <c r="F16" s="7">
        <v>0.14982578397212543</v>
      </c>
      <c r="G16" s="7">
        <f>F16-$F$19</f>
        <v>-1.1398705823792932E-2</v>
      </c>
      <c r="I16" s="3" t="s">
        <v>224</v>
      </c>
      <c r="J16">
        <v>71</v>
      </c>
      <c r="K16">
        <v>459</v>
      </c>
      <c r="L16" s="7">
        <v>0.15468409586056645</v>
      </c>
      <c r="M16" s="7">
        <f>L16-$L$19</f>
        <v>-6.5403939353519125E-3</v>
      </c>
    </row>
    <row r="17" spans="3:13" x14ac:dyDescent="0.3">
      <c r="C17" s="3" t="s">
        <v>224</v>
      </c>
      <c r="D17">
        <v>62</v>
      </c>
      <c r="E17">
        <v>453</v>
      </c>
      <c r="F17" s="7">
        <v>0.13686534216335541</v>
      </c>
      <c r="G17" s="7">
        <f>F17-$F$19</f>
        <v>-2.4359147632562944E-2</v>
      </c>
      <c r="I17" s="3" t="s">
        <v>238</v>
      </c>
      <c r="J17">
        <v>45</v>
      </c>
      <c r="K17">
        <v>303</v>
      </c>
      <c r="L17" s="7">
        <v>0.14851485148514851</v>
      </c>
      <c r="M17" s="7">
        <f>L17-$L$19</f>
        <v>-1.270963831076985E-2</v>
      </c>
    </row>
    <row r="18" spans="3:13" x14ac:dyDescent="0.3">
      <c r="C18" s="3" t="s">
        <v>237</v>
      </c>
      <c r="D18">
        <v>60</v>
      </c>
      <c r="E18">
        <v>446</v>
      </c>
      <c r="F18" s="7">
        <v>0.13452914798206278</v>
      </c>
      <c r="G18" s="7">
        <f>F18-$F$19</f>
        <v>-2.6695341813855578E-2</v>
      </c>
      <c r="I18" s="3" t="s">
        <v>237</v>
      </c>
      <c r="J18">
        <v>64</v>
      </c>
      <c r="K18">
        <v>432</v>
      </c>
      <c r="L18" s="7">
        <v>0.14814814814814814</v>
      </c>
      <c r="M18" s="7">
        <f>L18-$L$19</f>
        <v>-1.3076341647770218E-2</v>
      </c>
    </row>
    <row r="19" spans="3:13" x14ac:dyDescent="0.3">
      <c r="C19" s="3" t="s">
        <v>193</v>
      </c>
      <c r="D19">
        <v>237</v>
      </c>
      <c r="E19">
        <v>1470</v>
      </c>
      <c r="F19" s="7">
        <v>0.16122448979591836</v>
      </c>
      <c r="I19" s="3" t="s">
        <v>193</v>
      </c>
      <c r="J19">
        <v>237</v>
      </c>
      <c r="K19">
        <v>1470</v>
      </c>
      <c r="L19" s="7">
        <v>0.16122448979591836</v>
      </c>
    </row>
    <row r="22" spans="3:13" x14ac:dyDescent="0.3">
      <c r="C22" t="s">
        <v>248</v>
      </c>
    </row>
    <row r="23" spans="3:13" x14ac:dyDescent="0.3">
      <c r="C23" s="4" t="s">
        <v>150</v>
      </c>
      <c r="D23" t="s">
        <v>195</v>
      </c>
      <c r="E23" t="s">
        <v>194</v>
      </c>
      <c r="F23" t="s">
        <v>196</v>
      </c>
      <c r="G23" s="1" t="s">
        <v>202</v>
      </c>
    </row>
    <row r="24" spans="3:13" x14ac:dyDescent="0.3">
      <c r="C24" s="3" t="s">
        <v>225</v>
      </c>
      <c r="D24">
        <v>28</v>
      </c>
      <c r="E24">
        <v>83</v>
      </c>
      <c r="F24" s="7">
        <v>0.33734939759036142</v>
      </c>
      <c r="G24" s="7">
        <f>F24-$F$28</f>
        <v>0.17612490779444306</v>
      </c>
    </row>
    <row r="25" spans="3:13" x14ac:dyDescent="0.3">
      <c r="C25" s="3" t="s">
        <v>238</v>
      </c>
      <c r="D25">
        <v>71</v>
      </c>
      <c r="E25">
        <v>375</v>
      </c>
      <c r="F25" s="7">
        <v>0.18933333333333333</v>
      </c>
      <c r="G25" s="7">
        <f>F25-$F$28</f>
        <v>2.8108843537414968E-2</v>
      </c>
    </row>
    <row r="26" spans="3:13" x14ac:dyDescent="0.3">
      <c r="C26" s="3" t="s">
        <v>224</v>
      </c>
      <c r="D26">
        <v>125</v>
      </c>
      <c r="E26">
        <v>868</v>
      </c>
      <c r="F26" s="7">
        <v>0.14400921658986174</v>
      </c>
      <c r="G26" s="7">
        <f>F26-$F$28</f>
        <v>-1.7215273206056619E-2</v>
      </c>
    </row>
    <row r="27" spans="3:13" x14ac:dyDescent="0.3">
      <c r="C27" s="3" t="s">
        <v>237</v>
      </c>
      <c r="D27">
        <v>13</v>
      </c>
      <c r="E27">
        <v>144</v>
      </c>
      <c r="F27" s="7">
        <v>9.0277777777777776E-2</v>
      </c>
      <c r="G27" s="7">
        <f>F27-$F$28</f>
        <v>-7.0946712018140581E-2</v>
      </c>
    </row>
    <row r="28" spans="3:13" x14ac:dyDescent="0.3">
      <c r="C28" s="3" t="s">
        <v>193</v>
      </c>
      <c r="D28">
        <v>237</v>
      </c>
      <c r="E28">
        <v>1470</v>
      </c>
      <c r="F28" s="7">
        <v>0.16122448979591836</v>
      </c>
    </row>
  </sheetData>
  <mergeCells count="1">
    <mergeCell ref="C2:M2"/>
  </mergeCells>
  <conditionalFormatting sqref="G6:G9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5:G18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4:G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6:M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15:M1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C62F-A763-4126-90E1-D60AFBB5FF33}">
  <dimension ref="C2:M32"/>
  <sheetViews>
    <sheetView workbookViewId="0">
      <selection activeCell="L7" sqref="L7"/>
    </sheetView>
  </sheetViews>
  <sheetFormatPr defaultRowHeight="14.4" x14ac:dyDescent="0.3"/>
  <cols>
    <col min="3" max="3" width="22.88671875" bestFit="1" customWidth="1"/>
    <col min="4" max="4" width="14.109375" bestFit="1" customWidth="1"/>
    <col min="5" max="5" width="22.6640625" bestFit="1" customWidth="1"/>
    <col min="6" max="6" width="22.33203125" bestFit="1" customWidth="1"/>
    <col min="14" max="14" width="15.88671875" customWidth="1"/>
  </cols>
  <sheetData>
    <row r="2" spans="3:13" x14ac:dyDescent="0.3">
      <c r="C2" s="14" t="s">
        <v>249</v>
      </c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3:13" x14ac:dyDescent="0.3"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3:13" x14ac:dyDescent="0.3">
      <c r="C4" t="s">
        <v>253</v>
      </c>
      <c r="D4" s="2"/>
      <c r="E4" s="2"/>
      <c r="F4" s="13">
        <f>F8+F9+F10</f>
        <v>13614492</v>
      </c>
      <c r="G4" s="2"/>
      <c r="H4" s="2"/>
      <c r="I4" s="2"/>
      <c r="J4" s="2"/>
      <c r="K4" s="2"/>
      <c r="L4" s="2"/>
      <c r="M4" s="2"/>
    </row>
    <row r="5" spans="3:13" x14ac:dyDescent="0.3">
      <c r="C5" s="4" t="s">
        <v>1</v>
      </c>
      <c r="D5" t="s">
        <v>35</v>
      </c>
      <c r="E5" s="2"/>
      <c r="F5" s="2"/>
      <c r="G5" s="2"/>
      <c r="H5" s="2"/>
      <c r="I5" s="2"/>
      <c r="J5" s="2"/>
      <c r="K5" s="2"/>
      <c r="L5" s="2"/>
      <c r="M5" s="2"/>
    </row>
    <row r="6" spans="3:13" x14ac:dyDescent="0.3">
      <c r="C6" s="9"/>
    </row>
    <row r="7" spans="3:13" x14ac:dyDescent="0.3">
      <c r="C7" s="4" t="s">
        <v>4</v>
      </c>
      <c r="D7" t="s">
        <v>250</v>
      </c>
      <c r="E7" t="s">
        <v>251</v>
      </c>
      <c r="F7" s="1" t="s">
        <v>258</v>
      </c>
    </row>
    <row r="8" spans="3:13" x14ac:dyDescent="0.3">
      <c r="C8" s="3" t="s">
        <v>61</v>
      </c>
      <c r="D8">
        <v>12</v>
      </c>
      <c r="E8" s="10">
        <v>3715.75</v>
      </c>
      <c r="F8" s="10">
        <f>D8*E8*12</f>
        <v>535068</v>
      </c>
    </row>
    <row r="9" spans="3:13" x14ac:dyDescent="0.3">
      <c r="C9" s="3" t="s">
        <v>45</v>
      </c>
      <c r="D9">
        <v>133</v>
      </c>
      <c r="E9" s="10">
        <v>4108.0751879699246</v>
      </c>
      <c r="F9" s="10">
        <f t="shared" ref="F9:F10" si="0">D9*E9*12</f>
        <v>6556488</v>
      </c>
    </row>
    <row r="10" spans="3:13" x14ac:dyDescent="0.3">
      <c r="C10" s="3" t="s">
        <v>37</v>
      </c>
      <c r="D10">
        <v>92</v>
      </c>
      <c r="E10" s="10">
        <v>5908.45652173913</v>
      </c>
      <c r="F10" s="10">
        <f t="shared" si="0"/>
        <v>6522936</v>
      </c>
    </row>
    <row r="11" spans="3:13" x14ac:dyDescent="0.3">
      <c r="C11" s="3" t="s">
        <v>193</v>
      </c>
      <c r="D11">
        <v>237</v>
      </c>
      <c r="E11" s="10">
        <v>4787.0928270042195</v>
      </c>
      <c r="F11" s="12"/>
    </row>
    <row r="14" spans="3:13" x14ac:dyDescent="0.3">
      <c r="C14" t="s">
        <v>254</v>
      </c>
    </row>
    <row r="15" spans="3:13" x14ac:dyDescent="0.3">
      <c r="C15" s="4" t="s">
        <v>1</v>
      </c>
      <c r="D15" t="s">
        <v>35</v>
      </c>
      <c r="E15" s="2"/>
    </row>
    <row r="16" spans="3:13" x14ac:dyDescent="0.3">
      <c r="C16" s="9"/>
    </row>
    <row r="17" spans="3:6" x14ac:dyDescent="0.3">
      <c r="C17" s="4" t="s">
        <v>15</v>
      </c>
      <c r="D17" t="s">
        <v>250</v>
      </c>
      <c r="E17" t="s">
        <v>251</v>
      </c>
      <c r="F17" s="1" t="s">
        <v>252</v>
      </c>
    </row>
    <row r="18" spans="3:6" x14ac:dyDescent="0.3">
      <c r="C18" s="3" t="s">
        <v>40</v>
      </c>
      <c r="D18">
        <v>57</v>
      </c>
      <c r="E18" s="11">
        <v>7489</v>
      </c>
      <c r="F18" s="11">
        <f t="shared" ref="F18:F26" si="1">D18*E18*12</f>
        <v>5122476</v>
      </c>
    </row>
    <row r="19" spans="3:6" x14ac:dyDescent="0.3">
      <c r="C19" s="3" t="s">
        <v>50</v>
      </c>
      <c r="D19">
        <v>62</v>
      </c>
      <c r="E19" s="11">
        <v>2919.2580645161293</v>
      </c>
      <c r="F19" s="11">
        <f t="shared" si="1"/>
        <v>2171928</v>
      </c>
    </row>
    <row r="20" spans="3:6" x14ac:dyDescent="0.3">
      <c r="C20" s="3" t="s">
        <v>47</v>
      </c>
      <c r="D20">
        <v>47</v>
      </c>
      <c r="E20" s="11">
        <v>2780.4680851063831</v>
      </c>
      <c r="F20" s="11">
        <f t="shared" si="1"/>
        <v>1568184</v>
      </c>
    </row>
    <row r="21" spans="3:6" x14ac:dyDescent="0.3">
      <c r="C21" s="3" t="s">
        <v>56</v>
      </c>
      <c r="D21">
        <v>5</v>
      </c>
      <c r="E21" s="11">
        <v>16797.400000000001</v>
      </c>
      <c r="F21" s="11">
        <f t="shared" si="1"/>
        <v>1007844</v>
      </c>
    </row>
    <row r="22" spans="3:6" x14ac:dyDescent="0.3">
      <c r="C22" s="3" t="s">
        <v>57</v>
      </c>
      <c r="D22">
        <v>33</v>
      </c>
      <c r="E22" s="11">
        <v>2364.7272727272725</v>
      </c>
      <c r="F22" s="11">
        <f t="shared" si="1"/>
        <v>936432</v>
      </c>
    </row>
    <row r="23" spans="3:6" x14ac:dyDescent="0.3">
      <c r="C23" s="3" t="s">
        <v>54</v>
      </c>
      <c r="D23">
        <v>9</v>
      </c>
      <c r="E23" s="11">
        <v>8548.2222222222226</v>
      </c>
      <c r="F23" s="11">
        <f t="shared" si="1"/>
        <v>923208</v>
      </c>
    </row>
    <row r="24" spans="3:6" x14ac:dyDescent="0.3">
      <c r="C24" s="3" t="s">
        <v>53</v>
      </c>
      <c r="D24">
        <v>10</v>
      </c>
      <c r="E24" s="11">
        <v>7365.5</v>
      </c>
      <c r="F24" s="11">
        <f t="shared" si="1"/>
        <v>883860</v>
      </c>
    </row>
    <row r="25" spans="3:6" x14ac:dyDescent="0.3">
      <c r="C25" s="3" t="s">
        <v>61</v>
      </c>
      <c r="D25">
        <v>12</v>
      </c>
      <c r="E25" s="11">
        <v>3715.75</v>
      </c>
      <c r="F25" s="11">
        <f t="shared" si="1"/>
        <v>535068</v>
      </c>
    </row>
    <row r="26" spans="3:6" x14ac:dyDescent="0.3">
      <c r="C26" s="3" t="s">
        <v>58</v>
      </c>
      <c r="D26">
        <v>2</v>
      </c>
      <c r="E26" s="11">
        <v>19395.5</v>
      </c>
      <c r="F26" s="11">
        <f t="shared" si="1"/>
        <v>465492</v>
      </c>
    </row>
    <row r="27" spans="3:6" x14ac:dyDescent="0.3">
      <c r="C27" s="3" t="s">
        <v>193</v>
      </c>
      <c r="D27">
        <v>237</v>
      </c>
      <c r="E27" s="11">
        <v>4787.0928270042195</v>
      </c>
    </row>
    <row r="30" spans="3:6" x14ac:dyDescent="0.3">
      <c r="C30" t="s">
        <v>255</v>
      </c>
    </row>
    <row r="31" spans="3:6" x14ac:dyDescent="0.3">
      <c r="C31" t="s">
        <v>256</v>
      </c>
    </row>
    <row r="32" spans="3:6" x14ac:dyDescent="0.3">
      <c r="C32" t="s">
        <v>257</v>
      </c>
    </row>
  </sheetData>
  <mergeCells count="1">
    <mergeCell ref="C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Data_Dictionary</vt:lpstr>
      <vt:lpstr>Cleaned_Data</vt:lpstr>
      <vt:lpstr>PT1_Attrition_Overview</vt:lpstr>
      <vt:lpstr>PT2_Risk_Profile</vt:lpstr>
      <vt:lpstr>PT3_Compensation</vt:lpstr>
      <vt:lpstr>PT4_Satisfaction</vt:lpstr>
      <vt:lpstr>PT5_Cost_Analysis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Gupta</dc:creator>
  <cp:lastModifiedBy>Aman Gupta</cp:lastModifiedBy>
  <dcterms:created xsi:type="dcterms:W3CDTF">2026-05-30T12:27:30Z</dcterms:created>
  <dcterms:modified xsi:type="dcterms:W3CDTF">2026-06-12T16:02:35Z</dcterms:modified>
</cp:coreProperties>
</file>